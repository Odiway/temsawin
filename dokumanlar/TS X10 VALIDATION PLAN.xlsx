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temsa-my.sharepoint.com/personal/onat_yildirim_temsa_com/Documents/TS45 CARB DVP &amp; PLAN/"/>
    </mc:Choice>
  </mc:AlternateContent>
  <xr:revisionPtr revIDLastSave="0" documentId="8_{881479A3-D606-457B-9C0F-0D11A616A89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TS45 TEST LIST &amp; COST" sheetId="12" r:id="rId1"/>
    <sheet name="TS45 DVP PLAN" sheetId="9" r:id="rId2"/>
    <sheet name="PLAN REV1" sheetId="13" r:id="rId3"/>
    <sheet name="NOTLAR" sheetId="11" r:id="rId4"/>
    <sheet name="TS45 DVP LIST" sheetId="7" r:id="rId5"/>
  </sheets>
  <definedNames>
    <definedName name="_xlnm._FilterDatabase" localSheetId="4" hidden="1">'TS45 DVP LIST'!$B$3:$K$151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 l="1"/>
  <c r="AP16" i="9"/>
  <c r="AQ16" i="9" s="1"/>
  <c r="AR16" i="9" s="1"/>
  <c r="AS16" i="9" s="1"/>
  <c r="AT16" i="9" s="1"/>
  <c r="AU16" i="9" s="1"/>
  <c r="AV16" i="9" s="1"/>
  <c r="AW16" i="9" s="1"/>
  <c r="AX16" i="9" s="1"/>
  <c r="AY16" i="9" s="1"/>
  <c r="AZ16" i="9" s="1"/>
  <c r="BA16" i="9" s="1"/>
  <c r="BB16" i="9" s="1"/>
  <c r="BC16" i="9" s="1"/>
  <c r="BD16" i="9" s="1"/>
  <c r="AJ10" i="9"/>
  <c r="AK10" i="9" s="1"/>
  <c r="AL10" i="9" s="1"/>
  <c r="AM10" i="9" s="1"/>
  <c r="AN10" i="9" s="1"/>
  <c r="AO10" i="9" s="1"/>
  <c r="AP10" i="9" s="1"/>
  <c r="AQ10" i="9" s="1"/>
  <c r="AR10" i="9" s="1"/>
  <c r="AS10" i="9" s="1"/>
  <c r="AT10" i="9" s="1"/>
  <c r="AU10" i="9" s="1"/>
  <c r="AV10" i="9" s="1"/>
  <c r="AW10" i="9" s="1"/>
  <c r="AX10" i="9" s="1"/>
</calcChain>
</file>

<file path=xl/sharedStrings.xml><?xml version="1.0" encoding="utf-8"?>
<sst xmlns="http://schemas.openxmlformats.org/spreadsheetml/2006/main" count="1266" uniqueCount="309">
  <si>
    <t>Test Name</t>
  </si>
  <si>
    <t>ALPHA</t>
  </si>
  <si>
    <t xml:space="preserve">BETA 1 </t>
  </si>
  <si>
    <t>BETA 2</t>
  </si>
  <si>
    <t>BENCH</t>
  </si>
  <si>
    <t>TOTAL TEST SAYISI</t>
  </si>
  <si>
    <t>TOTAL TEST MALİYETİ (EUR)</t>
  </si>
  <si>
    <t>AÇIKLAMA</t>
  </si>
  <si>
    <t xml:space="preserve"> Impact Test</t>
  </si>
  <si>
    <t>X</t>
  </si>
  <si>
    <t xml:space="preserve">Beta 2 aracında yapılacak olan Impact test dış hizmet. </t>
  </si>
  <si>
    <t xml:space="preserve">Alternatör Sign-off </t>
  </si>
  <si>
    <t>Adana'da yapılacaktır.</t>
  </si>
  <si>
    <t xml:space="preserve">Cumming Sign-off </t>
  </si>
  <si>
    <t xml:space="preserve">Current and Voltage Measurement Test </t>
  </si>
  <si>
    <t>Cycle test (10 years)</t>
  </si>
  <si>
    <t>Durability Test</t>
  </si>
  <si>
    <t xml:space="preserve">Sakarya/Tırsan'da yapıalcak olan PG testi ve data toplama dış hizmet alımı. </t>
  </si>
  <si>
    <t>Duty Cycle</t>
  </si>
  <si>
    <t>HVAC Test 
FMVSS 103 Defrosting &amp; defogging</t>
  </si>
  <si>
    <t>İki kabin testi ve bir adet şehirdışı HVAC testleri için mailyet.</t>
  </si>
  <si>
    <t xml:space="preserve">NVH Test </t>
  </si>
  <si>
    <t xml:space="preserve">Beta 2 aracında yapılacak olan iki NVH testi için dış hizmet. </t>
  </si>
  <si>
    <t>Rear towing device strength test</t>
  </si>
  <si>
    <t>Steering Sign-off</t>
  </si>
  <si>
    <t>STI TEST</t>
  </si>
  <si>
    <t>Thaw Test</t>
  </si>
  <si>
    <t>Thermal Management Test</t>
  </si>
  <si>
    <t>Transmission Sign-off</t>
  </si>
  <si>
    <t>Turning Radius Test</t>
  </si>
  <si>
    <t>Bendix Test</t>
  </si>
  <si>
    <t xml:space="preserve">Maliyetler homologasyon ekibine aittir. </t>
  </si>
  <si>
    <t xml:space="preserve">FMVSS 121 Brake System </t>
  </si>
  <si>
    <t xml:space="preserve">FMVSS 136 ESC </t>
  </si>
  <si>
    <t xml:space="preserve">FMVSS 393.94 Interior Noise Test </t>
  </si>
  <si>
    <t xml:space="preserve">FMVSS 325 Noise Emission Standarts </t>
  </si>
  <si>
    <t>FMVSS 120 Weight Distribution</t>
  </si>
  <si>
    <t xml:space="preserve">FMVSS 393.82 Speedometer Test </t>
  </si>
  <si>
    <t xml:space="preserve">TOTAL </t>
  </si>
  <si>
    <t xml:space="preserve">TS45 X10 NEW ENGINE VALIDATION PLAN </t>
  </si>
  <si>
    <t xml:space="preserve">           
                     DATE 
   VEHILCE</t>
  </si>
  <si>
    <t>ARALIK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</si>
  <si>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</si>
  <si>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</si>
  <si>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</si>
  <si>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</si>
  <si>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</si>
  <si>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</si>
  <si>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</si>
  <si>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</si>
  <si>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</si>
  <si>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</si>
  <si>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</si>
  <si>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</si>
  <si>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</si>
  <si>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</si>
  <si>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</si>
  <si>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</si>
  <si>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</si>
  <si>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</si>
  <si>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</si>
  <si>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</si>
  <si>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W6</t>
  </si>
  <si>
    <t>W7</t>
  </si>
  <si>
    <t>W8</t>
  </si>
  <si>
    <t>W9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</si>
  <si>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</si>
  <si>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</si>
  <si>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</si>
  <si>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</si>
  <si>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</si>
  <si>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</si>
  <si>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</si>
  <si>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</si>
  <si>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</si>
  <si>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</si>
  <si>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</si>
  <si>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</si>
  <si>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</si>
  <si>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</si>
  <si>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</si>
  <si>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</si>
  <si>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</si>
  <si>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</si>
  <si>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</si>
  <si>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</si>
  <si>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</si>
  <si>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</si>
  <si>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</si>
  <si>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</si>
  <si>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</si>
  <si>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</si>
  <si>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</si>
  <si>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</si>
  <si>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</si>
  <si>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</si>
  <si>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</si>
  <si>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</si>
  <si>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</si>
  <si>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</si>
  <si>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</si>
  <si>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</si>
  <si>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</si>
  <si>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</si>
  <si>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 xml:space="preserve">AP Prototype
(ALFA ENGINE) </t>
  </si>
  <si>
    <t xml:space="preserve">WORKSHOP </t>
  </si>
  <si>
    <t>CHECK FOR  MAJOR CHANGES</t>
  </si>
  <si>
    <t>DESIGN SIGN-OFF</t>
  </si>
  <si>
    <t>CURRENT AND VOLTAGE MEASUREMENT + ELECTRIC SYSTEM TESTS</t>
  </si>
  <si>
    <t>CUMMINS SIGN-OFF</t>
  </si>
  <si>
    <t>TRANSMISSON SIGN-OFF AND CALIBRATION</t>
  </si>
  <si>
    <t>DUTY CYCLE</t>
  </si>
  <si>
    <t>SUMMER VI TEST</t>
  </si>
  <si>
    <t>WINTER VI TEST</t>
  </si>
  <si>
    <t>ALTERNATOR SIGN-OFF
(DELCO)</t>
  </si>
  <si>
    <t>THAW TEST</t>
  </si>
  <si>
    <t>THERMAL MANAGMENT</t>
  </si>
  <si>
    <t>Vehicle Check</t>
  </si>
  <si>
    <t>Electrical Checks</t>
  </si>
  <si>
    <t>CP1 PROTOTYPE 
(BETA1 ENGINE)</t>
  </si>
  <si>
    <t>PRODUCTION</t>
  </si>
  <si>
    <t>RLD</t>
  </si>
  <si>
    <t>HOMOLOGASYON</t>
  </si>
  <si>
    <t>NVH TESTS</t>
  </si>
  <si>
    <t>STEERING SYSTEM SIGN-OFF</t>
  </si>
  <si>
    <t>PREHEATER SIGN-OFF</t>
  </si>
  <si>
    <t>Proving Ground TEST</t>
  </si>
  <si>
    <t>TOWING DEVICE</t>
  </si>
  <si>
    <t>TURNING RADIUS</t>
  </si>
  <si>
    <t xml:space="preserve">VEHICLE DYNAMICS </t>
  </si>
  <si>
    <t>FUEL CONSUPTION</t>
  </si>
  <si>
    <t>E-FAN SIGN-OFF</t>
  </si>
  <si>
    <t>ALTERNATOR SIGN-OFF
(niehoff)</t>
  </si>
  <si>
    <t>HVAC TEST</t>
  </si>
  <si>
    <t>CP2 PROTOTYPE 
(BETA2 ENGINE)</t>
  </si>
  <si>
    <t xml:space="preserve">SHIPMENT TO USA </t>
  </si>
  <si>
    <t>BENDIX HOMOLOGATION TESTS</t>
  </si>
  <si>
    <t>IMPACT TEST</t>
  </si>
  <si>
    <t>BENCH TESTS</t>
  </si>
  <si>
    <t>Radiator Luggage 
Door &amp; Hinge Mechanism Manuel Cycle Test</t>
  </si>
  <si>
    <t>W1</t>
  </si>
  <si>
    <t>W2</t>
  </si>
  <si>
    <t>W3</t>
  </si>
  <si>
    <t>W4</t>
  </si>
  <si>
    <t>W5</t>
  </si>
  <si>
    <t>NO</t>
  </si>
  <si>
    <t>Problem</t>
  </si>
  <si>
    <t>Yorum</t>
  </si>
  <si>
    <t>Preheater sign-off yok</t>
  </si>
  <si>
    <t xml:space="preserve">E-Fan signoff yok </t>
  </si>
  <si>
    <t xml:space="preserve">yakıt tüketim testleri yok </t>
  </si>
  <si>
    <t xml:space="preserve">Araç dinamiği testleri yok </t>
  </si>
  <si>
    <t xml:space="preserve">Bendix tarihi net değil </t>
  </si>
  <si>
    <t xml:space="preserve">Alfa ne zaman çıkıyor? </t>
  </si>
  <si>
    <t xml:space="preserve">Impact test için omt, platform görüş. Beta 1-2 fark eder mi? </t>
  </si>
  <si>
    <t xml:space="preserve">Amerika Testleri için maliyet ? </t>
  </si>
  <si>
    <t>Bizim tarafta yok</t>
  </si>
  <si>
    <t xml:space="preserve">Buğu çözme testi neree yapılacak MCC BCC </t>
  </si>
  <si>
    <t>?</t>
  </si>
  <si>
    <t>DESIGN</t>
  </si>
  <si>
    <t>ID</t>
  </si>
  <si>
    <t>Category</t>
  </si>
  <si>
    <t>Method</t>
  </si>
  <si>
    <t>BETA CAD</t>
  </si>
  <si>
    <t>BODY</t>
  </si>
  <si>
    <t>Structural Parts</t>
  </si>
  <si>
    <t>Physical Test</t>
  </si>
  <si>
    <t>Corrosion resistance test</t>
  </si>
  <si>
    <t>Visual/Functional Check</t>
  </si>
  <si>
    <t>Motor Mounting passive bracket static strength test</t>
  </si>
  <si>
    <t>CAE</t>
  </si>
  <si>
    <t xml:space="preserve">ADAS </t>
  </si>
  <si>
    <t>Bendix Wingman Fusion 3 – Radar cover validation</t>
  </si>
  <si>
    <t>Steering Column</t>
  </si>
  <si>
    <t>NVH Test</t>
  </si>
  <si>
    <t>Engine Compartment
Insulation Set</t>
  </si>
  <si>
    <t>Internal Noise Test</t>
  </si>
  <si>
    <t>Radiator Luggage 
Door &amp; Hinge Mechanism</t>
  </si>
  <si>
    <t>cycle test (10 years)</t>
  </si>
  <si>
    <t>Cycle Test (Manuel)</t>
  </si>
  <si>
    <t>Hinge mechanism durability test</t>
  </si>
  <si>
    <t xml:space="preserve"> Luggage door - Durability Test</t>
  </si>
  <si>
    <t>Chassis/Body</t>
  </si>
  <si>
    <t>Modal Analysis-NVH</t>
  </si>
  <si>
    <t>Structural Analysis</t>
  </si>
  <si>
    <t>ELECTRIC</t>
  </si>
  <si>
    <t>ENGINE SYSTEM</t>
  </si>
  <si>
    <t>ENGINE HARNESS</t>
  </si>
  <si>
    <t>Thermal Managment Test</t>
  </si>
  <si>
    <t>POWER DISTRIBUTION SYSTEM</t>
  </si>
  <si>
    <t>SMART ALTERNATOR (48V) SYSTEM</t>
  </si>
  <si>
    <t>LOW VOLTAGE SYSTEM CONTROL</t>
  </si>
  <si>
    <t>HVAC</t>
  </si>
  <si>
    <t>CARB Preheater Assembly</t>
  </si>
  <si>
    <t>CAD Data Control</t>
  </si>
  <si>
    <t>Packaging</t>
  </si>
  <si>
    <t>HVAC System Interior heating performance test</t>
  </si>
  <si>
    <t xml:space="preserve">HVAC Test </t>
  </si>
  <si>
    <t>Convector Assembly (Temp. Measurement on convectors)</t>
  </si>
  <si>
    <t>Frontbox Assembly Defoq Test</t>
  </si>
  <si>
    <t>HVAC System (Flow Rate)</t>
  </si>
  <si>
    <t>MECH.</t>
  </si>
  <si>
    <t>Cooling Unit - Vibration test</t>
  </si>
  <si>
    <t>Analysis</t>
  </si>
  <si>
    <t>Engine Mounting Installation</t>
  </si>
  <si>
    <t>Mounting Forces &amp; Geometry</t>
  </si>
  <si>
    <t>ATS - Freeze DEF tank thaw calculation</t>
  </si>
  <si>
    <t xml:space="preserve">Engine Mounts </t>
  </si>
  <si>
    <t>Crankshaft Minimum end Play</t>
  </si>
  <si>
    <t>Belt and Crankshaft Calculations</t>
  </si>
  <si>
    <t>Transmission mounting</t>
  </si>
  <si>
    <t>Transmission static bending moment</t>
  </si>
  <si>
    <t>Vehicle performance simulation</t>
  </si>
  <si>
    <t>DEF tank</t>
  </si>
  <si>
    <t>ATS - Maximum temperature</t>
  </si>
  <si>
    <t>ATS - DEF system layout</t>
  </si>
  <si>
    <t>ATS - Freeze DEF tank thaw test</t>
  </si>
  <si>
    <t>Modal Analaysis</t>
  </si>
  <si>
    <t>ATS - DEF tank design</t>
  </si>
  <si>
    <t>ATS - Coolant Circuit Configuration</t>
  </si>
  <si>
    <t>ATS -  Coolant Flow</t>
  </si>
  <si>
    <t>ATS - Temperature Drop of downpipe</t>
  </si>
  <si>
    <t xml:space="preserve">ATS - Vibration </t>
  </si>
  <si>
    <t>ATS - Exhaust back pressure</t>
  </si>
  <si>
    <t>ATS - leakage rate of downpipe</t>
  </si>
  <si>
    <t>ATS - Bending moments and loading</t>
  </si>
  <si>
    <t>ATS- tailpipe water ingress</t>
  </si>
  <si>
    <t>Air intake - Temperature rise</t>
  </si>
  <si>
    <t>Air intake - Restriciton</t>
  </si>
  <si>
    <t>Machine angularity</t>
  </si>
  <si>
    <t>Compressor-Noise Evaluation</t>
  </si>
  <si>
    <t>Air System Noise Evaluation</t>
  </si>
  <si>
    <t>Compressor-Back pressure</t>
  </si>
  <si>
    <t>Compressor- Air governer</t>
  </si>
  <si>
    <t>Air compressor duty cycle test</t>
  </si>
  <si>
    <t xml:space="preserve">Cooling - Engine cooling </t>
  </si>
  <si>
    <t>Cooling - Expansion Tank Design</t>
  </si>
  <si>
    <t>Cooling - Deaeration and drawdown test</t>
  </si>
  <si>
    <t>Cooling - OEM Accessory Coolant Flow</t>
  </si>
  <si>
    <t>Cooling - OEM Accessory Heat Draw</t>
  </si>
  <si>
    <t>Cooling - Retarder Start Stop Cooling Test</t>
  </si>
  <si>
    <t>Retarder Downgrade Test</t>
  </si>
  <si>
    <t>Cooling - Converter Efficiency Cooling Test</t>
  </si>
  <si>
    <t>Cooling - Idle Test</t>
  </si>
  <si>
    <t>Transmission calibration</t>
  </si>
  <si>
    <t>Fuel - Maximum Fuel Inlet Temperature</t>
  </si>
  <si>
    <t>Fuel - Maximum Fuel Drain Restriction</t>
  </si>
  <si>
    <t>Fuel - Maximum Fuel Supply Restriction</t>
  </si>
  <si>
    <t xml:space="preserve">Fuel - Suction side filter </t>
  </si>
  <si>
    <t xml:space="preserve">Alternator - Operating temperature test </t>
  </si>
  <si>
    <t>Alternator Sign-off</t>
  </si>
  <si>
    <t>Steering Force Performance</t>
  </si>
  <si>
    <t>Steering - Figure - 8 Pressure Measurement Test</t>
  </si>
  <si>
    <t>Steering - Maneuverability</t>
  </si>
  <si>
    <t>Bendix Wingman Fusion 3</t>
  </si>
  <si>
    <t>Air filter - Scavange  system</t>
  </si>
  <si>
    <t>SOFTWARE</t>
  </si>
  <si>
    <t>ZR5 DIAGNOSTICS</t>
  </si>
  <si>
    <t>Functional Checks</t>
  </si>
  <si>
    <t>MVP12 DIAGNOSTICS</t>
  </si>
  <si>
    <t>DRIVER INFORMATION</t>
  </si>
  <si>
    <t>RED WARNING LAMPS</t>
  </si>
  <si>
    <t>AMBER WARNING LAMPS</t>
  </si>
  <si>
    <t>TELL TALES</t>
  </si>
  <si>
    <t>SYSTEM VALUES</t>
  </si>
  <si>
    <t>MENU CONTROL</t>
  </si>
  <si>
    <t>RETARDER CAN MESSAGES</t>
  </si>
  <si>
    <t>RETARDER DIAGNOSTICS</t>
  </si>
  <si>
    <t>RETARDER DRIVER INFORMATION INTERFACE</t>
  </si>
  <si>
    <t>RETARDER TORQUE</t>
  </si>
  <si>
    <t>TRANSMISSION CAN MESSAGES</t>
  </si>
  <si>
    <t>TRANSMISSION SHIFTING PROGRAMS</t>
  </si>
  <si>
    <t>SHIFT SELECTOR</t>
  </si>
  <si>
    <t>TRANSMISSION DRIVER INFORMATION INTERFACE</t>
  </si>
  <si>
    <t>ENGINE CAN MESSAGES</t>
  </si>
  <si>
    <t>ENGINE DIAGNOSTICS</t>
  </si>
  <si>
    <t>STARTER MOTOR CONTROL</t>
  </si>
  <si>
    <t>ENGINE BRAKE</t>
  </si>
  <si>
    <t>ENGINE DRIVING MODES</t>
  </si>
  <si>
    <t>FAST IDLE CONTROL</t>
  </si>
  <si>
    <t>CRUISE CONTROL</t>
  </si>
  <si>
    <t>ADAS CAN MESSAGES</t>
  </si>
  <si>
    <t>TPMS</t>
  </si>
  <si>
    <t>TRAFFIC SIGN IDENTIFICATION</t>
  </si>
  <si>
    <t>LDWS</t>
  </si>
  <si>
    <t>ACC SYSTEM</t>
  </si>
  <si>
    <t>AEBS SYSTEM</t>
  </si>
  <si>
    <t>LOWERING</t>
  </si>
  <si>
    <t>LIFTING</t>
  </si>
  <si>
    <t xml:space="preserve">ABS DIAGNOSTICS </t>
  </si>
  <si>
    <t>ABS CAN MESSAGES</t>
  </si>
  <si>
    <t>ABS</t>
  </si>
  <si>
    <t>BRAKE LINING SYSTEM</t>
  </si>
  <si>
    <t>PARK BRAKE</t>
  </si>
  <si>
    <t>ASR</t>
  </si>
  <si>
    <t>HALT BRAKE</t>
  </si>
  <si>
    <t>MULTIMEDIA SYSTEM</t>
  </si>
  <si>
    <t>CENTRAL LOCK SYSTEM</t>
  </si>
  <si>
    <t>MIRROR HEATING SYSTEM</t>
  </si>
  <si>
    <t>CURTAIN SYSTEM</t>
  </si>
  <si>
    <t>DOOR SYSTEM</t>
  </si>
  <si>
    <t>INSIDE LAMPS</t>
  </si>
  <si>
    <t>OUTSIDE LAMPS</t>
  </si>
  <si>
    <t>STEERING WHEEL - STALK SWITCHES</t>
  </si>
  <si>
    <t>WIPER SYSTEM</t>
  </si>
  <si>
    <t>HORNS</t>
  </si>
  <si>
    <t>FIRE WARNING SYSTEM</t>
  </si>
  <si>
    <t xml:space="preserve">OUTSIDE DOOR, ECU WAKEUP </t>
  </si>
  <si>
    <t>REVERSING BUZZER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</si>
</sst>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000000"/>
      <name val="Arial"/>
    </font>
    <font>
      <sz val="8"/>
      <name val="Calibri"/>
      <family val="2"/>
      <scheme val="minor"/>
    </font>
    <font>
      <b/>
      <sz val="14"/>
      <color rgb="FF000000"/>
      <name val="Arial"/>
      <family val="2"/>
      <charset val="162"/>
    </font>
    <font>
      <b/>
      <sz val="18"/>
      <color theme="1"/>
      <name val="Arial"/>
      <family val="2"/>
      <charset val="162"/>
    </font>
    <font>
      <b/>
      <sz val="36"/>
      <color theme="1"/>
      <name val="Arial"/>
      <family val="2"/>
      <charset val="162"/>
    </font>
    <font>
      <b/>
      <sz val="28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36"/>
      <color theme="0"/>
      <name val="Arial"/>
      <family val="2"/>
      <charset val="162"/>
    </font>
    <font>
      <b/>
      <sz val="25"/>
      <color theme="1"/>
      <name val="Arial"/>
      <family val="2"/>
      <charset val="162"/>
    </font>
    <font>
      <b/>
      <sz val="11"/>
      <color theme="1"/>
      <name val="Calibri Light"/>
      <family val="2"/>
      <charset val="162"/>
      <scheme val="major"/>
    </font>
    <font>
      <sz val="11"/>
      <color theme="1"/>
      <name val="Calibri Light"/>
      <family val="2"/>
      <charset val="162"/>
      <scheme val="major"/>
    </font>
    <font>
      <sz val="11"/>
      <name val="Calibri Light"/>
      <family val="2"/>
      <charset val="162"/>
      <scheme val="major"/>
    </font>
    <font>
      <b/>
      <sz val="11"/>
      <color theme="0"/>
      <name val="Calibri"/>
      <family val="2"/>
      <charset val="162"/>
      <scheme val="minor"/>
    </font>
    <font>
      <b/>
      <sz val="48"/>
      <color theme="1"/>
      <name val="Arial"/>
      <family val="2"/>
      <charset val="162"/>
    </font>
    <font>
      <b/>
      <sz val="16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3"/>
      <color rgb="FF00000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26">
    <xf numFmtId="0" fontId="0" fillId="0" borderId="0" xfId="0"/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16" borderId="18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33" xfId="0" applyFont="1" applyBorder="1"/>
    <xf numFmtId="0" fontId="21" fillId="0" borderId="33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16" borderId="37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top" wrapText="1"/>
    </xf>
    <xf numFmtId="0" fontId="11" fillId="8" borderId="30" xfId="0" applyFont="1" applyFill="1" applyBorder="1" applyAlignment="1">
      <alignment horizontal="left" vertical="top" wrapText="1"/>
    </xf>
    <xf numFmtId="0" fontId="9" fillId="6" borderId="1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2" borderId="3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11" fillId="8" borderId="40" xfId="0" applyFont="1" applyFill="1" applyBorder="1" applyAlignment="1">
      <alignment horizontal="left" vertical="top" wrapText="1"/>
    </xf>
  </cellXfs>
  <cellStyles count="3">
    <cellStyle name="Normal" xfId="0" builtinId="0"/>
    <cellStyle name="Normal 2" xfId="2" xr:uid="{53EC52AD-8078-462E-B00A-A3BC3D232E98}"/>
    <cellStyle name="Normal 3" xfId="1" xr:uid="{77B74AF2-B898-4CE8-99E5-6550FC3D8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160218</xdr:colOff>
      <xdr:row>18</xdr:row>
      <xdr:rowOff>768667</xdr:rowOff>
    </xdr:from>
    <xdr:to>
      <xdr:col>39</xdr:col>
      <xdr:colOff>878403</xdr:colOff>
      <xdr:row>20</xdr:row>
      <xdr:rowOff>199071</xdr:rowOff>
    </xdr:to>
    <xdr:sp macro="" textlink="">
      <xdr:nvSpPr>
        <xdr:cNvPr id="2" name="Yıldız: 5 Nokta 1">
          <a:extLst>
            <a:ext uri="{FF2B5EF4-FFF2-40B4-BE49-F238E27FC236}">
              <a16:creationId xmlns:a16="http://schemas.microsoft.com/office/drawing/2014/main" id="{0020BF15-7A87-42DA-8BA9-350070D9CC9A}"/>
            </a:ext>
          </a:extLst>
        </xdr:cNvPr>
        <xdr:cNvSpPr/>
      </xdr:nvSpPr>
      <xdr:spPr>
        <a:xfrm>
          <a:off x="33116718" y="15856267"/>
          <a:ext cx="1784985" cy="1335404"/>
        </a:xfrm>
        <a:prstGeom prst="star5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38</xdr:col>
      <xdr:colOff>986035</xdr:colOff>
      <xdr:row>4</xdr:row>
      <xdr:rowOff>495300</xdr:rowOff>
    </xdr:from>
    <xdr:to>
      <xdr:col>39</xdr:col>
      <xdr:colOff>88780</xdr:colOff>
      <xdr:row>28</xdr:row>
      <xdr:rowOff>26669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F17EBD0-AEEC-3813-F14E-9486A304BB95}"/>
            </a:ext>
          </a:extLst>
        </xdr:cNvPr>
        <xdr:cNvCxnSpPr/>
      </xdr:nvCxnSpPr>
      <xdr:spPr>
        <a:xfrm>
          <a:off x="33942535" y="3886200"/>
          <a:ext cx="169545" cy="20105369"/>
        </a:xfrm>
        <a:prstGeom prst="line">
          <a:avLst/>
        </a:prstGeom>
        <a:ln w="76200" cap="flat" cmpd="sng" algn="ctr">
          <a:solidFill>
            <a:srgbClr val="92D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211336</xdr:colOff>
      <xdr:row>18</xdr:row>
      <xdr:rowOff>655320</xdr:rowOff>
    </xdr:from>
    <xdr:to>
      <xdr:col>50</xdr:col>
      <xdr:colOff>929520</xdr:colOff>
      <xdr:row>20</xdr:row>
      <xdr:rowOff>87629</xdr:rowOff>
    </xdr:to>
    <xdr:sp macro="" textlink="">
      <xdr:nvSpPr>
        <xdr:cNvPr id="9" name="Yıldız: 5 Nokta 1">
          <a:extLst>
            <a:ext uri="{FF2B5EF4-FFF2-40B4-BE49-F238E27FC236}">
              <a16:creationId xmlns:a16="http://schemas.microsoft.com/office/drawing/2014/main" id="{4AE66BD2-A09F-44D3-8748-13481CACB97A}"/>
            </a:ext>
          </a:extLst>
        </xdr:cNvPr>
        <xdr:cNvSpPr/>
      </xdr:nvSpPr>
      <xdr:spPr>
        <a:xfrm>
          <a:off x="58771036" y="15742920"/>
          <a:ext cx="1784984" cy="1337309"/>
        </a:xfrm>
        <a:prstGeom prst="star5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49</xdr:col>
      <xdr:colOff>1025723</xdr:colOff>
      <xdr:row>4</xdr:row>
      <xdr:rowOff>495300</xdr:rowOff>
    </xdr:from>
    <xdr:to>
      <xdr:col>50</xdr:col>
      <xdr:colOff>130372</xdr:colOff>
      <xdr:row>28</xdr:row>
      <xdr:rowOff>22859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C9A85FD-631F-421D-923C-5A58C9131E95}"/>
            </a:ext>
          </a:extLst>
        </xdr:cNvPr>
        <xdr:cNvCxnSpPr/>
      </xdr:nvCxnSpPr>
      <xdr:spPr>
        <a:xfrm>
          <a:off x="45717023" y="3886200"/>
          <a:ext cx="171449" cy="20101559"/>
        </a:xfrm>
        <a:prstGeom prst="line">
          <a:avLst/>
        </a:prstGeom>
        <a:ln w="76200" cap="flat" cmpd="sng" algn="ctr">
          <a:solidFill>
            <a:srgbClr val="92D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39884</xdr:colOff>
      <xdr:row>20</xdr:row>
      <xdr:rowOff>174307</xdr:rowOff>
    </xdr:from>
    <xdr:to>
      <xdr:col>51</xdr:col>
      <xdr:colOff>84548</xdr:colOff>
      <xdr:row>20</xdr:row>
      <xdr:rowOff>846772</xdr:rowOff>
    </xdr:to>
    <xdr:sp macro="" textlink="">
      <xdr:nvSpPr>
        <xdr:cNvPr id="11" name="Metin kutusu 2">
          <a:extLst>
            <a:ext uri="{FF2B5EF4-FFF2-40B4-BE49-F238E27FC236}">
              <a16:creationId xmlns:a16="http://schemas.microsoft.com/office/drawing/2014/main" id="{5D88A7F4-FFEE-4D38-9661-0946D7A8E7A1}"/>
            </a:ext>
          </a:extLst>
        </xdr:cNvPr>
        <xdr:cNvSpPr txBox="1"/>
      </xdr:nvSpPr>
      <xdr:spPr>
        <a:xfrm>
          <a:off x="58599584" y="17166907"/>
          <a:ext cx="2178264" cy="672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4000"/>
            <a:t>FESO</a:t>
          </a:r>
        </a:p>
      </xdr:txBody>
    </xdr:sp>
    <xdr:clientData/>
  </xdr:twoCellAnchor>
  <xdr:twoCellAnchor>
    <xdr:from>
      <xdr:col>38</xdr:col>
      <xdr:colOff>70682</xdr:colOff>
      <xdr:row>20</xdr:row>
      <xdr:rowOff>161924</xdr:rowOff>
    </xdr:from>
    <xdr:to>
      <xdr:col>40</xdr:col>
      <xdr:colOff>118309</xdr:colOff>
      <xdr:row>20</xdr:row>
      <xdr:rowOff>821054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C83076BD-A7E4-4325-88FA-6BFDC9CE663C}"/>
            </a:ext>
          </a:extLst>
        </xdr:cNvPr>
        <xdr:cNvSpPr txBox="1"/>
      </xdr:nvSpPr>
      <xdr:spPr>
        <a:xfrm>
          <a:off x="33027182" y="17154524"/>
          <a:ext cx="2181227" cy="659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4000"/>
            <a:t>PESO</a:t>
          </a:r>
        </a:p>
      </xdr:txBody>
    </xdr:sp>
    <xdr:clientData/>
  </xdr:twoCellAnchor>
  <xdr:twoCellAnchor editAs="oneCell">
    <xdr:from>
      <xdr:col>1</xdr:col>
      <xdr:colOff>333375</xdr:colOff>
      <xdr:row>28</xdr:row>
      <xdr:rowOff>865187</xdr:rowOff>
    </xdr:from>
    <xdr:to>
      <xdr:col>38</xdr:col>
      <xdr:colOff>183234</xdr:colOff>
      <xdr:row>45</xdr:row>
      <xdr:rowOff>127000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D085F79E-C23C-1CF7-C643-B0FEFD3D2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7625" y="25471437"/>
          <a:ext cx="40743859" cy="15454313"/>
        </a:xfrm>
        <a:prstGeom prst="rect">
          <a:avLst/>
        </a:prstGeom>
      </xdr:spPr>
    </xdr:pic>
    <xdr:clientData/>
  </xdr:twoCellAnchor>
  <xdr:twoCellAnchor>
    <xdr:from>
      <xdr:col>35</xdr:col>
      <xdr:colOff>889000</xdr:colOff>
      <xdr:row>18</xdr:row>
      <xdr:rowOff>711200</xdr:rowOff>
    </xdr:from>
    <xdr:to>
      <xdr:col>37</xdr:col>
      <xdr:colOff>559435</xdr:colOff>
      <xdr:row>20</xdr:row>
      <xdr:rowOff>141604</xdr:rowOff>
    </xdr:to>
    <xdr:sp macro="" textlink="">
      <xdr:nvSpPr>
        <xdr:cNvPr id="19" name="Yıldız: 5 Nokta 18">
          <a:extLst>
            <a:ext uri="{FF2B5EF4-FFF2-40B4-BE49-F238E27FC236}">
              <a16:creationId xmlns:a16="http://schemas.microsoft.com/office/drawing/2014/main" id="{61483DC8-1771-4106-936A-FE8F5A243DC4}"/>
            </a:ext>
          </a:extLst>
        </xdr:cNvPr>
        <xdr:cNvSpPr/>
      </xdr:nvSpPr>
      <xdr:spPr>
        <a:xfrm>
          <a:off x="30645100" y="15798800"/>
          <a:ext cx="1804035" cy="1335404"/>
        </a:xfrm>
        <a:prstGeom prst="star5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 </a:t>
          </a:r>
        </a:p>
      </xdr:txBody>
    </xdr:sp>
    <xdr:clientData/>
  </xdr:twoCellAnchor>
  <xdr:twoCellAnchor>
    <xdr:from>
      <xdr:col>35</xdr:col>
      <xdr:colOff>412750</xdr:colOff>
      <xdr:row>20</xdr:row>
      <xdr:rowOff>168274</xdr:rowOff>
    </xdr:from>
    <xdr:to>
      <xdr:col>37</xdr:col>
      <xdr:colOff>969209</xdr:colOff>
      <xdr:row>21</xdr:row>
      <xdr:rowOff>704850</xdr:rowOff>
    </xdr:to>
    <xdr:sp macro="" textlink="">
      <xdr:nvSpPr>
        <xdr:cNvPr id="20" name="Metin kutusu 19">
          <a:extLst>
            <a:ext uri="{FF2B5EF4-FFF2-40B4-BE49-F238E27FC236}">
              <a16:creationId xmlns:a16="http://schemas.microsoft.com/office/drawing/2014/main" id="{BF7D8D35-0855-493C-B4DF-2325ABD26802}"/>
            </a:ext>
          </a:extLst>
        </xdr:cNvPr>
        <xdr:cNvSpPr txBox="1"/>
      </xdr:nvSpPr>
      <xdr:spPr>
        <a:xfrm>
          <a:off x="30168850" y="17160874"/>
          <a:ext cx="2690059" cy="1489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4000"/>
            <a:t>DEEP DIVE TOPLANTISI</a:t>
          </a:r>
        </a:p>
      </xdr:txBody>
    </xdr:sp>
    <xdr:clientData/>
  </xdr:twoCellAnchor>
  <xdr:twoCellAnchor>
    <xdr:from>
      <xdr:col>46</xdr:col>
      <xdr:colOff>882650</xdr:colOff>
      <xdr:row>18</xdr:row>
      <xdr:rowOff>673100</xdr:rowOff>
    </xdr:from>
    <xdr:to>
      <xdr:col>48</xdr:col>
      <xdr:colOff>553085</xdr:colOff>
      <xdr:row>20</xdr:row>
      <xdr:rowOff>103504</xdr:rowOff>
    </xdr:to>
    <xdr:sp macro="" textlink="">
      <xdr:nvSpPr>
        <xdr:cNvPr id="21" name="Yıldız: 5 Nokta 20">
          <a:extLst>
            <a:ext uri="{FF2B5EF4-FFF2-40B4-BE49-F238E27FC236}">
              <a16:creationId xmlns:a16="http://schemas.microsoft.com/office/drawing/2014/main" id="{C8ACEDE6-01CA-42FD-BA77-F75A7F61FD9E}"/>
            </a:ext>
          </a:extLst>
        </xdr:cNvPr>
        <xdr:cNvSpPr/>
      </xdr:nvSpPr>
      <xdr:spPr>
        <a:xfrm>
          <a:off x="42373550" y="15760700"/>
          <a:ext cx="1804035" cy="1335404"/>
        </a:xfrm>
        <a:prstGeom prst="star5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 </a:t>
          </a:r>
        </a:p>
      </xdr:txBody>
    </xdr:sp>
    <xdr:clientData/>
  </xdr:twoCellAnchor>
  <xdr:twoCellAnchor>
    <xdr:from>
      <xdr:col>46</xdr:col>
      <xdr:colOff>406400</xdr:colOff>
      <xdr:row>20</xdr:row>
      <xdr:rowOff>139699</xdr:rowOff>
    </xdr:from>
    <xdr:to>
      <xdr:col>48</xdr:col>
      <xdr:colOff>962859</xdr:colOff>
      <xdr:row>21</xdr:row>
      <xdr:rowOff>666750</xdr:rowOff>
    </xdr:to>
    <xdr:sp macro="" textlink="">
      <xdr:nvSpPr>
        <xdr:cNvPr id="22" name="Metin kutusu 21">
          <a:extLst>
            <a:ext uri="{FF2B5EF4-FFF2-40B4-BE49-F238E27FC236}">
              <a16:creationId xmlns:a16="http://schemas.microsoft.com/office/drawing/2014/main" id="{B5AAF7FB-42A8-4E4C-9B64-573FEA086402}"/>
            </a:ext>
          </a:extLst>
        </xdr:cNvPr>
        <xdr:cNvSpPr txBox="1"/>
      </xdr:nvSpPr>
      <xdr:spPr>
        <a:xfrm>
          <a:off x="41897300" y="17132299"/>
          <a:ext cx="2690059" cy="1479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4000"/>
            <a:t>DEEP DIVE TOPLANTISI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14485</xdr:colOff>
      <xdr:row>4</xdr:row>
      <xdr:rowOff>142875</xdr:rowOff>
    </xdr:from>
    <xdr:to>
      <xdr:col>26</xdr:col>
      <xdr:colOff>164980</xdr:colOff>
      <xdr:row>27</xdr:row>
      <xdr:rowOff>626744</xdr:rowOff>
    </xdr:to>
    <xdr:cxnSp macro="">
      <xdr:nvCxnSpPr>
        <xdr:cNvPr id="14" name="Straight Connector 6">
          <a:extLst>
            <a:ext uri="{FF2B5EF4-FFF2-40B4-BE49-F238E27FC236}">
              <a16:creationId xmlns:a16="http://schemas.microsoft.com/office/drawing/2014/main" id="{33B3A401-2D2C-46D6-BDFB-307131332501}"/>
            </a:ext>
          </a:extLst>
        </xdr:cNvPr>
        <xdr:cNvCxnSpPr/>
      </xdr:nvCxnSpPr>
      <xdr:spPr>
        <a:xfrm>
          <a:off x="29313385" y="3505200"/>
          <a:ext cx="150495" cy="20162519"/>
        </a:xfrm>
        <a:prstGeom prst="line">
          <a:avLst/>
        </a:prstGeom>
        <a:ln w="76200" cap="flat" cmpd="sng" algn="ctr">
          <a:solidFill>
            <a:srgbClr val="92D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1025723</xdr:colOff>
      <xdr:row>4</xdr:row>
      <xdr:rowOff>495300</xdr:rowOff>
    </xdr:from>
    <xdr:to>
      <xdr:col>37</xdr:col>
      <xdr:colOff>130372</xdr:colOff>
      <xdr:row>28</xdr:row>
      <xdr:rowOff>22859</xdr:rowOff>
    </xdr:to>
    <xdr:cxnSp macro="">
      <xdr:nvCxnSpPr>
        <xdr:cNvPr id="16" name="Straight Connector 9">
          <a:extLst>
            <a:ext uri="{FF2B5EF4-FFF2-40B4-BE49-F238E27FC236}">
              <a16:creationId xmlns:a16="http://schemas.microsoft.com/office/drawing/2014/main" id="{D9069CAE-7CC0-4D4C-83E5-33FEC62631C9}"/>
            </a:ext>
          </a:extLst>
        </xdr:cNvPr>
        <xdr:cNvCxnSpPr/>
      </xdr:nvCxnSpPr>
      <xdr:spPr>
        <a:xfrm>
          <a:off x="54422873" y="3857625"/>
          <a:ext cx="152399" cy="20130134"/>
        </a:xfrm>
        <a:prstGeom prst="line">
          <a:avLst/>
        </a:prstGeom>
        <a:ln w="76200" cap="flat" cmpd="sng" algn="ctr">
          <a:solidFill>
            <a:srgbClr val="92D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333375</xdr:colOff>
      <xdr:row>28</xdr:row>
      <xdr:rowOff>865187</xdr:rowOff>
    </xdr:from>
    <xdr:to>
      <xdr:col>62</xdr:col>
      <xdr:colOff>854746</xdr:colOff>
      <xdr:row>45</xdr:row>
      <xdr:rowOff>127000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239C9CDA-CF78-4BE8-9C53-B0771204C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4830087"/>
          <a:ext cx="40740684" cy="15454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AE7B-3DAB-4413-B114-2EADC0734D3F}">
  <dimension ref="B3:I54"/>
  <sheetViews>
    <sheetView topLeftCell="A3" zoomScale="110" workbookViewId="0">
      <selection activeCell="H11" sqref="H11"/>
    </sheetView>
  </sheetViews>
  <sheetFormatPr defaultRowHeight="15"/>
  <cols>
    <col min="1" max="1" width="9.140625" style="10"/>
    <col min="2" max="2" width="41.7109375" style="10" bestFit="1" customWidth="1"/>
    <col min="3" max="3" width="12.42578125" style="10" bestFit="1" customWidth="1"/>
    <col min="4" max="4" width="8.5703125" style="10" bestFit="1" customWidth="1"/>
    <col min="5" max="6" width="8" style="10" bestFit="1" customWidth="1"/>
    <col min="7" max="7" width="12.5703125" style="10" bestFit="1" customWidth="1"/>
    <col min="8" max="8" width="12.7109375" style="10" customWidth="1"/>
    <col min="9" max="9" width="68" style="10" bestFit="1" customWidth="1"/>
    <col min="10" max="16384" width="9.140625" style="10"/>
  </cols>
  <sheetData>
    <row r="3" spans="2:9" ht="63"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27" t="s">
        <v>5</v>
      </c>
      <c r="H3" s="3" t="s">
        <v>6</v>
      </c>
      <c r="I3" s="27" t="s">
        <v>7</v>
      </c>
    </row>
    <row r="4" spans="2:9">
      <c r="B4" s="18" t="s">
        <v>8</v>
      </c>
      <c r="C4" s="18"/>
      <c r="D4" s="18" t="s">
        <v>9</v>
      </c>
      <c r="E4" s="18"/>
      <c r="F4" s="18"/>
      <c r="G4" s="1">
        <v>1</v>
      </c>
      <c r="H4" s="56">
        <v>7500</v>
      </c>
      <c r="I4" s="55" t="s">
        <v>10</v>
      </c>
    </row>
    <row r="5" spans="2:9">
      <c r="B5" s="18" t="s">
        <v>11</v>
      </c>
      <c r="C5" s="18" t="s">
        <v>9</v>
      </c>
      <c r="D5" s="18" t="s">
        <v>9</v>
      </c>
      <c r="E5" s="18"/>
      <c r="F5" s="18"/>
      <c r="G5" s="1">
        <v>2</v>
      </c>
      <c r="H5" s="56">
        <v>0</v>
      </c>
      <c r="I5" s="55" t="s">
        <v>12</v>
      </c>
    </row>
    <row r="6" spans="2:9" ht="15" customHeight="1">
      <c r="B6" s="18" t="s">
        <v>13</v>
      </c>
      <c r="C6" s="18" t="s">
        <v>9</v>
      </c>
      <c r="D6" s="18" t="s">
        <v>9</v>
      </c>
      <c r="E6" s="18"/>
      <c r="F6" s="18"/>
      <c r="G6" s="1">
        <v>2</v>
      </c>
      <c r="H6" s="56">
        <v>0</v>
      </c>
      <c r="I6" s="55" t="s">
        <v>12</v>
      </c>
    </row>
    <row r="7" spans="2:9" ht="15" customHeight="1">
      <c r="B7" s="18" t="s">
        <v>14</v>
      </c>
      <c r="C7" s="18" t="s">
        <v>9</v>
      </c>
      <c r="D7" s="18" t="s">
        <v>9</v>
      </c>
      <c r="E7" s="18"/>
      <c r="F7" s="18"/>
      <c r="G7" s="1">
        <v>2</v>
      </c>
      <c r="H7" s="56">
        <v>0</v>
      </c>
      <c r="I7" s="55" t="s">
        <v>12</v>
      </c>
    </row>
    <row r="8" spans="2:9">
      <c r="B8" s="18" t="s">
        <v>15</v>
      </c>
      <c r="C8" s="18"/>
      <c r="D8" s="18"/>
      <c r="E8" s="18"/>
      <c r="F8" s="18" t="s">
        <v>9</v>
      </c>
      <c r="G8" s="1">
        <v>1</v>
      </c>
      <c r="H8" s="56">
        <v>0</v>
      </c>
      <c r="I8" s="55" t="s">
        <v>12</v>
      </c>
    </row>
    <row r="9" spans="2:9">
      <c r="B9" s="18" t="s">
        <v>16</v>
      </c>
      <c r="C9" s="18"/>
      <c r="D9" s="18" t="s">
        <v>9</v>
      </c>
      <c r="E9" s="18"/>
      <c r="F9" s="18"/>
      <c r="G9" s="1">
        <v>1</v>
      </c>
      <c r="H9" s="56">
        <v>50000</v>
      </c>
      <c r="I9" s="55" t="s">
        <v>17</v>
      </c>
    </row>
    <row r="10" spans="2:9">
      <c r="B10" s="18" t="s">
        <v>18</v>
      </c>
      <c r="C10" s="18" t="s">
        <v>9</v>
      </c>
      <c r="D10" s="18"/>
      <c r="E10" s="18"/>
      <c r="F10" s="18"/>
      <c r="G10" s="1">
        <v>1</v>
      </c>
      <c r="H10" s="56">
        <v>0</v>
      </c>
      <c r="I10" s="55" t="s">
        <v>12</v>
      </c>
    </row>
    <row r="11" spans="2:9" ht="30" customHeight="1">
      <c r="B11" s="53" t="s">
        <v>19</v>
      </c>
      <c r="C11" s="18"/>
      <c r="D11" s="18" t="s">
        <v>9</v>
      </c>
      <c r="E11" s="18"/>
      <c r="F11" s="18"/>
      <c r="G11" s="1">
        <v>1</v>
      </c>
      <c r="H11" s="56">
        <v>25000</v>
      </c>
      <c r="I11" s="55" t="s">
        <v>20</v>
      </c>
    </row>
    <row r="12" spans="2:9" ht="15" customHeight="1">
      <c r="B12" s="18" t="s">
        <v>21</v>
      </c>
      <c r="C12" s="18"/>
      <c r="D12" s="18" t="s">
        <v>9</v>
      </c>
      <c r="E12" s="18"/>
      <c r="F12" s="18"/>
      <c r="G12" s="1">
        <v>2</v>
      </c>
      <c r="H12" s="56">
        <v>20000</v>
      </c>
      <c r="I12" s="55" t="s">
        <v>22</v>
      </c>
    </row>
    <row r="13" spans="2:9" ht="15" customHeight="1">
      <c r="B13" s="18" t="s">
        <v>23</v>
      </c>
      <c r="C13" s="18"/>
      <c r="D13" s="18" t="s">
        <v>9</v>
      </c>
      <c r="E13" s="18"/>
      <c r="F13" s="18"/>
      <c r="G13" s="1">
        <v>1</v>
      </c>
      <c r="H13" s="56">
        <v>0</v>
      </c>
      <c r="I13" s="55" t="s">
        <v>12</v>
      </c>
    </row>
    <row r="14" spans="2:9" ht="15" customHeight="1">
      <c r="B14" s="18" t="s">
        <v>24</v>
      </c>
      <c r="C14" s="18"/>
      <c r="D14" s="18" t="s">
        <v>9</v>
      </c>
      <c r="E14" s="18"/>
      <c r="F14" s="18"/>
      <c r="G14" s="1">
        <v>1</v>
      </c>
      <c r="H14" s="56">
        <v>0</v>
      </c>
      <c r="I14" s="55" t="s">
        <v>12</v>
      </c>
    </row>
    <row r="15" spans="2:9" ht="15" customHeight="1">
      <c r="B15" s="18" t="s">
        <v>25</v>
      </c>
      <c r="C15" s="18" t="s">
        <v>9</v>
      </c>
      <c r="D15" s="18" t="s">
        <v>9</v>
      </c>
      <c r="E15" s="18"/>
      <c r="F15" s="18"/>
      <c r="G15" s="1">
        <v>2</v>
      </c>
      <c r="H15" s="56">
        <v>0</v>
      </c>
      <c r="I15" s="55" t="s">
        <v>12</v>
      </c>
    </row>
    <row r="16" spans="2:9" ht="15" customHeight="1">
      <c r="B16" s="18" t="s">
        <v>26</v>
      </c>
      <c r="C16" s="18" t="s">
        <v>9</v>
      </c>
      <c r="D16" s="18"/>
      <c r="E16" s="18"/>
      <c r="F16" s="18"/>
      <c r="G16" s="1">
        <v>1</v>
      </c>
      <c r="H16" s="56">
        <v>0</v>
      </c>
      <c r="I16" s="55" t="s">
        <v>12</v>
      </c>
    </row>
    <row r="17" spans="2:9" ht="15" customHeight="1">
      <c r="B17" s="18" t="s">
        <v>27</v>
      </c>
      <c r="C17" s="18" t="s">
        <v>9</v>
      </c>
      <c r="D17" s="18" t="s">
        <v>9</v>
      </c>
      <c r="E17" s="18"/>
      <c r="F17" s="18"/>
      <c r="G17" s="1">
        <v>2</v>
      </c>
      <c r="H17" s="56">
        <v>0</v>
      </c>
      <c r="I17" s="55" t="s">
        <v>12</v>
      </c>
    </row>
    <row r="18" spans="2:9" ht="15" customHeight="1">
      <c r="B18" s="18" t="s">
        <v>28</v>
      </c>
      <c r="C18" s="18" t="s">
        <v>9</v>
      </c>
      <c r="D18" s="18" t="s">
        <v>9</v>
      </c>
      <c r="E18" s="18"/>
      <c r="F18" s="18"/>
      <c r="G18" s="1">
        <v>2</v>
      </c>
      <c r="H18" s="56">
        <v>0</v>
      </c>
      <c r="I18" s="55" t="s">
        <v>12</v>
      </c>
    </row>
    <row r="19" spans="2:9" ht="15" customHeight="1">
      <c r="B19" s="18" t="s">
        <v>29</v>
      </c>
      <c r="C19" s="18"/>
      <c r="D19" s="18" t="s">
        <v>9</v>
      </c>
      <c r="E19" s="18"/>
      <c r="F19" s="18"/>
      <c r="G19" s="1">
        <v>1</v>
      </c>
      <c r="H19" s="56">
        <v>0</v>
      </c>
      <c r="I19" s="55" t="s">
        <v>12</v>
      </c>
    </row>
    <row r="20" spans="2:9" ht="15" customHeight="1">
      <c r="B20" s="18" t="s">
        <v>30</v>
      </c>
      <c r="C20" s="18"/>
      <c r="D20" s="18"/>
      <c r="E20" s="18" t="s">
        <v>9</v>
      </c>
      <c r="F20" s="18"/>
      <c r="G20" s="1">
        <v>1</v>
      </c>
      <c r="H20" s="56">
        <v>0</v>
      </c>
      <c r="I20" s="70" t="s">
        <v>31</v>
      </c>
    </row>
    <row r="21" spans="2:9" ht="15" customHeight="1">
      <c r="B21" s="18" t="s">
        <v>32</v>
      </c>
      <c r="C21" s="1"/>
      <c r="D21" s="1"/>
      <c r="E21" s="18" t="s">
        <v>9</v>
      </c>
      <c r="F21" s="1"/>
      <c r="G21" s="1">
        <v>1</v>
      </c>
      <c r="H21" s="56">
        <v>0</v>
      </c>
      <c r="I21" s="70"/>
    </row>
    <row r="22" spans="2:9" ht="15" customHeight="1">
      <c r="B22" s="18" t="s">
        <v>33</v>
      </c>
      <c r="C22" s="1"/>
      <c r="D22" s="1"/>
      <c r="E22" s="18" t="s">
        <v>9</v>
      </c>
      <c r="F22" s="1"/>
      <c r="G22" s="1">
        <v>1</v>
      </c>
      <c r="H22" s="56">
        <v>0</v>
      </c>
      <c r="I22" s="70"/>
    </row>
    <row r="23" spans="2:9" ht="15" customHeight="1">
      <c r="B23" s="18" t="s">
        <v>34</v>
      </c>
      <c r="C23" s="1"/>
      <c r="D23" s="18" t="s">
        <v>9</v>
      </c>
      <c r="E23" s="1"/>
      <c r="F23" s="1"/>
      <c r="G23" s="1">
        <v>1</v>
      </c>
      <c r="H23" s="56">
        <v>0</v>
      </c>
      <c r="I23" s="70"/>
    </row>
    <row r="24" spans="2:9" ht="15" customHeight="1">
      <c r="B24" s="18" t="s">
        <v>35</v>
      </c>
      <c r="C24" s="1"/>
      <c r="D24" s="18" t="s">
        <v>9</v>
      </c>
      <c r="E24" s="1"/>
      <c r="F24" s="1"/>
      <c r="G24" s="1">
        <v>1</v>
      </c>
      <c r="H24" s="56">
        <v>0</v>
      </c>
      <c r="I24" s="70"/>
    </row>
    <row r="25" spans="2:9">
      <c r="B25" s="18" t="s">
        <v>36</v>
      </c>
      <c r="C25" s="1"/>
      <c r="D25" s="18" t="s">
        <v>9</v>
      </c>
      <c r="E25" s="1"/>
      <c r="F25" s="1"/>
      <c r="G25" s="1">
        <v>1</v>
      </c>
      <c r="H25" s="56">
        <v>0</v>
      </c>
      <c r="I25" s="70"/>
    </row>
    <row r="26" spans="2:9" ht="15" customHeight="1">
      <c r="B26" s="18" t="s">
        <v>37</v>
      </c>
      <c r="C26" s="18" t="s">
        <v>9</v>
      </c>
      <c r="D26" s="1"/>
      <c r="E26" s="1"/>
      <c r="F26" s="1"/>
      <c r="G26" s="1">
        <v>1</v>
      </c>
      <c r="H26" s="56">
        <v>0</v>
      </c>
      <c r="I26" s="71"/>
    </row>
    <row r="27" spans="2:9" ht="15" customHeight="1">
      <c r="G27" s="54" t="s">
        <v>38</v>
      </c>
      <c r="H27" s="54">
        <f>SUM(H4:H26)</f>
        <v>102500</v>
      </c>
    </row>
    <row r="28" spans="2:9" ht="15" customHeight="1"/>
    <row r="29" spans="2:9" ht="15" customHeight="1"/>
    <row r="30" spans="2:9" ht="15" customHeight="1"/>
    <row r="31" spans="2:9" ht="15" customHeight="1"/>
    <row r="32" spans="2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1" ht="15" customHeight="1"/>
    <row r="52" ht="15" customHeight="1"/>
    <row r="53" ht="15" customHeight="1"/>
    <row r="54" ht="15" customHeight="1"/>
  </sheetData>
  <mergeCells count="1">
    <mergeCell ref="I20:I26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42CA-7509-4096-B672-75C6FFEA04D1}">
  <dimension ref="B1:BJ1048576"/>
  <sheetViews>
    <sheetView topLeftCell="M1" zoomScale="40" zoomScaleNormal="40" workbookViewId="0">
      <selection activeCell="BJ27" sqref="BJ27"/>
    </sheetView>
  </sheetViews>
  <sheetFormatPr defaultColWidth="14.7109375" defaultRowHeight="75" customHeight="1"/>
  <cols>
    <col min="1" max="1" width="14.7109375" style="4"/>
    <col min="2" max="2" width="47.5703125" style="4" customWidth="1"/>
    <col min="3" max="62" width="15.7109375" style="4" customWidth="1"/>
    <col min="63" max="16384" width="14.7109375" style="4"/>
  </cols>
  <sheetData>
    <row r="1" spans="2:62" ht="75" customHeight="1" thickBot="1"/>
    <row r="2" spans="2:62" ht="75" customHeight="1">
      <c r="B2" s="72" t="s">
        <v>39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4"/>
    </row>
    <row r="3" spans="2:62" ht="70.5" customHeight="1">
      <c r="B3" s="91" t="s">
        <v>40</v>
      </c>
      <c r="C3" s="76">
        <v>2025</v>
      </c>
      <c r="D3" s="77"/>
      <c r="E3" s="77"/>
      <c r="F3" s="77"/>
      <c r="G3" s="77"/>
      <c r="H3" s="77"/>
      <c r="I3" s="77"/>
      <c r="J3" s="77"/>
      <c r="K3" s="78"/>
      <c r="L3" s="95">
        <v>2026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>
        <v>2027</v>
      </c>
      <c r="BH3" s="95"/>
      <c r="BI3" s="95"/>
      <c r="BJ3" s="96"/>
    </row>
    <row r="4" spans="2:62" s="5" customFormat="1" ht="44.25" customHeight="1">
      <c r="B4" s="91"/>
      <c r="C4" s="75" t="s">
        <v>41</v>
      </c>
      <c r="D4" s="75"/>
      <c r="E4" s="75"/>
      <c r="F4" s="75"/>
      <c r="G4" s="75" t="s">
        <v>42</v>
      </c>
      <c r="H4" s="75"/>
      <c r="I4" s="75"/>
      <c r="J4" s="75"/>
      <c r="K4" s="75"/>
      <c r="L4" s="75" t="s">
        <v>43</v>
      </c>
      <c r="M4" s="75"/>
      <c r="N4" s="75"/>
      <c r="O4" s="75"/>
      <c r="P4" s="75" t="s">
        <v>44</v>
      </c>
      <c r="Q4" s="75"/>
      <c r="R4" s="75"/>
      <c r="S4" s="75"/>
      <c r="T4" s="75" t="s">
        <v>45</v>
      </c>
      <c r="U4" s="75"/>
      <c r="V4" s="75"/>
      <c r="W4" s="75"/>
      <c r="X4" s="75"/>
      <c r="Y4" s="75" t="s">
        <v>46</v>
      </c>
      <c r="Z4" s="75"/>
      <c r="AA4" s="75"/>
      <c r="AB4" s="75"/>
      <c r="AC4" s="75" t="s">
        <v>47</v>
      </c>
      <c r="AD4" s="75"/>
      <c r="AE4" s="75"/>
      <c r="AF4" s="75"/>
      <c r="AG4" s="75" t="s">
        <v>48</v>
      </c>
      <c r="AH4" s="75"/>
      <c r="AI4" s="75"/>
      <c r="AJ4" s="75"/>
      <c r="AK4" s="75"/>
      <c r="AL4" s="75" t="s">
        <v>49</v>
      </c>
      <c r="AM4" s="75"/>
      <c r="AN4" s="75"/>
      <c r="AO4" s="75"/>
      <c r="AP4" s="75" t="s">
        <v>50</v>
      </c>
      <c r="AQ4" s="75"/>
      <c r="AR4" s="75"/>
      <c r="AS4" s="75"/>
      <c r="AT4" s="75"/>
      <c r="AU4" s="75" t="s">
        <v>51</v>
      </c>
      <c r="AV4" s="75"/>
      <c r="AW4" s="75"/>
      <c r="AX4" s="75"/>
      <c r="AY4" s="75" t="s">
        <v>52</v>
      </c>
      <c r="AZ4" s="75"/>
      <c r="BA4" s="75"/>
      <c r="BB4" s="75"/>
      <c r="BC4" s="75" t="s">
        <v>41</v>
      </c>
      <c r="BD4" s="75"/>
      <c r="BE4" s="75"/>
      <c r="BF4" s="75"/>
      <c r="BG4" s="75" t="s">
        <v>42</v>
      </c>
      <c r="BH4" s="75"/>
      <c r="BI4" s="75"/>
      <c r="BJ4" s="94"/>
    </row>
    <row r="5" spans="2:62" s="5" customFormat="1" ht="48" customHeight="1" thickBot="1">
      <c r="B5" s="92"/>
      <c r="C5" s="50" t="s">
        <v>53</v>
      </c>
      <c r="D5" s="50" t="s">
        <v>54</v>
      </c>
      <c r="E5" s="50" t="s">
        <v>55</v>
      </c>
      <c r="F5" s="50" t="s">
        <v>56</v>
      </c>
      <c r="G5" s="50" t="s">
        <v>57</v>
      </c>
      <c r="H5" s="50" t="s">
        <v>58</v>
      </c>
      <c r="I5" s="50" t="s">
        <v>59</v>
      </c>
      <c r="J5" s="50" t="s">
        <v>60</v>
      </c>
      <c r="K5" s="50" t="s">
        <v>61</v>
      </c>
      <c r="L5" s="50" t="s">
        <v>62</v>
      </c>
      <c r="M5" s="50" t="s">
        <v>63</v>
      </c>
      <c r="N5" s="50" t="s">
        <v>64</v>
      </c>
      <c r="O5" s="50" t="s">
        <v>65</v>
      </c>
      <c r="P5" s="50" t="s">
        <v>53</v>
      </c>
      <c r="Q5" s="50" t="s">
        <v>54</v>
      </c>
      <c r="R5" s="50" t="s">
        <v>55</v>
      </c>
      <c r="S5" s="50" t="s">
        <v>56</v>
      </c>
      <c r="T5" s="50" t="s">
        <v>57</v>
      </c>
      <c r="U5" s="50" t="s">
        <v>58</v>
      </c>
      <c r="V5" s="50" t="s">
        <v>59</v>
      </c>
      <c r="W5" s="50" t="s">
        <v>60</v>
      </c>
      <c r="X5" s="50" t="s">
        <v>61</v>
      </c>
      <c r="Y5" s="50" t="s">
        <v>66</v>
      </c>
      <c r="Z5" s="50" t="s">
        <v>67</v>
      </c>
      <c r="AA5" s="50" t="s">
        <v>68</v>
      </c>
      <c r="AB5" s="50" t="s">
        <v>69</v>
      </c>
      <c r="AC5" s="50" t="s">
        <v>70</v>
      </c>
      <c r="AD5" s="50" t="s">
        <v>71</v>
      </c>
      <c r="AE5" s="50" t="s">
        <v>72</v>
      </c>
      <c r="AF5" s="50" t="s">
        <v>73</v>
      </c>
      <c r="AG5" s="50" t="s">
        <v>74</v>
      </c>
      <c r="AH5" s="50" t="s">
        <v>75</v>
      </c>
      <c r="AI5" s="50" t="s">
        <v>76</v>
      </c>
      <c r="AJ5" s="50" t="s">
        <v>77</v>
      </c>
      <c r="AK5" s="50" t="s">
        <v>78</v>
      </c>
      <c r="AL5" s="50" t="s">
        <v>79</v>
      </c>
      <c r="AM5" s="50" t="s">
        <v>80</v>
      </c>
      <c r="AN5" s="50" t="s">
        <v>81</v>
      </c>
      <c r="AO5" s="50" t="s">
        <v>82</v>
      </c>
      <c r="AP5" s="50" t="s">
        <v>83</v>
      </c>
      <c r="AQ5" s="50" t="s">
        <v>84</v>
      </c>
      <c r="AR5" s="50" t="s">
        <v>85</v>
      </c>
      <c r="AS5" s="50" t="s">
        <v>86</v>
      </c>
      <c r="AT5" s="50" t="s">
        <v>87</v>
      </c>
      <c r="AU5" s="50" t="s">
        <v>88</v>
      </c>
      <c r="AV5" s="50" t="s">
        <v>89</v>
      </c>
      <c r="AW5" s="50" t="s">
        <v>90</v>
      </c>
      <c r="AX5" s="50" t="s">
        <v>91</v>
      </c>
      <c r="AY5" s="50" t="s">
        <v>92</v>
      </c>
      <c r="AZ5" s="50" t="s">
        <v>93</v>
      </c>
      <c r="BA5" s="50" t="s">
        <v>94</v>
      </c>
      <c r="BB5" s="50" t="s">
        <v>95</v>
      </c>
      <c r="BC5" s="50" t="s">
        <v>96</v>
      </c>
      <c r="BD5" s="50" t="s">
        <v>97</v>
      </c>
      <c r="BE5" s="50" t="s">
        <v>98</v>
      </c>
      <c r="BF5" s="50" t="s">
        <v>99</v>
      </c>
      <c r="BG5" s="50" t="s">
        <v>100</v>
      </c>
      <c r="BH5" s="50" t="s">
        <v>101</v>
      </c>
      <c r="BI5" s="50" t="s">
        <v>102</v>
      </c>
      <c r="BJ5" s="51" t="s">
        <v>103</v>
      </c>
    </row>
    <row r="6" spans="2:62" ht="75" customHeight="1">
      <c r="B6" s="109" t="s">
        <v>104</v>
      </c>
      <c r="C6" s="36"/>
      <c r="D6" s="36"/>
      <c r="E6" s="36"/>
      <c r="F6" s="36"/>
      <c r="G6" s="36"/>
      <c r="H6" s="36"/>
      <c r="I6" s="36"/>
      <c r="J6" s="36"/>
      <c r="K6" s="36"/>
      <c r="L6" s="82" t="s">
        <v>105</v>
      </c>
      <c r="M6" s="82"/>
      <c r="N6" s="82"/>
      <c r="O6" s="82"/>
      <c r="P6" s="82"/>
      <c r="Q6" s="82"/>
      <c r="R6" s="82"/>
      <c r="S6" s="82"/>
      <c r="T6" s="40" t="s">
        <v>106</v>
      </c>
      <c r="U6" s="39" t="s">
        <v>107</v>
      </c>
      <c r="V6" s="97" t="s">
        <v>108</v>
      </c>
      <c r="W6" s="97"/>
      <c r="X6" s="84" t="s">
        <v>109</v>
      </c>
      <c r="Y6" s="84"/>
      <c r="Z6" s="84"/>
      <c r="AA6" s="87"/>
      <c r="AB6" s="37"/>
      <c r="AC6" s="83" t="s">
        <v>110</v>
      </c>
      <c r="AD6" s="84"/>
      <c r="AE6" s="84"/>
      <c r="AF6" s="41" t="s">
        <v>111</v>
      </c>
      <c r="AG6" s="99" t="s">
        <v>112</v>
      </c>
      <c r="AH6" s="100"/>
      <c r="AI6" s="100"/>
      <c r="AK6" s="36"/>
      <c r="AP6" s="36"/>
      <c r="AQ6" s="36"/>
      <c r="AR6" s="36"/>
      <c r="AS6" s="36"/>
      <c r="AT6" s="36"/>
      <c r="AU6" s="36"/>
      <c r="AV6" s="86" t="s">
        <v>113</v>
      </c>
      <c r="AW6" s="93"/>
      <c r="AX6" s="98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8"/>
    </row>
    <row r="7" spans="2:62" ht="75" customHeight="1">
      <c r="B7" s="110"/>
      <c r="C7" s="47"/>
      <c r="D7" s="47"/>
      <c r="E7" s="47"/>
      <c r="F7" s="47"/>
      <c r="G7" s="47"/>
      <c r="H7" s="47"/>
      <c r="I7" s="47"/>
      <c r="J7" s="47"/>
      <c r="K7" s="47"/>
      <c r="T7" s="30"/>
      <c r="U7" s="30"/>
      <c r="X7" s="11" t="s">
        <v>114</v>
      </c>
      <c r="Z7" s="11" t="s">
        <v>25</v>
      </c>
      <c r="AA7" s="35" t="s">
        <v>115</v>
      </c>
      <c r="AB7" s="29"/>
      <c r="AG7" s="117" t="s">
        <v>116</v>
      </c>
      <c r="AH7" s="118"/>
      <c r="AI7" s="118"/>
      <c r="BJ7" s="6"/>
    </row>
    <row r="8" spans="2:62" ht="75" customHeight="1">
      <c r="B8" s="110"/>
      <c r="C8" s="47"/>
      <c r="D8" s="47"/>
      <c r="E8" s="47"/>
      <c r="F8" s="47"/>
      <c r="G8" s="47"/>
      <c r="H8" s="47"/>
      <c r="I8" s="47"/>
      <c r="J8" s="47"/>
      <c r="K8" s="47"/>
      <c r="T8" s="2" t="s">
        <v>117</v>
      </c>
      <c r="V8" s="2" t="s">
        <v>117</v>
      </c>
      <c r="X8" s="2" t="s">
        <v>117</v>
      </c>
      <c r="Z8" s="2" t="s">
        <v>117</v>
      </c>
      <c r="AB8" s="29"/>
      <c r="AC8" s="2" t="s">
        <v>117</v>
      </c>
      <c r="AE8" s="2" t="s">
        <v>117</v>
      </c>
      <c r="AG8" s="2" t="s">
        <v>117</v>
      </c>
      <c r="AI8" s="2" t="s">
        <v>117</v>
      </c>
      <c r="AK8" s="2" t="s">
        <v>117</v>
      </c>
      <c r="AM8" s="2" t="s">
        <v>117</v>
      </c>
      <c r="AO8" s="2" t="s">
        <v>117</v>
      </c>
      <c r="AQ8" s="2" t="s">
        <v>117</v>
      </c>
      <c r="AS8" s="2" t="s">
        <v>117</v>
      </c>
      <c r="AU8" s="2" t="s">
        <v>117</v>
      </c>
      <c r="AW8" s="2" t="s">
        <v>117</v>
      </c>
      <c r="BJ8" s="6"/>
    </row>
    <row r="9" spans="2:62" ht="75" customHeight="1">
      <c r="B9" s="110"/>
      <c r="C9" s="47"/>
      <c r="D9" s="47"/>
      <c r="E9" s="47"/>
      <c r="F9" s="47"/>
      <c r="G9" s="47"/>
      <c r="H9" s="47"/>
      <c r="I9" s="47"/>
      <c r="J9" s="47"/>
      <c r="K9" s="47"/>
      <c r="U9" s="2" t="s">
        <v>118</v>
      </c>
      <c r="W9" s="2" t="s">
        <v>118</v>
      </c>
      <c r="Y9" s="2" t="s">
        <v>118</v>
      </c>
      <c r="AA9" s="12" t="s">
        <v>118</v>
      </c>
      <c r="AB9" s="29"/>
      <c r="AD9" s="2" t="s">
        <v>118</v>
      </c>
      <c r="AF9" s="2" t="s">
        <v>118</v>
      </c>
      <c r="AH9" s="2" t="s">
        <v>118</v>
      </c>
      <c r="AJ9" s="12" t="s">
        <v>118</v>
      </c>
      <c r="AL9" s="2" t="s">
        <v>118</v>
      </c>
      <c r="AN9" s="2" t="s">
        <v>118</v>
      </c>
      <c r="AP9" s="2" t="s">
        <v>118</v>
      </c>
      <c r="AR9" s="12" t="s">
        <v>118</v>
      </c>
      <c r="AT9" s="2" t="s">
        <v>118</v>
      </c>
      <c r="AV9" s="2" t="s">
        <v>118</v>
      </c>
      <c r="AX9" s="2" t="s">
        <v>118</v>
      </c>
      <c r="BJ9" s="6"/>
    </row>
    <row r="10" spans="2:62" ht="75" customHeight="1" thickBot="1">
      <c r="B10" s="111"/>
      <c r="C10" s="48"/>
      <c r="D10" s="48"/>
      <c r="E10" s="48"/>
      <c r="F10" s="48"/>
      <c r="G10" s="48"/>
      <c r="H10" s="48"/>
      <c r="I10" s="48"/>
      <c r="J10" s="48"/>
      <c r="K10" s="48"/>
      <c r="L10" s="8"/>
      <c r="M10" s="8"/>
      <c r="N10" s="8"/>
      <c r="O10" s="8"/>
      <c r="P10" s="8"/>
      <c r="Q10" s="8"/>
      <c r="R10" s="8"/>
      <c r="S10" s="8"/>
      <c r="T10" s="8"/>
      <c r="U10" s="8"/>
      <c r="V10" s="42">
        <v>2000</v>
      </c>
      <c r="W10" s="42">
        <v>4000</v>
      </c>
      <c r="X10" s="42">
        <v>6000</v>
      </c>
      <c r="Y10" s="42">
        <v>7000</v>
      </c>
      <c r="Z10" s="42">
        <v>8000</v>
      </c>
      <c r="AA10" s="43">
        <v>9000</v>
      </c>
      <c r="AB10" s="28"/>
      <c r="AC10" s="44">
        <v>10000</v>
      </c>
      <c r="AD10" s="42">
        <v>11000</v>
      </c>
      <c r="AE10" s="42">
        <v>12000</v>
      </c>
      <c r="AF10" s="42">
        <v>15000</v>
      </c>
      <c r="AG10" s="42">
        <v>18000</v>
      </c>
      <c r="AH10" s="42">
        <v>20000</v>
      </c>
      <c r="AI10" s="42">
        <v>22500</v>
      </c>
      <c r="AJ10" s="42">
        <f>AI10+2500</f>
        <v>25000</v>
      </c>
      <c r="AK10" s="42">
        <f t="shared" ref="AK10:AX10" si="0">AJ10+2500</f>
        <v>27500</v>
      </c>
      <c r="AL10" s="42">
        <f t="shared" si="0"/>
        <v>30000</v>
      </c>
      <c r="AM10" s="42">
        <f t="shared" si="0"/>
        <v>32500</v>
      </c>
      <c r="AN10" s="42">
        <f t="shared" si="0"/>
        <v>35000</v>
      </c>
      <c r="AO10" s="42">
        <f t="shared" si="0"/>
        <v>37500</v>
      </c>
      <c r="AP10" s="42">
        <f t="shared" si="0"/>
        <v>40000</v>
      </c>
      <c r="AQ10" s="42">
        <f t="shared" si="0"/>
        <v>42500</v>
      </c>
      <c r="AR10" s="42">
        <f t="shared" si="0"/>
        <v>45000</v>
      </c>
      <c r="AS10" s="42">
        <f t="shared" si="0"/>
        <v>47500</v>
      </c>
      <c r="AT10" s="42">
        <f t="shared" si="0"/>
        <v>50000</v>
      </c>
      <c r="AU10" s="42">
        <f t="shared" si="0"/>
        <v>52500</v>
      </c>
      <c r="AV10" s="42">
        <f t="shared" si="0"/>
        <v>55000</v>
      </c>
      <c r="AW10" s="42">
        <f t="shared" si="0"/>
        <v>57500</v>
      </c>
      <c r="AX10" s="42">
        <f t="shared" si="0"/>
        <v>60000</v>
      </c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9"/>
    </row>
    <row r="11" spans="2:62" ht="24.95" customHeight="1" thickBot="1">
      <c r="B11" s="45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7"/>
    </row>
    <row r="12" spans="2:62" ht="75" customHeight="1">
      <c r="B12" s="109" t="s">
        <v>119</v>
      </c>
      <c r="C12" s="49"/>
      <c r="D12" s="49"/>
      <c r="E12" s="49"/>
      <c r="F12" s="49"/>
      <c r="G12" s="49"/>
      <c r="H12" s="49"/>
      <c r="I12" s="49"/>
      <c r="J12" s="49"/>
      <c r="K12" s="49"/>
      <c r="L12" s="36"/>
      <c r="M12" s="36"/>
      <c r="N12" s="36"/>
      <c r="O12" s="85" t="s">
        <v>120</v>
      </c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  <c r="AB12" s="37"/>
      <c r="AC12" s="40" t="s">
        <v>106</v>
      </c>
      <c r="AD12" s="39" t="s">
        <v>107</v>
      </c>
      <c r="AE12" s="87" t="s">
        <v>121</v>
      </c>
      <c r="AF12" s="88"/>
      <c r="AG12" s="84" t="s">
        <v>122</v>
      </c>
      <c r="AH12" s="84"/>
      <c r="AI12" s="84"/>
      <c r="AJ12" s="87" t="s">
        <v>109</v>
      </c>
      <c r="AK12" s="88"/>
      <c r="AL12" s="88"/>
      <c r="AM12" s="83"/>
      <c r="AN12" s="87" t="s">
        <v>110</v>
      </c>
      <c r="AO12" s="83"/>
      <c r="AP12" s="87" t="s">
        <v>123</v>
      </c>
      <c r="AQ12" s="83"/>
      <c r="AR12" s="86" t="s">
        <v>112</v>
      </c>
      <c r="AS12" s="93"/>
      <c r="AT12" s="84" t="s">
        <v>124</v>
      </c>
      <c r="AU12" s="84"/>
      <c r="AV12" s="33" t="s">
        <v>125</v>
      </c>
      <c r="AW12" s="84" t="s">
        <v>126</v>
      </c>
      <c r="AX12" s="84"/>
      <c r="AY12" s="84"/>
      <c r="AZ12" s="39" t="s">
        <v>127</v>
      </c>
      <c r="BA12" s="39" t="s">
        <v>128</v>
      </c>
      <c r="BB12" s="116" t="s">
        <v>129</v>
      </c>
      <c r="BC12" s="116"/>
      <c r="BD12" s="79" t="s">
        <v>130</v>
      </c>
      <c r="BE12" s="79"/>
      <c r="BF12" s="79"/>
      <c r="BG12" s="89" t="s">
        <v>108</v>
      </c>
      <c r="BH12" s="90"/>
      <c r="BI12" s="80" t="s">
        <v>113</v>
      </c>
      <c r="BJ12" s="81"/>
    </row>
    <row r="13" spans="2:62" ht="75" customHeight="1">
      <c r="B13" s="110"/>
      <c r="C13" s="47"/>
      <c r="D13" s="47"/>
      <c r="E13" s="47"/>
      <c r="F13" s="47"/>
      <c r="G13" s="47"/>
      <c r="H13" s="47"/>
      <c r="I13" s="47"/>
      <c r="J13" s="47"/>
      <c r="K13" s="47"/>
      <c r="AB13" s="29"/>
      <c r="AK13" s="2" t="s">
        <v>25</v>
      </c>
      <c r="AL13" s="35" t="s">
        <v>131</v>
      </c>
      <c r="AM13" s="34" t="s">
        <v>132</v>
      </c>
      <c r="AR13" s="80" t="s">
        <v>116</v>
      </c>
      <c r="AS13" s="115"/>
      <c r="BI13" s="101" t="s">
        <v>133</v>
      </c>
      <c r="BJ13" s="102"/>
    </row>
    <row r="14" spans="2:62" ht="75" customHeight="1">
      <c r="B14" s="110"/>
      <c r="C14" s="47"/>
      <c r="D14" s="47"/>
      <c r="E14" s="47"/>
      <c r="F14" s="47"/>
      <c r="G14" s="47"/>
      <c r="H14" s="47"/>
      <c r="I14" s="47"/>
      <c r="J14" s="47"/>
      <c r="K14" s="47"/>
      <c r="AB14" s="29"/>
      <c r="AC14" s="13" t="s">
        <v>117</v>
      </c>
      <c r="AE14" s="2" t="s">
        <v>117</v>
      </c>
      <c r="AG14" s="2" t="s">
        <v>117</v>
      </c>
      <c r="BJ14" s="6"/>
    </row>
    <row r="15" spans="2:62" ht="75" customHeight="1">
      <c r="B15" s="110"/>
      <c r="C15" s="47"/>
      <c r="D15" s="47"/>
      <c r="E15" s="47"/>
      <c r="F15" s="47"/>
      <c r="G15" s="47"/>
      <c r="H15" s="47"/>
      <c r="I15" s="47"/>
      <c r="J15" s="47"/>
      <c r="K15" s="47"/>
      <c r="AB15" s="29"/>
      <c r="AD15" s="2" t="s">
        <v>118</v>
      </c>
      <c r="AF15" s="2" t="s">
        <v>118</v>
      </c>
      <c r="AH15" s="2" t="s">
        <v>118</v>
      </c>
      <c r="BJ15" s="6"/>
    </row>
    <row r="16" spans="2:62" ht="75" customHeight="1" thickBot="1">
      <c r="B16" s="111"/>
      <c r="C16" s="48"/>
      <c r="D16" s="48"/>
      <c r="E16" s="48"/>
      <c r="F16" s="48"/>
      <c r="G16" s="48"/>
      <c r="H16" s="48"/>
      <c r="I16" s="48"/>
      <c r="J16" s="48"/>
      <c r="K16" s="4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8"/>
      <c r="AC16" s="8"/>
      <c r="AD16" s="8"/>
      <c r="AE16" s="42">
        <v>2500</v>
      </c>
      <c r="AF16" s="42">
        <v>5000</v>
      </c>
      <c r="AG16" s="42">
        <v>7000</v>
      </c>
      <c r="AH16" s="42">
        <v>9000</v>
      </c>
      <c r="AI16" s="42">
        <v>11000</v>
      </c>
      <c r="AJ16" s="42">
        <v>12000</v>
      </c>
      <c r="AK16" s="42">
        <v>13000</v>
      </c>
      <c r="AL16" s="42">
        <v>14000</v>
      </c>
      <c r="AM16" s="42">
        <v>15000</v>
      </c>
      <c r="AN16" s="42">
        <v>18000</v>
      </c>
      <c r="AO16" s="42">
        <v>21000</v>
      </c>
      <c r="AP16" s="42">
        <f>AO16+2500</f>
        <v>23500</v>
      </c>
      <c r="AQ16" s="42">
        <f t="shared" ref="AQ16:BD16" si="1">AP16+2500</f>
        <v>26000</v>
      </c>
      <c r="AR16" s="42">
        <f t="shared" si="1"/>
        <v>28500</v>
      </c>
      <c r="AS16" s="42">
        <f t="shared" si="1"/>
        <v>31000</v>
      </c>
      <c r="AT16" s="42">
        <f t="shared" si="1"/>
        <v>33500</v>
      </c>
      <c r="AU16" s="42">
        <f t="shared" si="1"/>
        <v>36000</v>
      </c>
      <c r="AV16" s="42">
        <f t="shared" si="1"/>
        <v>38500</v>
      </c>
      <c r="AW16" s="42">
        <f t="shared" si="1"/>
        <v>41000</v>
      </c>
      <c r="AX16" s="42">
        <f t="shared" si="1"/>
        <v>43500</v>
      </c>
      <c r="AY16" s="42">
        <f t="shared" si="1"/>
        <v>46000</v>
      </c>
      <c r="AZ16" s="42">
        <f t="shared" si="1"/>
        <v>48500</v>
      </c>
      <c r="BA16" s="42">
        <f t="shared" si="1"/>
        <v>51000</v>
      </c>
      <c r="BB16" s="42">
        <f t="shared" si="1"/>
        <v>53500</v>
      </c>
      <c r="BC16" s="42">
        <f t="shared" si="1"/>
        <v>56000</v>
      </c>
      <c r="BD16" s="42">
        <f t="shared" si="1"/>
        <v>58500</v>
      </c>
      <c r="BE16" s="42">
        <v>60000</v>
      </c>
      <c r="BF16" s="8"/>
      <c r="BG16" s="8"/>
      <c r="BH16" s="8"/>
      <c r="BI16" s="8"/>
      <c r="BJ16" s="9"/>
    </row>
    <row r="17" spans="2:62" ht="24.95" customHeight="1" thickBot="1">
      <c r="B17" s="46"/>
      <c r="C17" s="32"/>
      <c r="D17" s="32"/>
      <c r="E17" s="32"/>
      <c r="F17" s="32"/>
      <c r="G17" s="32"/>
      <c r="H17" s="32"/>
      <c r="I17" s="32"/>
      <c r="J17" s="32"/>
      <c r="K17" s="32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7"/>
    </row>
    <row r="18" spans="2:62" ht="75" customHeight="1">
      <c r="B18" s="103" t="s">
        <v>134</v>
      </c>
      <c r="C18" s="49"/>
      <c r="D18" s="49"/>
      <c r="E18" s="49"/>
      <c r="F18" s="49"/>
      <c r="G18" s="49"/>
      <c r="H18" s="49"/>
      <c r="I18" s="49"/>
      <c r="J18" s="49"/>
      <c r="K18" s="49"/>
      <c r="L18" s="36"/>
      <c r="M18" s="36"/>
      <c r="N18" s="36"/>
      <c r="O18" s="36"/>
      <c r="P18" s="36"/>
      <c r="Q18" s="36"/>
      <c r="R18" s="36"/>
      <c r="S18" s="36"/>
      <c r="T18" s="86" t="s">
        <v>120</v>
      </c>
      <c r="U18" s="93"/>
      <c r="V18" s="93"/>
      <c r="W18" s="93"/>
      <c r="X18" s="93"/>
      <c r="Y18" s="93"/>
      <c r="Z18" s="93"/>
      <c r="AA18" s="93"/>
      <c r="AB18" s="37"/>
      <c r="AC18" s="93"/>
      <c r="AD18" s="93"/>
      <c r="AE18" s="40" t="s">
        <v>106</v>
      </c>
      <c r="AF18" s="39" t="s">
        <v>107</v>
      </c>
      <c r="AG18" s="112" t="s">
        <v>135</v>
      </c>
      <c r="AH18" s="113"/>
      <c r="AI18" s="113"/>
      <c r="AJ18" s="113"/>
      <c r="AK18" s="113"/>
      <c r="AL18" s="114"/>
      <c r="AM18" s="112" t="s">
        <v>136</v>
      </c>
      <c r="AN18" s="113"/>
      <c r="AO18" s="113"/>
      <c r="AP18" s="113"/>
      <c r="AQ18" s="113"/>
      <c r="AR18" s="113"/>
      <c r="AS18" s="113"/>
      <c r="AT18" s="113"/>
      <c r="AU18" s="113"/>
      <c r="AV18" s="114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8"/>
    </row>
    <row r="19" spans="2:62" ht="75" customHeight="1">
      <c r="B19" s="104"/>
      <c r="C19" s="47"/>
      <c r="D19" s="47"/>
      <c r="E19" s="47"/>
      <c r="F19" s="47"/>
      <c r="G19" s="47"/>
      <c r="H19" s="47"/>
      <c r="I19" s="47"/>
      <c r="J19" s="47"/>
      <c r="K19" s="47"/>
      <c r="U19" s="2" t="s">
        <v>137</v>
      </c>
      <c r="AB19" s="29"/>
      <c r="BJ19" s="6"/>
    </row>
    <row r="20" spans="2:62" ht="75" customHeight="1">
      <c r="B20" s="104"/>
      <c r="C20" s="47"/>
      <c r="D20" s="47"/>
      <c r="E20" s="47"/>
      <c r="F20" s="47"/>
      <c r="G20" s="47"/>
      <c r="H20" s="47"/>
      <c r="I20" s="47"/>
      <c r="J20" s="47"/>
      <c r="K20" s="47"/>
      <c r="AB20" s="29"/>
      <c r="BJ20" s="6"/>
    </row>
    <row r="21" spans="2:62" ht="75" customHeight="1">
      <c r="B21" s="104"/>
      <c r="C21" s="47"/>
      <c r="D21" s="47"/>
      <c r="E21" s="47"/>
      <c r="F21" s="47"/>
      <c r="G21" s="47"/>
      <c r="H21" s="47"/>
      <c r="I21" s="47"/>
      <c r="J21" s="47"/>
      <c r="K21" s="47"/>
      <c r="AB21" s="29"/>
      <c r="BJ21" s="6"/>
    </row>
    <row r="22" spans="2:62" ht="75" customHeight="1" thickBot="1">
      <c r="B22" s="105"/>
      <c r="C22" s="48"/>
      <c r="D22" s="48"/>
      <c r="E22" s="48"/>
      <c r="F22" s="48"/>
      <c r="G22" s="48"/>
      <c r="H22" s="48"/>
      <c r="I22" s="48"/>
      <c r="J22" s="48"/>
      <c r="K22" s="4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2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9"/>
    </row>
    <row r="23" spans="2:62" ht="24.95" customHeight="1" thickBot="1">
      <c r="B23" s="46"/>
      <c r="C23" s="32"/>
      <c r="D23" s="32"/>
      <c r="E23" s="32"/>
      <c r="F23" s="32"/>
      <c r="G23" s="32"/>
      <c r="H23" s="32"/>
      <c r="I23" s="32"/>
      <c r="J23" s="32"/>
      <c r="K23" s="32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7"/>
    </row>
    <row r="24" spans="2:62" ht="75" customHeight="1" thickBot="1">
      <c r="B24" s="103" t="s">
        <v>138</v>
      </c>
      <c r="C24" s="106" t="s">
        <v>139</v>
      </c>
      <c r="D24" s="107"/>
      <c r="E24" s="108"/>
      <c r="F24" s="49"/>
      <c r="G24" s="49"/>
      <c r="H24" s="49"/>
      <c r="I24" s="49"/>
      <c r="J24" s="49"/>
      <c r="K24" s="49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7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8"/>
    </row>
    <row r="25" spans="2:62" ht="75" customHeight="1">
      <c r="B25" s="104"/>
      <c r="C25" s="47"/>
      <c r="D25" s="47"/>
      <c r="E25" s="47"/>
      <c r="F25" s="47"/>
      <c r="G25" s="47"/>
      <c r="H25" s="47"/>
      <c r="I25" s="47"/>
      <c r="J25" s="47"/>
      <c r="K25" s="47"/>
      <c r="AB25" s="29"/>
      <c r="BJ25" s="6"/>
    </row>
    <row r="26" spans="2:62" ht="75" customHeight="1">
      <c r="B26" s="104"/>
      <c r="C26" s="47"/>
      <c r="D26" s="47"/>
      <c r="E26" s="47"/>
      <c r="F26" s="47"/>
      <c r="G26" s="47"/>
      <c r="H26" s="47"/>
      <c r="I26" s="47"/>
      <c r="J26" s="47"/>
      <c r="K26" s="47"/>
      <c r="AB26" s="29"/>
      <c r="BJ26" s="6"/>
    </row>
    <row r="27" spans="2:62" ht="75" customHeight="1">
      <c r="B27" s="104"/>
      <c r="C27" s="47"/>
      <c r="D27" s="47"/>
      <c r="E27" s="47"/>
      <c r="F27" s="47"/>
      <c r="G27" s="47"/>
      <c r="H27" s="47"/>
      <c r="I27" s="47"/>
      <c r="J27" s="47"/>
      <c r="K27" s="47"/>
      <c r="AB27" s="29"/>
      <c r="BJ27" s="6"/>
    </row>
    <row r="28" spans="2:62" ht="75" customHeight="1" thickBot="1">
      <c r="B28" s="105"/>
      <c r="C28" s="48"/>
      <c r="D28" s="48"/>
      <c r="E28" s="48"/>
      <c r="F28" s="48"/>
      <c r="G28" s="48"/>
      <c r="H28" s="48"/>
      <c r="I28" s="48"/>
      <c r="J28" s="48"/>
      <c r="K28" s="4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2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9"/>
    </row>
    <row r="1048576" spans="58:58" ht="75" customHeight="1">
      <c r="BF1048576" s="6"/>
    </row>
  </sheetData>
  <mergeCells count="50">
    <mergeCell ref="AG18:AL18"/>
    <mergeCell ref="AM18:AV18"/>
    <mergeCell ref="AU4:AX4"/>
    <mergeCell ref="AY4:BB4"/>
    <mergeCell ref="BC4:BF4"/>
    <mergeCell ref="AR13:AS13"/>
    <mergeCell ref="AT12:AU12"/>
    <mergeCell ref="AR12:AS12"/>
    <mergeCell ref="AW12:AY12"/>
    <mergeCell ref="BB12:BC12"/>
    <mergeCell ref="AG12:AI12"/>
    <mergeCell ref="AJ12:AM12"/>
    <mergeCell ref="AG7:AI7"/>
    <mergeCell ref="B18:B22"/>
    <mergeCell ref="B24:B28"/>
    <mergeCell ref="C24:E24"/>
    <mergeCell ref="B12:B16"/>
    <mergeCell ref="B6:B10"/>
    <mergeCell ref="T18:AA18"/>
    <mergeCell ref="AC18:AD18"/>
    <mergeCell ref="BG4:BJ4"/>
    <mergeCell ref="BG3:BJ3"/>
    <mergeCell ref="V6:W6"/>
    <mergeCell ref="AV6:AX6"/>
    <mergeCell ref="L3:BF3"/>
    <mergeCell ref="L4:O4"/>
    <mergeCell ref="P4:S4"/>
    <mergeCell ref="T4:X4"/>
    <mergeCell ref="Y4:AB4"/>
    <mergeCell ref="AC4:AF4"/>
    <mergeCell ref="AG4:AK4"/>
    <mergeCell ref="AL4:AO4"/>
    <mergeCell ref="AG6:AI6"/>
    <mergeCell ref="BI13:BJ13"/>
    <mergeCell ref="B2:BJ2"/>
    <mergeCell ref="C4:F4"/>
    <mergeCell ref="G4:K4"/>
    <mergeCell ref="C3:K3"/>
    <mergeCell ref="BD12:BF12"/>
    <mergeCell ref="BI12:BJ12"/>
    <mergeCell ref="L6:S6"/>
    <mergeCell ref="AC6:AE6"/>
    <mergeCell ref="O12:AA12"/>
    <mergeCell ref="AN12:AO12"/>
    <mergeCell ref="X6:AA6"/>
    <mergeCell ref="AE12:AF12"/>
    <mergeCell ref="BG12:BH12"/>
    <mergeCell ref="B3:B5"/>
    <mergeCell ref="AP12:AQ12"/>
    <mergeCell ref="AP4:AT4"/>
  </mergeCells>
  <phoneticPr fontId="4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97DB-57B7-4F98-86E9-7BC83FD0C2DF}">
  <dimension ref="B2:BE28"/>
  <sheetViews>
    <sheetView tabSelected="1" topLeftCell="B1" zoomScale="70" zoomScaleNormal="70" workbookViewId="0">
      <selection activeCell="AU12" sqref="AU12:AW12"/>
    </sheetView>
  </sheetViews>
  <sheetFormatPr defaultColWidth="14.7109375" defaultRowHeight="75" customHeight="1"/>
  <cols>
    <col min="1" max="1" width="14.7109375" style="4"/>
    <col min="2" max="2" width="47.5703125" style="4" customWidth="1"/>
    <col min="3" max="49" width="15.7109375" style="4" customWidth="1"/>
    <col min="50" max="16384" width="14.7109375" style="4"/>
  </cols>
  <sheetData>
    <row r="2" spans="2:57" ht="75" customHeight="1">
      <c r="B2" s="123" t="s">
        <v>39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</row>
    <row r="3" spans="2:57" ht="70.5" customHeight="1">
      <c r="B3" s="124" t="s">
        <v>40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>
        <v>2027</v>
      </c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</row>
    <row r="4" spans="2:57" s="5" customFormat="1" ht="44.25" customHeight="1">
      <c r="B4" s="124"/>
      <c r="C4" s="75" t="s">
        <v>44</v>
      </c>
      <c r="D4" s="75"/>
      <c r="E4" s="75"/>
      <c r="F4" s="75"/>
      <c r="G4" s="75" t="s">
        <v>45</v>
      </c>
      <c r="H4" s="75"/>
      <c r="I4" s="75"/>
      <c r="J4" s="75"/>
      <c r="K4" s="75"/>
      <c r="L4" s="75" t="s">
        <v>46</v>
      </c>
      <c r="M4" s="75"/>
      <c r="N4" s="75"/>
      <c r="O4" s="75"/>
      <c r="P4" s="75" t="s">
        <v>47</v>
      </c>
      <c r="Q4" s="75"/>
      <c r="R4" s="75"/>
      <c r="S4" s="75"/>
      <c r="T4" s="75" t="s">
        <v>48</v>
      </c>
      <c r="U4" s="75"/>
      <c r="V4" s="75"/>
      <c r="W4" s="75"/>
      <c r="X4" s="75"/>
      <c r="Y4" s="75" t="s">
        <v>49</v>
      </c>
      <c r="Z4" s="75"/>
      <c r="AA4" s="75"/>
      <c r="AB4" s="75"/>
      <c r="AC4" s="75" t="s">
        <v>50</v>
      </c>
      <c r="AD4" s="75"/>
      <c r="AE4" s="75"/>
      <c r="AF4" s="75"/>
      <c r="AG4" s="75"/>
      <c r="AH4" s="75" t="s">
        <v>51</v>
      </c>
      <c r="AI4" s="75"/>
      <c r="AJ4" s="75"/>
      <c r="AK4" s="75"/>
      <c r="AL4" s="75" t="s">
        <v>52</v>
      </c>
      <c r="AM4" s="75"/>
      <c r="AN4" s="75"/>
      <c r="AO4" s="75"/>
      <c r="AP4" s="75" t="s">
        <v>41</v>
      </c>
      <c r="AQ4" s="75"/>
      <c r="AR4" s="75"/>
      <c r="AS4" s="75"/>
      <c r="AT4" s="75" t="s">
        <v>42</v>
      </c>
      <c r="AU4" s="75"/>
      <c r="AV4" s="75"/>
      <c r="AW4" s="75"/>
      <c r="AX4" s="75" t="s">
        <v>43</v>
      </c>
      <c r="AY4" s="75"/>
      <c r="AZ4" s="75"/>
      <c r="BA4" s="75"/>
      <c r="BB4" s="75" t="s">
        <v>44</v>
      </c>
      <c r="BC4" s="75"/>
      <c r="BD4" s="75"/>
      <c r="BE4" s="75"/>
    </row>
    <row r="5" spans="2:57" s="5" customFormat="1" ht="50.25" customHeight="1">
      <c r="B5" s="125"/>
      <c r="C5" s="57" t="s">
        <v>53</v>
      </c>
      <c r="D5" s="57" t="s">
        <v>54</v>
      </c>
      <c r="E5" s="57" t="s">
        <v>55</v>
      </c>
      <c r="F5" s="57" t="s">
        <v>56</v>
      </c>
      <c r="G5" s="57" t="s">
        <v>57</v>
      </c>
      <c r="H5" s="57" t="s">
        <v>58</v>
      </c>
      <c r="I5" s="57" t="s">
        <v>59</v>
      </c>
      <c r="J5" s="57" t="s">
        <v>60</v>
      </c>
      <c r="K5" s="57" t="s">
        <v>61</v>
      </c>
      <c r="L5" s="57" t="s">
        <v>66</v>
      </c>
      <c r="M5" s="57" t="s">
        <v>67</v>
      </c>
      <c r="N5" s="57" t="s">
        <v>68</v>
      </c>
      <c r="O5" s="57" t="s">
        <v>69</v>
      </c>
      <c r="P5" s="57" t="s">
        <v>70</v>
      </c>
      <c r="Q5" s="57" t="s">
        <v>71</v>
      </c>
      <c r="R5" s="57" t="s">
        <v>72</v>
      </c>
      <c r="S5" s="57" t="s">
        <v>73</v>
      </c>
      <c r="T5" s="57" t="s">
        <v>74</v>
      </c>
      <c r="U5" s="57" t="s">
        <v>75</v>
      </c>
      <c r="V5" s="57" t="s">
        <v>76</v>
      </c>
      <c r="W5" s="57" t="s">
        <v>77</v>
      </c>
      <c r="X5" s="57" t="s">
        <v>78</v>
      </c>
      <c r="Y5" s="57" t="s">
        <v>79</v>
      </c>
      <c r="Z5" s="57" t="s">
        <v>80</v>
      </c>
      <c r="AA5" s="57" t="s">
        <v>81</v>
      </c>
      <c r="AB5" s="57" t="s">
        <v>82</v>
      </c>
      <c r="AC5" s="57" t="s">
        <v>83</v>
      </c>
      <c r="AD5" s="57" t="s">
        <v>84</v>
      </c>
      <c r="AE5" s="57" t="s">
        <v>85</v>
      </c>
      <c r="AF5" s="57" t="s">
        <v>86</v>
      </c>
      <c r="AG5" s="57" t="s">
        <v>87</v>
      </c>
      <c r="AH5" s="57" t="s">
        <v>88</v>
      </c>
      <c r="AI5" s="57" t="s">
        <v>89</v>
      </c>
      <c r="AJ5" s="57" t="s">
        <v>90</v>
      </c>
      <c r="AK5" s="57" t="s">
        <v>91</v>
      </c>
      <c r="AL5" s="57" t="s">
        <v>92</v>
      </c>
      <c r="AM5" s="57" t="s">
        <v>93</v>
      </c>
      <c r="AN5" s="57" t="s">
        <v>94</v>
      </c>
      <c r="AO5" s="57" t="s">
        <v>95</v>
      </c>
      <c r="AP5" s="57" t="s">
        <v>96</v>
      </c>
      <c r="AQ5" s="57" t="s">
        <v>97</v>
      </c>
      <c r="AR5" s="57" t="s">
        <v>98</v>
      </c>
      <c r="AS5" s="57" t="s">
        <v>99</v>
      </c>
      <c r="AT5" s="57" t="s">
        <v>140</v>
      </c>
      <c r="AU5" s="57" t="s">
        <v>141</v>
      </c>
      <c r="AV5" s="57" t="s">
        <v>142</v>
      </c>
      <c r="AW5" s="57" t="s">
        <v>143</v>
      </c>
      <c r="AX5" s="57" t="s">
        <v>144</v>
      </c>
      <c r="AY5" s="57" t="s">
        <v>62</v>
      </c>
      <c r="AZ5" s="57" t="s">
        <v>63</v>
      </c>
      <c r="BA5" s="57" t="s">
        <v>64</v>
      </c>
      <c r="BB5" s="57" t="s">
        <v>65</v>
      </c>
      <c r="BC5" s="57" t="s">
        <v>53</v>
      </c>
      <c r="BD5" s="57" t="s">
        <v>54</v>
      </c>
      <c r="BE5" s="57" t="s">
        <v>55</v>
      </c>
    </row>
    <row r="6" spans="2:57" ht="75" customHeight="1">
      <c r="B6" s="119" t="s">
        <v>104</v>
      </c>
      <c r="L6" s="58" t="s">
        <v>106</v>
      </c>
      <c r="M6" s="12" t="s">
        <v>107</v>
      </c>
      <c r="N6" s="120" t="s">
        <v>108</v>
      </c>
      <c r="O6" s="29"/>
      <c r="P6" s="2" t="s">
        <v>114</v>
      </c>
      <c r="Q6" s="2" t="s">
        <v>25</v>
      </c>
      <c r="R6" s="60" t="s">
        <v>115</v>
      </c>
      <c r="S6" s="60" t="s">
        <v>111</v>
      </c>
      <c r="T6" s="59" t="s">
        <v>125</v>
      </c>
      <c r="AP6" s="121" t="s">
        <v>113</v>
      </c>
      <c r="AQ6" s="121"/>
      <c r="AR6" s="121"/>
      <c r="BE6" s="62"/>
    </row>
    <row r="7" spans="2:57" ht="75" customHeight="1">
      <c r="B7" s="119"/>
      <c r="L7" s="30"/>
      <c r="M7" s="30"/>
      <c r="N7" s="120"/>
      <c r="O7" s="29"/>
      <c r="BE7" s="62"/>
    </row>
    <row r="8" spans="2:57" ht="75" customHeight="1">
      <c r="B8" s="119"/>
      <c r="O8" s="29"/>
      <c r="BE8" s="62"/>
    </row>
    <row r="9" spans="2:57" ht="75" customHeight="1">
      <c r="B9" s="119"/>
      <c r="O9" s="29"/>
      <c r="P9" s="2" t="s">
        <v>117</v>
      </c>
      <c r="Q9" s="2" t="s">
        <v>118</v>
      </c>
      <c r="R9" s="2" t="s">
        <v>117</v>
      </c>
      <c r="S9" s="2" t="s">
        <v>118</v>
      </c>
      <c r="T9" s="2" t="s">
        <v>117</v>
      </c>
      <c r="U9" s="2" t="s">
        <v>118</v>
      </c>
      <c r="V9" s="2" t="s">
        <v>117</v>
      </c>
      <c r="W9" s="2" t="s">
        <v>118</v>
      </c>
      <c r="X9" s="2" t="s">
        <v>117</v>
      </c>
      <c r="Y9" s="2" t="s">
        <v>118</v>
      </c>
      <c r="Z9" s="2" t="s">
        <v>117</v>
      </c>
      <c r="AA9" s="2" t="s">
        <v>118</v>
      </c>
      <c r="AB9" s="2" t="s">
        <v>117</v>
      </c>
      <c r="AC9" s="2" t="s">
        <v>118</v>
      </c>
      <c r="AD9" s="2" t="s">
        <v>117</v>
      </c>
      <c r="AE9" s="2" t="s">
        <v>118</v>
      </c>
      <c r="AF9" s="2" t="s">
        <v>117</v>
      </c>
      <c r="AG9" s="2" t="s">
        <v>118</v>
      </c>
      <c r="AH9" s="2" t="s">
        <v>117</v>
      </c>
      <c r="AI9" s="2" t="s">
        <v>118</v>
      </c>
      <c r="AJ9" s="2" t="s">
        <v>117</v>
      </c>
      <c r="AK9" s="2" t="s">
        <v>118</v>
      </c>
      <c r="AL9" s="2" t="s">
        <v>117</v>
      </c>
      <c r="AM9" s="2" t="s">
        <v>118</v>
      </c>
      <c r="AN9" s="2" t="s">
        <v>117</v>
      </c>
      <c r="AO9" s="2" t="s">
        <v>118</v>
      </c>
      <c r="AP9" s="2" t="s">
        <v>117</v>
      </c>
      <c r="AQ9" s="2" t="s">
        <v>118</v>
      </c>
      <c r="AR9" s="2" t="s">
        <v>117</v>
      </c>
      <c r="AS9" s="2" t="s">
        <v>118</v>
      </c>
      <c r="AT9" s="2" t="s">
        <v>117</v>
      </c>
      <c r="AU9" s="2" t="s">
        <v>118</v>
      </c>
      <c r="AV9" s="2" t="s">
        <v>117</v>
      </c>
      <c r="AW9" s="2" t="s">
        <v>118</v>
      </c>
      <c r="AX9" s="2" t="s">
        <v>117</v>
      </c>
      <c r="AY9" s="2" t="s">
        <v>118</v>
      </c>
      <c r="AZ9" s="2" t="s">
        <v>117</v>
      </c>
      <c r="BA9" s="2" t="s">
        <v>118</v>
      </c>
      <c r="BB9" s="2" t="s">
        <v>117</v>
      </c>
      <c r="BE9" s="62"/>
    </row>
    <row r="10" spans="2:57" ht="75" customHeight="1">
      <c r="B10" s="119"/>
      <c r="N10" s="61">
        <v>1000</v>
      </c>
      <c r="O10" s="29"/>
      <c r="P10" s="61">
        <v>2500</v>
      </c>
      <c r="Q10" s="61">
        <v>4000</v>
      </c>
      <c r="R10" s="61">
        <v>5500</v>
      </c>
      <c r="S10" s="61">
        <v>7000</v>
      </c>
      <c r="T10" s="61">
        <v>8500</v>
      </c>
      <c r="U10" s="61">
        <v>10000</v>
      </c>
      <c r="V10" s="61">
        <v>11500</v>
      </c>
      <c r="W10" s="61">
        <v>13000</v>
      </c>
      <c r="X10" s="61">
        <v>14500</v>
      </c>
      <c r="Y10" s="61">
        <v>16000</v>
      </c>
      <c r="Z10" s="61">
        <v>17500</v>
      </c>
      <c r="AA10" s="61">
        <v>19000</v>
      </c>
      <c r="AB10" s="61">
        <v>20500</v>
      </c>
      <c r="AC10" s="61">
        <v>22000</v>
      </c>
      <c r="AD10" s="61">
        <v>23500</v>
      </c>
      <c r="AE10" s="61">
        <v>25000</v>
      </c>
      <c r="AF10" s="61">
        <v>26500</v>
      </c>
      <c r="AG10" s="61">
        <v>28000</v>
      </c>
      <c r="AH10" s="61">
        <v>29500</v>
      </c>
      <c r="AI10" s="61">
        <v>31000</v>
      </c>
      <c r="AJ10" s="61">
        <v>32500</v>
      </c>
      <c r="AK10" s="61">
        <v>34000</v>
      </c>
      <c r="AL10" s="61">
        <v>35500</v>
      </c>
      <c r="AM10" s="61">
        <v>37000</v>
      </c>
      <c r="AN10" s="61">
        <v>38500</v>
      </c>
      <c r="AO10" s="61">
        <v>40000</v>
      </c>
      <c r="AP10" s="61">
        <v>41500</v>
      </c>
      <c r="AQ10" s="61">
        <v>43000</v>
      </c>
      <c r="AR10" s="61">
        <v>44500</v>
      </c>
      <c r="AS10" s="61">
        <v>46000</v>
      </c>
      <c r="AT10" s="61">
        <v>47500</v>
      </c>
      <c r="AU10" s="61">
        <v>49000</v>
      </c>
      <c r="AV10" s="61">
        <v>50500</v>
      </c>
      <c r="AW10" s="61">
        <v>52000</v>
      </c>
      <c r="AX10" s="61">
        <v>53500</v>
      </c>
      <c r="AY10" s="61">
        <v>55000</v>
      </c>
      <c r="AZ10" s="61">
        <v>56500</v>
      </c>
      <c r="BA10" s="61">
        <v>58000</v>
      </c>
      <c r="BB10" s="61">
        <v>60000</v>
      </c>
      <c r="BE10" s="62"/>
    </row>
    <row r="11" spans="2:57" ht="24.95" customHeight="1">
      <c r="B11" s="67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63"/>
    </row>
    <row r="12" spans="2:57" ht="75" customHeight="1">
      <c r="B12" s="119" t="s">
        <v>119</v>
      </c>
      <c r="L12" s="58" t="s">
        <v>106</v>
      </c>
      <c r="M12" s="12" t="s">
        <v>107</v>
      </c>
      <c r="N12" s="120" t="s">
        <v>108</v>
      </c>
      <c r="O12" s="29"/>
      <c r="P12" s="122" t="s">
        <v>121</v>
      </c>
      <c r="Q12" s="122"/>
      <c r="R12" s="122" t="s">
        <v>122</v>
      </c>
      <c r="S12" s="122"/>
      <c r="T12" s="122"/>
      <c r="U12" s="122"/>
      <c r="V12" s="122" t="s">
        <v>109</v>
      </c>
      <c r="W12" s="122"/>
      <c r="X12" s="122"/>
      <c r="Y12" s="122" t="s">
        <v>110</v>
      </c>
      <c r="Z12" s="122"/>
      <c r="AA12" s="122"/>
      <c r="AB12" s="121" t="s">
        <v>112</v>
      </c>
      <c r="AC12" s="121"/>
      <c r="AD12" s="121"/>
      <c r="AE12" s="121"/>
      <c r="AF12" s="122" t="s">
        <v>123</v>
      </c>
      <c r="AG12" s="122"/>
      <c r="AH12" s="58" t="s">
        <v>132</v>
      </c>
      <c r="AI12" s="59" t="s">
        <v>124</v>
      </c>
      <c r="AJ12" s="122" t="s">
        <v>126</v>
      </c>
      <c r="AK12" s="122"/>
      <c r="AL12" s="122"/>
      <c r="AM12" s="2" t="s">
        <v>127</v>
      </c>
      <c r="AN12" s="69" t="s">
        <v>113</v>
      </c>
      <c r="AO12" s="69"/>
      <c r="AP12" s="69"/>
      <c r="AQ12" s="69"/>
      <c r="AR12" s="122" t="s">
        <v>130</v>
      </c>
      <c r="AS12" s="122"/>
      <c r="AT12" s="122"/>
      <c r="AU12" s="122" t="s">
        <v>129</v>
      </c>
      <c r="AV12" s="122"/>
      <c r="AW12" s="122"/>
      <c r="BE12" s="62"/>
    </row>
    <row r="13" spans="2:57" ht="75" customHeight="1">
      <c r="B13" s="119"/>
      <c r="L13" s="30"/>
      <c r="M13" s="30"/>
      <c r="N13" s="120"/>
      <c r="O13" s="29"/>
      <c r="V13" s="2" t="s">
        <v>131</v>
      </c>
      <c r="W13" s="2" t="s">
        <v>25</v>
      </c>
      <c r="AB13" s="121" t="s">
        <v>116</v>
      </c>
      <c r="AC13" s="121"/>
      <c r="AD13" s="121"/>
      <c r="AE13" s="121"/>
      <c r="AN13" s="2" t="s">
        <v>128</v>
      </c>
      <c r="AO13" s="60" t="s">
        <v>133</v>
      </c>
      <c r="AP13" s="60"/>
      <c r="AQ13" s="60"/>
      <c r="AR13" s="60"/>
      <c r="BE13" s="62"/>
    </row>
    <row r="14" spans="2:57" ht="75" customHeight="1">
      <c r="B14" s="119"/>
      <c r="O14" s="29"/>
      <c r="BE14" s="62"/>
    </row>
    <row r="15" spans="2:57" ht="75" customHeight="1">
      <c r="B15" s="119"/>
      <c r="O15" s="29"/>
      <c r="P15" s="2" t="s">
        <v>117</v>
      </c>
      <c r="Q15" s="2" t="s">
        <v>118</v>
      </c>
      <c r="R15" s="2" t="s">
        <v>117</v>
      </c>
      <c r="S15" s="2" t="s">
        <v>118</v>
      </c>
      <c r="T15" s="2" t="s">
        <v>117</v>
      </c>
      <c r="U15" s="2" t="s">
        <v>118</v>
      </c>
      <c r="V15" s="2" t="s">
        <v>117</v>
      </c>
      <c r="W15" s="2" t="s">
        <v>118</v>
      </c>
      <c r="X15" s="2" t="s">
        <v>117</v>
      </c>
      <c r="Y15" s="2" t="s">
        <v>118</v>
      </c>
      <c r="Z15" s="2" t="s">
        <v>117</v>
      </c>
      <c r="AA15" s="2" t="s">
        <v>118</v>
      </c>
      <c r="AB15" s="2" t="s">
        <v>117</v>
      </c>
      <c r="AC15" s="2" t="s">
        <v>118</v>
      </c>
      <c r="AD15" s="2" t="s">
        <v>117</v>
      </c>
      <c r="AE15" s="2" t="s">
        <v>118</v>
      </c>
      <c r="AF15" s="2" t="s">
        <v>117</v>
      </c>
      <c r="AG15" s="2" t="s">
        <v>118</v>
      </c>
      <c r="AH15" s="2" t="s">
        <v>117</v>
      </c>
      <c r="AI15" s="2" t="s">
        <v>118</v>
      </c>
      <c r="AJ15" s="2" t="s">
        <v>117</v>
      </c>
      <c r="AK15" s="2" t="s">
        <v>118</v>
      </c>
      <c r="AL15" s="2" t="s">
        <v>117</v>
      </c>
      <c r="AM15" s="2" t="s">
        <v>118</v>
      </c>
      <c r="AN15" s="2" t="s">
        <v>117</v>
      </c>
      <c r="AO15" s="2" t="s">
        <v>118</v>
      </c>
      <c r="AP15" s="2" t="s">
        <v>117</v>
      </c>
      <c r="AQ15" s="2" t="s">
        <v>118</v>
      </c>
      <c r="AR15" s="2" t="s">
        <v>117</v>
      </c>
      <c r="AS15" s="2" t="s">
        <v>118</v>
      </c>
      <c r="AT15" s="2" t="s">
        <v>117</v>
      </c>
      <c r="AU15" s="2" t="s">
        <v>118</v>
      </c>
      <c r="AV15" s="2" t="s">
        <v>117</v>
      </c>
      <c r="AW15" s="2" t="s">
        <v>118</v>
      </c>
      <c r="AX15" s="2" t="s">
        <v>117</v>
      </c>
      <c r="AY15" s="2" t="s">
        <v>118</v>
      </c>
      <c r="AZ15" s="2" t="s">
        <v>117</v>
      </c>
      <c r="BA15" s="2" t="s">
        <v>118</v>
      </c>
      <c r="BB15" s="2" t="s">
        <v>117</v>
      </c>
      <c r="BC15" s="2" t="s">
        <v>118</v>
      </c>
      <c r="BE15" s="62"/>
    </row>
    <row r="16" spans="2:57" ht="75" customHeight="1">
      <c r="B16" s="119"/>
      <c r="O16" s="29"/>
      <c r="P16" s="2">
        <v>1500</v>
      </c>
      <c r="Q16" s="2">
        <v>3000</v>
      </c>
      <c r="R16" s="2">
        <v>4500</v>
      </c>
      <c r="S16" s="2">
        <v>6000</v>
      </c>
      <c r="T16" s="2">
        <v>7500</v>
      </c>
      <c r="U16" s="2">
        <v>9000</v>
      </c>
      <c r="V16" s="2">
        <v>10500</v>
      </c>
      <c r="W16" s="2">
        <v>12000</v>
      </c>
      <c r="X16" s="2">
        <v>13500</v>
      </c>
      <c r="Y16" s="2">
        <v>15000</v>
      </c>
      <c r="Z16" s="2">
        <v>16500</v>
      </c>
      <c r="AA16" s="2">
        <v>18000</v>
      </c>
      <c r="AB16" s="2">
        <v>19500</v>
      </c>
      <c r="AC16" s="2">
        <v>21000</v>
      </c>
      <c r="AD16" s="2">
        <v>22500</v>
      </c>
      <c r="AE16" s="2">
        <v>24000</v>
      </c>
      <c r="AF16" s="2">
        <v>25500</v>
      </c>
      <c r="AG16" s="2">
        <v>27000</v>
      </c>
      <c r="AH16" s="2">
        <v>28500</v>
      </c>
      <c r="AI16" s="2">
        <v>30000</v>
      </c>
      <c r="AJ16" s="2">
        <v>31500</v>
      </c>
      <c r="AK16" s="2">
        <v>33000</v>
      </c>
      <c r="AL16" s="2">
        <v>34500</v>
      </c>
      <c r="AM16" s="2">
        <v>36000</v>
      </c>
      <c r="AN16" s="2">
        <v>37500</v>
      </c>
      <c r="AO16" s="2">
        <v>39000</v>
      </c>
      <c r="AP16" s="2">
        <v>40500</v>
      </c>
      <c r="AQ16" s="2">
        <v>42000</v>
      </c>
      <c r="AR16" s="2">
        <v>43500</v>
      </c>
      <c r="AS16" s="2">
        <v>45000</v>
      </c>
      <c r="AT16" s="2">
        <v>46500</v>
      </c>
      <c r="AU16" s="2">
        <v>48000</v>
      </c>
      <c r="AV16" s="2">
        <v>49500</v>
      </c>
      <c r="AW16" s="2">
        <v>51000</v>
      </c>
      <c r="AX16" s="2">
        <v>52500</v>
      </c>
      <c r="AY16" s="2">
        <v>54000</v>
      </c>
      <c r="AZ16" s="2">
        <v>55500</v>
      </c>
      <c r="BA16" s="2">
        <v>57000</v>
      </c>
      <c r="BB16" s="2">
        <v>58500</v>
      </c>
      <c r="BC16" s="2">
        <v>60000</v>
      </c>
      <c r="BE16" s="62"/>
    </row>
    <row r="17" spans="2:57" ht="24.95" customHeight="1">
      <c r="B17" s="68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63"/>
    </row>
    <row r="18" spans="2:57" ht="75" customHeight="1">
      <c r="B18" s="119" t="s">
        <v>134</v>
      </c>
      <c r="O18" s="29"/>
      <c r="BE18" s="62"/>
    </row>
    <row r="19" spans="2:57" ht="75" customHeight="1">
      <c r="B19" s="119"/>
      <c r="O19" s="29"/>
      <c r="BE19" s="62"/>
    </row>
    <row r="20" spans="2:57" ht="75" customHeight="1">
      <c r="B20" s="119"/>
      <c r="O20" s="29"/>
      <c r="BE20" s="62"/>
    </row>
    <row r="21" spans="2:57" ht="75" customHeight="1">
      <c r="B21" s="119"/>
      <c r="O21" s="29"/>
      <c r="BE21" s="62"/>
    </row>
    <row r="22" spans="2:57" ht="75" customHeight="1">
      <c r="B22" s="119"/>
      <c r="O22" s="29"/>
      <c r="BE22" s="62"/>
    </row>
    <row r="23" spans="2:57" ht="24.95" customHeight="1">
      <c r="B23" s="68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2:57" ht="75" customHeight="1">
      <c r="B24" s="119" t="s">
        <v>138</v>
      </c>
      <c r="O24" s="29"/>
      <c r="BE24" s="62"/>
    </row>
    <row r="25" spans="2:57" ht="75" customHeight="1">
      <c r="B25" s="119"/>
      <c r="O25" s="29"/>
      <c r="BE25" s="62"/>
    </row>
    <row r="26" spans="2:57" ht="75" customHeight="1">
      <c r="B26" s="119"/>
      <c r="O26" s="29"/>
      <c r="BE26" s="62"/>
    </row>
    <row r="27" spans="2:57" ht="75" customHeight="1">
      <c r="B27" s="119"/>
      <c r="O27" s="29"/>
      <c r="BE27" s="62"/>
    </row>
    <row r="28" spans="2:57" ht="75" customHeight="1">
      <c r="B28" s="119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5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6"/>
    </row>
  </sheetData>
  <mergeCells count="34">
    <mergeCell ref="AT3:BE3"/>
    <mergeCell ref="B2:BE2"/>
    <mergeCell ref="P12:Q12"/>
    <mergeCell ref="R12:U12"/>
    <mergeCell ref="AR12:AT12"/>
    <mergeCell ref="AL4:AO4"/>
    <mergeCell ref="AP4:AS4"/>
    <mergeCell ref="AT4:AW4"/>
    <mergeCell ref="L4:O4"/>
    <mergeCell ref="P4:S4"/>
    <mergeCell ref="T4:X4"/>
    <mergeCell ref="Y4:AB4"/>
    <mergeCell ref="AC4:AG4"/>
    <mergeCell ref="AH4:AK4"/>
    <mergeCell ref="B3:B5"/>
    <mergeCell ref="AB12:AE12"/>
    <mergeCell ref="AU12:AW12"/>
    <mergeCell ref="B12:B16"/>
    <mergeCell ref="N12:N13"/>
    <mergeCell ref="B6:B10"/>
    <mergeCell ref="BB4:BE4"/>
    <mergeCell ref="AB13:AE13"/>
    <mergeCell ref="AX4:BA4"/>
    <mergeCell ref="C3:AS3"/>
    <mergeCell ref="C4:F4"/>
    <mergeCell ref="G4:K4"/>
    <mergeCell ref="B24:B28"/>
    <mergeCell ref="N6:N7"/>
    <mergeCell ref="AP6:AR6"/>
    <mergeCell ref="V12:X12"/>
    <mergeCell ref="Y12:AA12"/>
    <mergeCell ref="AF12:AG12"/>
    <mergeCell ref="AJ12:AL12"/>
    <mergeCell ref="B18:B22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7731-BFAE-4DE2-80BF-6C3A88FF15A3}">
  <dimension ref="B2:D11"/>
  <sheetViews>
    <sheetView zoomScale="115" zoomScaleNormal="115" workbookViewId="0">
      <selection activeCell="C8" sqref="C8"/>
    </sheetView>
  </sheetViews>
  <sheetFormatPr defaultRowHeight="15"/>
  <cols>
    <col min="2" max="2" width="8.28515625" style="10" customWidth="1"/>
    <col min="3" max="3" width="69.85546875" customWidth="1"/>
    <col min="4" max="4" width="56.5703125" bestFit="1" customWidth="1"/>
  </cols>
  <sheetData>
    <row r="2" spans="2:4" ht="22.5" customHeight="1">
      <c r="B2" s="26" t="s">
        <v>145</v>
      </c>
      <c r="C2" s="26" t="s">
        <v>146</v>
      </c>
      <c r="D2" s="26" t="s">
        <v>147</v>
      </c>
    </row>
    <row r="3" spans="2:4">
      <c r="B3" s="24">
        <v>1</v>
      </c>
      <c r="C3" s="52" t="s">
        <v>148</v>
      </c>
    </row>
    <row r="4" spans="2:4">
      <c r="B4" s="24">
        <v>3</v>
      </c>
      <c r="C4" s="52" t="s">
        <v>149</v>
      </c>
    </row>
    <row r="5" spans="2:4">
      <c r="B5" s="24">
        <v>4</v>
      </c>
      <c r="C5" s="52" t="s">
        <v>150</v>
      </c>
    </row>
    <row r="6" spans="2:4">
      <c r="B6" s="24">
        <v>5</v>
      </c>
      <c r="C6" s="52" t="s">
        <v>151</v>
      </c>
    </row>
    <row r="7" spans="2:4">
      <c r="B7" s="24">
        <v>7</v>
      </c>
      <c r="C7" s="25" t="s">
        <v>152</v>
      </c>
    </row>
    <row r="8" spans="2:4">
      <c r="B8" s="24">
        <v>8</v>
      </c>
      <c r="C8" s="25" t="s">
        <v>153</v>
      </c>
    </row>
    <row r="9" spans="2:4">
      <c r="B9" s="24">
        <v>9</v>
      </c>
      <c r="C9" s="25" t="s">
        <v>154</v>
      </c>
    </row>
    <row r="10" spans="2:4">
      <c r="B10" s="24">
        <v>11</v>
      </c>
      <c r="C10" s="25" t="s">
        <v>155</v>
      </c>
      <c r="D10" t="s">
        <v>156</v>
      </c>
    </row>
    <row r="11" spans="2:4">
      <c r="B11" s="1">
        <v>12</v>
      </c>
      <c r="C11" s="25" t="s">
        <v>157</v>
      </c>
      <c r="D11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0F55-D569-4C0D-9702-69098AD046E6}">
  <sheetPr filterMode="1"/>
  <dimension ref="B2:M151"/>
  <sheetViews>
    <sheetView showGridLines="0" zoomScale="114" zoomScaleNormal="130" workbookViewId="0">
      <selection activeCell="D160" sqref="D160"/>
    </sheetView>
  </sheetViews>
  <sheetFormatPr defaultRowHeight="15"/>
  <cols>
    <col min="1" max="1" width="9.140625" style="16"/>
    <col min="2" max="2" width="10.5703125" style="16" bestFit="1" customWidth="1"/>
    <col min="3" max="3" width="9.140625" style="16"/>
    <col min="4" max="4" width="52" style="16" bestFit="1" customWidth="1"/>
    <col min="5" max="5" width="46.85546875" style="16" bestFit="1" customWidth="1"/>
    <col min="6" max="6" width="21.7109375" style="16" bestFit="1" customWidth="1"/>
    <col min="7" max="7" width="10.140625" style="16" customWidth="1"/>
    <col min="8" max="8" width="10.42578125" style="16" customWidth="1"/>
    <col min="9" max="9" width="10.7109375" style="16" customWidth="1"/>
    <col min="10" max="10" width="11.85546875" style="16" customWidth="1"/>
    <col min="11" max="11" width="11.140625" style="16" bestFit="1" customWidth="1"/>
    <col min="12" max="12" width="10.42578125" style="17" customWidth="1"/>
    <col min="13" max="16384" width="9.140625" style="16"/>
  </cols>
  <sheetData>
    <row r="2" spans="2:11" ht="24.95" customHeight="1"/>
    <row r="3" spans="2:11" ht="33.75" customHeight="1">
      <c r="B3" s="14" t="s">
        <v>159</v>
      </c>
      <c r="C3" s="14" t="s">
        <v>160</v>
      </c>
      <c r="D3" s="14" t="s">
        <v>161</v>
      </c>
      <c r="E3" s="14" t="s">
        <v>0</v>
      </c>
      <c r="F3" s="14" t="s">
        <v>162</v>
      </c>
      <c r="G3" s="14" t="s">
        <v>1</v>
      </c>
      <c r="H3" s="14" t="s">
        <v>2</v>
      </c>
      <c r="I3" s="14" t="s">
        <v>3</v>
      </c>
      <c r="J3" s="14" t="s">
        <v>4</v>
      </c>
      <c r="K3" s="14" t="s">
        <v>163</v>
      </c>
    </row>
    <row r="4" spans="2:11" ht="15" customHeight="1">
      <c r="B4" s="19" t="s">
        <v>164</v>
      </c>
      <c r="C4" s="15">
        <v>19</v>
      </c>
      <c r="D4" s="18" t="s">
        <v>165</v>
      </c>
      <c r="E4" s="18" t="s">
        <v>16</v>
      </c>
      <c r="F4" s="18" t="s">
        <v>166</v>
      </c>
      <c r="G4" s="18"/>
      <c r="H4" s="18" t="s">
        <v>9</v>
      </c>
      <c r="I4" s="18"/>
      <c r="J4" s="18"/>
      <c r="K4" s="18"/>
    </row>
    <row r="5" spans="2:11">
      <c r="B5" s="19" t="s">
        <v>164</v>
      </c>
      <c r="C5" s="15">
        <v>18</v>
      </c>
      <c r="D5" s="18" t="s">
        <v>165</v>
      </c>
      <c r="E5" s="18" t="s">
        <v>16</v>
      </c>
      <c r="F5" s="18" t="s">
        <v>166</v>
      </c>
      <c r="G5" s="18"/>
      <c r="H5" s="18" t="s">
        <v>9</v>
      </c>
      <c r="I5" s="18"/>
      <c r="J5" s="18"/>
      <c r="K5" s="18"/>
    </row>
    <row r="6" spans="2:11" ht="14.45" hidden="1" customHeight="1">
      <c r="B6" s="19" t="s">
        <v>164</v>
      </c>
      <c r="C6" s="15">
        <v>17</v>
      </c>
      <c r="D6" s="18" t="s">
        <v>165</v>
      </c>
      <c r="E6" s="18" t="s">
        <v>23</v>
      </c>
      <c r="F6" s="18" t="s">
        <v>166</v>
      </c>
      <c r="G6" s="18"/>
      <c r="H6" s="18" t="s">
        <v>9</v>
      </c>
      <c r="I6" s="18"/>
      <c r="J6" s="18"/>
      <c r="K6" s="18"/>
    </row>
    <row r="7" spans="2:11" ht="14.45" hidden="1" customHeight="1">
      <c r="B7" s="19" t="s">
        <v>164</v>
      </c>
      <c r="C7" s="15">
        <v>16</v>
      </c>
      <c r="D7" s="18" t="s">
        <v>165</v>
      </c>
      <c r="E7" s="18" t="s">
        <v>167</v>
      </c>
      <c r="F7" s="18" t="s">
        <v>168</v>
      </c>
      <c r="G7" s="18" t="s">
        <v>9</v>
      </c>
      <c r="H7" s="18" t="s">
        <v>9</v>
      </c>
      <c r="I7" s="18"/>
      <c r="J7" s="18"/>
      <c r="K7" s="18"/>
    </row>
    <row r="8" spans="2:11" ht="14.45" hidden="1" customHeight="1">
      <c r="B8" s="19" t="s">
        <v>164</v>
      </c>
      <c r="C8" s="15">
        <v>15</v>
      </c>
      <c r="D8" s="18" t="s">
        <v>165</v>
      </c>
      <c r="E8" s="18" t="s">
        <v>169</v>
      </c>
      <c r="F8" s="18" t="s">
        <v>170</v>
      </c>
      <c r="G8" s="18"/>
      <c r="H8" s="18"/>
      <c r="I8" s="18"/>
      <c r="J8" s="18"/>
      <c r="K8" s="18" t="s">
        <v>9</v>
      </c>
    </row>
    <row r="9" spans="2:11" ht="14.45" hidden="1" customHeight="1">
      <c r="B9" s="19" t="s">
        <v>164</v>
      </c>
      <c r="C9" s="15">
        <v>14</v>
      </c>
      <c r="D9" s="18" t="s">
        <v>171</v>
      </c>
      <c r="E9" s="18" t="s">
        <v>172</v>
      </c>
      <c r="F9" s="18" t="s">
        <v>168</v>
      </c>
      <c r="G9" s="18"/>
      <c r="H9" s="18" t="s">
        <v>9</v>
      </c>
      <c r="I9" s="18"/>
      <c r="J9" s="18"/>
      <c r="K9" s="18"/>
    </row>
    <row r="10" spans="2:11" ht="14.45" hidden="1" customHeight="1">
      <c r="B10" s="19" t="s">
        <v>164</v>
      </c>
      <c r="C10" s="15">
        <v>13</v>
      </c>
      <c r="D10" s="18" t="s">
        <v>173</v>
      </c>
      <c r="E10" s="18" t="s">
        <v>174</v>
      </c>
      <c r="F10" s="18" t="s">
        <v>166</v>
      </c>
      <c r="G10" s="18"/>
      <c r="H10" s="18" t="s">
        <v>9</v>
      </c>
      <c r="I10" s="18"/>
      <c r="J10" s="18"/>
      <c r="K10" s="18"/>
    </row>
    <row r="11" spans="2:11" ht="14.45" customHeight="1">
      <c r="B11" s="19" t="s">
        <v>164</v>
      </c>
      <c r="C11" s="15">
        <v>12</v>
      </c>
      <c r="D11" s="18" t="s">
        <v>173</v>
      </c>
      <c r="E11" s="18" t="s">
        <v>16</v>
      </c>
      <c r="F11" s="18" t="s">
        <v>166</v>
      </c>
      <c r="G11" s="18"/>
      <c r="H11" s="18" t="s">
        <v>9</v>
      </c>
      <c r="I11" s="18"/>
      <c r="J11" s="18"/>
      <c r="K11" s="18"/>
    </row>
    <row r="12" spans="2:11" ht="14.45" hidden="1" customHeight="1">
      <c r="B12" s="19" t="s">
        <v>164</v>
      </c>
      <c r="C12" s="15">
        <v>11</v>
      </c>
      <c r="D12" s="18" t="s">
        <v>175</v>
      </c>
      <c r="E12" s="18" t="s">
        <v>27</v>
      </c>
      <c r="F12" s="18" t="s">
        <v>166</v>
      </c>
      <c r="G12" s="18"/>
      <c r="H12" s="18" t="s">
        <v>9</v>
      </c>
      <c r="I12" s="18"/>
      <c r="J12" s="18"/>
      <c r="K12" s="18"/>
    </row>
    <row r="13" spans="2:11" ht="14.45" hidden="1" customHeight="1">
      <c r="B13" s="19" t="s">
        <v>164</v>
      </c>
      <c r="C13" s="15">
        <v>10</v>
      </c>
      <c r="D13" s="18" t="s">
        <v>175</v>
      </c>
      <c r="E13" s="18" t="s">
        <v>176</v>
      </c>
      <c r="F13" s="18" t="s">
        <v>166</v>
      </c>
      <c r="G13" s="18"/>
      <c r="H13" s="18" t="s">
        <v>9</v>
      </c>
      <c r="I13" s="18"/>
      <c r="J13" s="18"/>
      <c r="K13" s="18"/>
    </row>
    <row r="14" spans="2:11" ht="14.45" hidden="1" customHeight="1">
      <c r="B14" s="19" t="s">
        <v>164</v>
      </c>
      <c r="C14" s="15">
        <v>9</v>
      </c>
      <c r="D14" s="18" t="s">
        <v>177</v>
      </c>
      <c r="E14" s="18" t="s">
        <v>178</v>
      </c>
      <c r="F14" s="18" t="s">
        <v>179</v>
      </c>
      <c r="G14" s="18"/>
      <c r="H14" s="18"/>
      <c r="I14" s="18"/>
      <c r="J14" s="18" t="s">
        <v>9</v>
      </c>
      <c r="K14" s="18"/>
    </row>
    <row r="15" spans="2:11" ht="14.45" hidden="1" customHeight="1">
      <c r="B15" s="19" t="s">
        <v>164</v>
      </c>
      <c r="C15" s="15">
        <v>8</v>
      </c>
      <c r="D15" s="18" t="s">
        <v>177</v>
      </c>
      <c r="E15" s="18" t="s">
        <v>178</v>
      </c>
      <c r="F15" s="18" t="s">
        <v>179</v>
      </c>
      <c r="G15" s="18"/>
      <c r="H15" s="18"/>
      <c r="I15" s="18"/>
      <c r="J15" s="18" t="s">
        <v>9</v>
      </c>
      <c r="K15" s="18"/>
    </row>
    <row r="16" spans="2:11" ht="14.45" hidden="1" customHeight="1">
      <c r="B16" s="19" t="s">
        <v>164</v>
      </c>
      <c r="C16" s="15">
        <v>7</v>
      </c>
      <c r="D16" s="18" t="s">
        <v>177</v>
      </c>
      <c r="E16" s="18" t="s">
        <v>180</v>
      </c>
      <c r="F16" s="18" t="s">
        <v>168</v>
      </c>
      <c r="G16" s="18" t="s">
        <v>9</v>
      </c>
      <c r="H16" s="18" t="s">
        <v>9</v>
      </c>
      <c r="I16" s="18" t="s">
        <v>9</v>
      </c>
      <c r="J16" s="18"/>
      <c r="K16" s="18"/>
    </row>
    <row r="17" spans="2:13" ht="14.45" hidden="1" customHeight="1">
      <c r="B17" s="19" t="s">
        <v>164</v>
      </c>
      <c r="C17" s="15">
        <v>6</v>
      </c>
      <c r="D17" s="18" t="s">
        <v>177</v>
      </c>
      <c r="E17" s="18" t="s">
        <v>181</v>
      </c>
      <c r="F17" s="18" t="s">
        <v>168</v>
      </c>
      <c r="G17" s="18" t="s">
        <v>9</v>
      </c>
      <c r="H17" s="18" t="s">
        <v>9</v>
      </c>
      <c r="I17" s="18" t="s">
        <v>9</v>
      </c>
      <c r="J17" s="18"/>
      <c r="K17" s="18"/>
    </row>
    <row r="18" spans="2:13" ht="14.45" customHeight="1">
      <c r="B18" s="19" t="s">
        <v>164</v>
      </c>
      <c r="C18" s="15">
        <v>5</v>
      </c>
      <c r="D18" s="18" t="s">
        <v>182</v>
      </c>
      <c r="E18" s="18" t="s">
        <v>16</v>
      </c>
      <c r="F18" s="18" t="s">
        <v>166</v>
      </c>
      <c r="G18" s="18"/>
      <c r="H18" s="18" t="s">
        <v>9</v>
      </c>
      <c r="I18" s="18"/>
      <c r="J18" s="18"/>
      <c r="K18" s="18"/>
    </row>
    <row r="19" spans="2:13" ht="14.45" hidden="1" customHeight="1">
      <c r="B19" s="19" t="s">
        <v>164</v>
      </c>
      <c r="C19" s="15">
        <v>4</v>
      </c>
      <c r="D19" s="18" t="s">
        <v>182</v>
      </c>
      <c r="E19" s="18" t="s">
        <v>174</v>
      </c>
      <c r="F19" s="18" t="s">
        <v>166</v>
      </c>
      <c r="G19" s="18"/>
      <c r="H19" s="18" t="s">
        <v>9</v>
      </c>
      <c r="I19" s="18"/>
      <c r="J19" s="18"/>
      <c r="K19" s="18"/>
    </row>
    <row r="20" spans="2:13" ht="14.45" hidden="1" customHeight="1">
      <c r="B20" s="19" t="s">
        <v>164</v>
      </c>
      <c r="C20" s="15">
        <v>3</v>
      </c>
      <c r="D20" s="18" t="s">
        <v>182</v>
      </c>
      <c r="E20" s="18" t="s">
        <v>8</v>
      </c>
      <c r="F20" s="18" t="s">
        <v>166</v>
      </c>
      <c r="G20" s="18"/>
      <c r="H20" s="18" t="s">
        <v>9</v>
      </c>
      <c r="I20" s="18"/>
      <c r="J20" s="18"/>
      <c r="K20" s="18"/>
    </row>
    <row r="21" spans="2:13" ht="14.45" hidden="1" customHeight="1">
      <c r="B21" s="19" t="s">
        <v>164</v>
      </c>
      <c r="C21" s="15">
        <v>2</v>
      </c>
      <c r="D21" s="18" t="s">
        <v>182</v>
      </c>
      <c r="E21" s="18" t="s">
        <v>183</v>
      </c>
      <c r="F21" s="18" t="s">
        <v>170</v>
      </c>
      <c r="G21" s="18"/>
      <c r="H21" s="18"/>
      <c r="I21" s="18"/>
      <c r="J21" s="18"/>
      <c r="K21" s="18" t="s">
        <v>9</v>
      </c>
    </row>
    <row r="22" spans="2:13" ht="14.45" hidden="1" customHeight="1">
      <c r="B22" s="19" t="s">
        <v>164</v>
      </c>
      <c r="C22" s="15">
        <v>1</v>
      </c>
      <c r="D22" s="18" t="s">
        <v>182</v>
      </c>
      <c r="E22" s="18" t="s">
        <v>184</v>
      </c>
      <c r="F22" s="18" t="s">
        <v>170</v>
      </c>
      <c r="G22" s="18"/>
      <c r="H22" s="18"/>
      <c r="I22" s="18"/>
      <c r="J22" s="18"/>
      <c r="K22" s="18" t="s">
        <v>9</v>
      </c>
    </row>
    <row r="23" spans="2:13" ht="14.45" hidden="1" customHeight="1">
      <c r="B23" s="22" t="s">
        <v>185</v>
      </c>
      <c r="C23" s="15">
        <v>15</v>
      </c>
      <c r="D23" s="18" t="s">
        <v>186</v>
      </c>
      <c r="E23" s="18" t="s">
        <v>14</v>
      </c>
      <c r="F23" s="18" t="s">
        <v>166</v>
      </c>
      <c r="G23" s="18" t="s">
        <v>9</v>
      </c>
      <c r="H23" s="18" t="s">
        <v>9</v>
      </c>
      <c r="I23" s="18"/>
      <c r="J23" s="18"/>
      <c r="K23" s="18"/>
    </row>
    <row r="24" spans="2:13" ht="14.45" hidden="1" customHeight="1">
      <c r="B24" s="22" t="s">
        <v>185</v>
      </c>
      <c r="C24" s="15">
        <v>14</v>
      </c>
      <c r="D24" s="18" t="s">
        <v>186</v>
      </c>
      <c r="E24" s="18" t="s">
        <v>14</v>
      </c>
      <c r="F24" s="18" t="s">
        <v>166</v>
      </c>
      <c r="G24" s="18" t="s">
        <v>9</v>
      </c>
      <c r="H24" s="18" t="s">
        <v>9</v>
      </c>
      <c r="I24" s="18"/>
      <c r="J24" s="18"/>
      <c r="K24" s="18"/>
      <c r="M24" s="18"/>
    </row>
    <row r="25" spans="2:13" ht="14.45" hidden="1" customHeight="1">
      <c r="B25" s="22" t="s">
        <v>185</v>
      </c>
      <c r="C25" s="15">
        <v>13</v>
      </c>
      <c r="D25" s="18" t="s">
        <v>186</v>
      </c>
      <c r="E25" s="18" t="s">
        <v>14</v>
      </c>
      <c r="F25" s="18" t="s">
        <v>166</v>
      </c>
      <c r="G25" s="18"/>
      <c r="H25" s="18" t="s">
        <v>9</v>
      </c>
      <c r="I25" s="18"/>
      <c r="J25" s="18"/>
      <c r="K25" s="18"/>
    </row>
    <row r="26" spans="2:13" ht="14.45" hidden="1" customHeight="1">
      <c r="B26" s="22" t="s">
        <v>185</v>
      </c>
      <c r="C26" s="15">
        <v>12</v>
      </c>
      <c r="D26" s="18" t="s">
        <v>186</v>
      </c>
      <c r="E26" s="18" t="s">
        <v>14</v>
      </c>
      <c r="F26" s="18" t="s">
        <v>166</v>
      </c>
      <c r="G26" s="18" t="s">
        <v>9</v>
      </c>
      <c r="H26" s="18"/>
      <c r="I26" s="18"/>
      <c r="J26" s="18"/>
      <c r="K26" s="18"/>
    </row>
    <row r="27" spans="2:13" ht="14.45" hidden="1" customHeight="1">
      <c r="B27" s="22" t="s">
        <v>185</v>
      </c>
      <c r="C27" s="15">
        <v>11</v>
      </c>
      <c r="D27" s="18" t="s">
        <v>186</v>
      </c>
      <c r="E27" s="18" t="s">
        <v>14</v>
      </c>
      <c r="F27" s="18" t="s">
        <v>166</v>
      </c>
      <c r="G27" s="18" t="s">
        <v>9</v>
      </c>
      <c r="H27" s="18" t="s">
        <v>9</v>
      </c>
      <c r="I27" s="18"/>
      <c r="J27" s="18"/>
      <c r="K27" s="18"/>
    </row>
    <row r="28" spans="2:13" ht="14.45" hidden="1" customHeight="1">
      <c r="B28" s="22" t="s">
        <v>185</v>
      </c>
      <c r="C28" s="15">
        <v>10</v>
      </c>
      <c r="D28" s="18" t="s">
        <v>186</v>
      </c>
      <c r="E28" s="18" t="s">
        <v>14</v>
      </c>
      <c r="F28" s="18" t="s">
        <v>166</v>
      </c>
      <c r="G28" s="18" t="s">
        <v>9</v>
      </c>
      <c r="H28" s="18" t="s">
        <v>9</v>
      </c>
      <c r="I28" s="18"/>
      <c r="J28" s="18"/>
      <c r="K28" s="18"/>
    </row>
    <row r="29" spans="2:13" ht="14.45" hidden="1" customHeight="1">
      <c r="B29" s="22" t="s">
        <v>185</v>
      </c>
      <c r="C29" s="15">
        <v>9</v>
      </c>
      <c r="D29" s="18" t="s">
        <v>187</v>
      </c>
      <c r="E29" s="18" t="s">
        <v>188</v>
      </c>
      <c r="F29" s="18" t="s">
        <v>166</v>
      </c>
      <c r="G29" s="18" t="s">
        <v>9</v>
      </c>
      <c r="H29" s="18" t="s">
        <v>9</v>
      </c>
      <c r="I29" s="18"/>
      <c r="J29" s="18"/>
      <c r="K29" s="18"/>
    </row>
    <row r="30" spans="2:13" ht="14.45" hidden="1" customHeight="1">
      <c r="B30" s="22" t="s">
        <v>185</v>
      </c>
      <c r="C30" s="15">
        <v>8</v>
      </c>
      <c r="D30" s="18" t="s">
        <v>186</v>
      </c>
      <c r="E30" s="18" t="s">
        <v>14</v>
      </c>
      <c r="F30" s="18" t="s">
        <v>166</v>
      </c>
      <c r="G30" s="18" t="s">
        <v>9</v>
      </c>
      <c r="H30" s="18" t="s">
        <v>9</v>
      </c>
      <c r="I30" s="18"/>
      <c r="J30" s="18"/>
      <c r="K30" s="18"/>
    </row>
    <row r="31" spans="2:13" ht="14.45" hidden="1" customHeight="1">
      <c r="B31" s="22" t="s">
        <v>185</v>
      </c>
      <c r="C31" s="15">
        <v>7</v>
      </c>
      <c r="D31" s="18" t="s">
        <v>189</v>
      </c>
      <c r="E31" s="18" t="s">
        <v>14</v>
      </c>
      <c r="F31" s="18" t="s">
        <v>166</v>
      </c>
      <c r="G31" s="18" t="s">
        <v>9</v>
      </c>
      <c r="H31" s="18" t="s">
        <v>9</v>
      </c>
      <c r="I31" s="18"/>
      <c r="J31" s="18"/>
      <c r="K31" s="18"/>
    </row>
    <row r="32" spans="2:13" ht="14.45" hidden="1" customHeight="1">
      <c r="B32" s="22" t="s">
        <v>185</v>
      </c>
      <c r="C32" s="15">
        <v>6</v>
      </c>
      <c r="D32" s="18" t="s">
        <v>189</v>
      </c>
      <c r="E32" s="18" t="s">
        <v>14</v>
      </c>
      <c r="F32" s="18" t="s">
        <v>166</v>
      </c>
      <c r="G32" s="18" t="s">
        <v>9</v>
      </c>
      <c r="H32" s="18" t="s">
        <v>9</v>
      </c>
      <c r="I32" s="18"/>
      <c r="J32" s="18"/>
      <c r="K32" s="18"/>
    </row>
    <row r="33" spans="2:11" ht="14.45" hidden="1" customHeight="1">
      <c r="B33" s="22" t="s">
        <v>185</v>
      </c>
      <c r="C33" s="15">
        <v>5</v>
      </c>
      <c r="D33" s="18" t="s">
        <v>189</v>
      </c>
      <c r="E33" s="18" t="s">
        <v>14</v>
      </c>
      <c r="F33" s="18" t="s">
        <v>166</v>
      </c>
      <c r="G33" s="18" t="s">
        <v>9</v>
      </c>
      <c r="H33" s="18" t="s">
        <v>9</v>
      </c>
      <c r="I33" s="18"/>
      <c r="J33" s="18"/>
      <c r="K33" s="18"/>
    </row>
    <row r="34" spans="2:11" ht="14.45" hidden="1" customHeight="1">
      <c r="B34" s="22" t="s">
        <v>185</v>
      </c>
      <c r="C34" s="15">
        <v>4</v>
      </c>
      <c r="D34" s="18" t="s">
        <v>189</v>
      </c>
      <c r="E34" s="18" t="s">
        <v>14</v>
      </c>
      <c r="F34" s="18" t="s">
        <v>166</v>
      </c>
      <c r="G34" s="18" t="s">
        <v>9</v>
      </c>
      <c r="H34" s="18" t="s">
        <v>9</v>
      </c>
      <c r="I34" s="18"/>
      <c r="J34" s="18"/>
      <c r="K34" s="18"/>
    </row>
    <row r="35" spans="2:11" ht="14.45" hidden="1" customHeight="1">
      <c r="B35" s="22" t="s">
        <v>185</v>
      </c>
      <c r="C35" s="15">
        <v>3</v>
      </c>
      <c r="D35" s="18" t="s">
        <v>190</v>
      </c>
      <c r="E35" s="18" t="s">
        <v>11</v>
      </c>
      <c r="F35" s="18" t="s">
        <v>166</v>
      </c>
      <c r="G35" s="18" t="s">
        <v>9</v>
      </c>
      <c r="H35" s="18" t="s">
        <v>9</v>
      </c>
      <c r="I35" s="18"/>
      <c r="J35" s="18"/>
      <c r="K35" s="18"/>
    </row>
    <row r="36" spans="2:11" ht="14.45" hidden="1" customHeight="1">
      <c r="B36" s="22" t="s">
        <v>185</v>
      </c>
      <c r="C36" s="15">
        <v>2</v>
      </c>
      <c r="D36" s="18" t="s">
        <v>186</v>
      </c>
      <c r="E36" s="18" t="s">
        <v>25</v>
      </c>
      <c r="F36" s="18" t="s">
        <v>166</v>
      </c>
      <c r="G36" s="18" t="s">
        <v>9</v>
      </c>
      <c r="H36" s="18" t="s">
        <v>9</v>
      </c>
      <c r="I36" s="18"/>
      <c r="J36" s="18"/>
      <c r="K36" s="18"/>
    </row>
    <row r="37" spans="2:11" ht="14.45" hidden="1" customHeight="1">
      <c r="B37" s="22" t="s">
        <v>185</v>
      </c>
      <c r="C37" s="15">
        <v>1</v>
      </c>
      <c r="D37" s="18" t="s">
        <v>191</v>
      </c>
      <c r="E37" s="18" t="s">
        <v>14</v>
      </c>
      <c r="F37" s="18" t="s">
        <v>166</v>
      </c>
      <c r="G37" s="18" t="s">
        <v>9</v>
      </c>
      <c r="H37" s="18" t="s">
        <v>9</v>
      </c>
      <c r="I37" s="18"/>
      <c r="J37" s="18"/>
      <c r="K37" s="18"/>
    </row>
    <row r="38" spans="2:11" ht="14.45" hidden="1" customHeight="1">
      <c r="B38" s="21" t="s">
        <v>192</v>
      </c>
      <c r="C38" s="15">
        <v>5</v>
      </c>
      <c r="D38" s="18" t="s">
        <v>193</v>
      </c>
      <c r="E38" s="18" t="s">
        <v>194</v>
      </c>
      <c r="F38" s="18" t="s">
        <v>195</v>
      </c>
      <c r="G38" s="18"/>
      <c r="H38" s="18"/>
      <c r="I38" s="18"/>
      <c r="J38" s="18"/>
      <c r="K38" s="18" t="s">
        <v>9</v>
      </c>
    </row>
    <row r="39" spans="2:11" ht="14.45" hidden="1" customHeight="1">
      <c r="B39" s="21" t="s">
        <v>192</v>
      </c>
      <c r="C39" s="15">
        <v>4</v>
      </c>
      <c r="D39" s="18" t="s">
        <v>196</v>
      </c>
      <c r="E39" s="18" t="s">
        <v>197</v>
      </c>
      <c r="F39" s="18" t="s">
        <v>166</v>
      </c>
      <c r="G39" s="18"/>
      <c r="H39" s="18" t="s">
        <v>9</v>
      </c>
      <c r="I39" s="18"/>
      <c r="J39" s="18"/>
      <c r="K39" s="18"/>
    </row>
    <row r="40" spans="2:11" ht="14.45" hidden="1" customHeight="1">
      <c r="B40" s="21" t="s">
        <v>192</v>
      </c>
      <c r="C40" s="15">
        <v>3</v>
      </c>
      <c r="D40" s="18" t="s">
        <v>198</v>
      </c>
      <c r="E40" s="18" t="s">
        <v>197</v>
      </c>
      <c r="F40" s="18" t="s">
        <v>166</v>
      </c>
      <c r="G40" s="18"/>
      <c r="H40" s="18" t="s">
        <v>9</v>
      </c>
      <c r="I40" s="18"/>
      <c r="J40" s="18"/>
      <c r="K40" s="18"/>
    </row>
    <row r="41" spans="2:11" ht="14.45" hidden="1" customHeight="1">
      <c r="B41" s="21" t="s">
        <v>192</v>
      </c>
      <c r="C41" s="15">
        <v>2</v>
      </c>
      <c r="D41" s="18" t="s">
        <v>199</v>
      </c>
      <c r="E41" s="18" t="s">
        <v>197</v>
      </c>
      <c r="F41" s="18" t="s">
        <v>166</v>
      </c>
      <c r="G41" s="18"/>
      <c r="H41" s="18" t="s">
        <v>9</v>
      </c>
      <c r="I41" s="18"/>
      <c r="J41" s="18"/>
      <c r="K41" s="18"/>
    </row>
    <row r="42" spans="2:11" ht="14.45" hidden="1" customHeight="1">
      <c r="B42" s="21" t="s">
        <v>192</v>
      </c>
      <c r="C42" s="15">
        <v>1</v>
      </c>
      <c r="D42" s="18" t="s">
        <v>200</v>
      </c>
      <c r="E42" s="18" t="s">
        <v>197</v>
      </c>
      <c r="F42" s="18" t="s">
        <v>166</v>
      </c>
      <c r="G42" s="18"/>
      <c r="H42" s="18" t="s">
        <v>9</v>
      </c>
      <c r="I42" s="18"/>
      <c r="J42" s="18"/>
      <c r="K42" s="18"/>
    </row>
    <row r="43" spans="2:11" ht="14.45" hidden="1" customHeight="1">
      <c r="B43" s="20" t="s">
        <v>201</v>
      </c>
      <c r="C43" s="15">
        <v>50</v>
      </c>
      <c r="D43" s="18" t="s">
        <v>202</v>
      </c>
      <c r="E43" s="18" t="s">
        <v>203</v>
      </c>
      <c r="F43" s="18" t="s">
        <v>170</v>
      </c>
      <c r="G43" s="18"/>
      <c r="H43" s="18"/>
      <c r="I43" s="18"/>
      <c r="J43" s="18"/>
      <c r="K43" s="18" t="s">
        <v>9</v>
      </c>
    </row>
    <row r="44" spans="2:11" ht="14.45" customHeight="1">
      <c r="B44" s="20" t="s">
        <v>201</v>
      </c>
      <c r="C44" s="15">
        <v>2</v>
      </c>
      <c r="D44" s="18" t="s">
        <v>204</v>
      </c>
      <c r="E44" s="18" t="s">
        <v>16</v>
      </c>
      <c r="F44" s="18" t="s">
        <v>166</v>
      </c>
      <c r="G44" s="18"/>
      <c r="H44" s="18" t="s">
        <v>9</v>
      </c>
      <c r="I44" s="18"/>
      <c r="J44" s="18"/>
      <c r="K44" s="18"/>
    </row>
    <row r="45" spans="2:11" ht="14.45" hidden="1" customHeight="1">
      <c r="B45" s="20" t="s">
        <v>201</v>
      </c>
      <c r="C45" s="15">
        <v>3</v>
      </c>
      <c r="D45" s="18" t="s">
        <v>204</v>
      </c>
      <c r="E45" s="18" t="s">
        <v>174</v>
      </c>
      <c r="F45" s="18" t="s">
        <v>166</v>
      </c>
      <c r="G45" s="18"/>
      <c r="H45" s="18" t="s">
        <v>9</v>
      </c>
      <c r="I45" s="18"/>
      <c r="J45" s="18"/>
      <c r="K45" s="18"/>
    </row>
    <row r="46" spans="2:11" ht="14.45" hidden="1" customHeight="1">
      <c r="B46" s="20" t="s">
        <v>201</v>
      </c>
      <c r="C46" s="15">
        <v>4</v>
      </c>
      <c r="D46" s="18" t="s">
        <v>205</v>
      </c>
      <c r="E46" s="18" t="s">
        <v>194</v>
      </c>
      <c r="F46" s="18" t="s">
        <v>195</v>
      </c>
      <c r="G46" s="18"/>
      <c r="H46" s="18"/>
      <c r="I46" s="18"/>
      <c r="J46" s="18"/>
      <c r="K46" s="18" t="s">
        <v>9</v>
      </c>
    </row>
    <row r="47" spans="2:11" ht="14.45" hidden="1" customHeight="1">
      <c r="B47" s="20" t="s">
        <v>201</v>
      </c>
      <c r="C47" s="15">
        <v>17</v>
      </c>
      <c r="D47" s="18" t="s">
        <v>206</v>
      </c>
      <c r="E47" s="18" t="s">
        <v>26</v>
      </c>
      <c r="F47" s="18" t="s">
        <v>170</v>
      </c>
      <c r="G47" s="18"/>
      <c r="H47" s="18"/>
      <c r="I47" s="18"/>
      <c r="J47" s="18"/>
      <c r="K47" s="18" t="s">
        <v>9</v>
      </c>
    </row>
    <row r="48" spans="2:11" ht="14.45" customHeight="1">
      <c r="B48" s="20" t="s">
        <v>201</v>
      </c>
      <c r="C48" s="15">
        <v>6</v>
      </c>
      <c r="D48" s="18" t="s">
        <v>207</v>
      </c>
      <c r="E48" s="18" t="s">
        <v>16</v>
      </c>
      <c r="F48" s="18" t="s">
        <v>166</v>
      </c>
      <c r="G48" s="18"/>
      <c r="H48" s="18" t="s">
        <v>9</v>
      </c>
      <c r="I48" s="18"/>
      <c r="J48" s="18"/>
      <c r="K48" s="18"/>
    </row>
    <row r="49" spans="2:11" ht="14.45" hidden="1" customHeight="1">
      <c r="B49" s="20" t="s">
        <v>201</v>
      </c>
      <c r="C49" s="15">
        <v>7</v>
      </c>
      <c r="D49" s="18" t="s">
        <v>207</v>
      </c>
      <c r="E49" s="18" t="s">
        <v>174</v>
      </c>
      <c r="F49" s="18" t="s">
        <v>166</v>
      </c>
      <c r="G49" s="18"/>
      <c r="H49" s="18" t="s">
        <v>9</v>
      </c>
      <c r="I49" s="18"/>
      <c r="J49" s="18"/>
      <c r="K49" s="18"/>
    </row>
    <row r="50" spans="2:11" ht="14.45" hidden="1" customHeight="1">
      <c r="B50" s="20" t="s">
        <v>201</v>
      </c>
      <c r="C50" s="15">
        <v>8</v>
      </c>
      <c r="D50" s="18" t="s">
        <v>208</v>
      </c>
      <c r="E50" s="18" t="s">
        <v>194</v>
      </c>
      <c r="F50" s="18" t="s">
        <v>195</v>
      </c>
      <c r="G50" s="18"/>
      <c r="H50" s="18"/>
      <c r="I50" s="18"/>
      <c r="J50" s="18"/>
      <c r="K50" s="18" t="s">
        <v>9</v>
      </c>
    </row>
    <row r="51" spans="2:11" ht="14.45" hidden="1" customHeight="1">
      <c r="B51" s="20" t="s">
        <v>201</v>
      </c>
      <c r="C51" s="15">
        <v>9</v>
      </c>
      <c r="D51" s="18" t="s">
        <v>209</v>
      </c>
      <c r="E51" s="18" t="s">
        <v>194</v>
      </c>
      <c r="F51" s="18" t="s">
        <v>195</v>
      </c>
      <c r="G51" s="18"/>
      <c r="H51" s="18"/>
      <c r="I51" s="18"/>
      <c r="J51" s="18"/>
      <c r="K51" s="18" t="s">
        <v>9</v>
      </c>
    </row>
    <row r="52" spans="2:11" ht="14.45" hidden="1" customHeight="1">
      <c r="B52" s="20" t="s">
        <v>201</v>
      </c>
      <c r="C52" s="15">
        <v>10</v>
      </c>
      <c r="D52" s="18" t="s">
        <v>210</v>
      </c>
      <c r="E52" s="18" t="s">
        <v>194</v>
      </c>
      <c r="F52" s="18" t="s">
        <v>195</v>
      </c>
      <c r="G52" s="18"/>
      <c r="H52" s="18"/>
      <c r="I52" s="18"/>
      <c r="J52" s="18"/>
      <c r="K52" s="18" t="s">
        <v>9</v>
      </c>
    </row>
    <row r="53" spans="2:11" ht="14.45" hidden="1" customHeight="1">
      <c r="B53" s="20" t="s">
        <v>201</v>
      </c>
      <c r="C53" s="15">
        <v>11</v>
      </c>
      <c r="D53" s="18" t="s">
        <v>211</v>
      </c>
      <c r="E53" s="18" t="s">
        <v>194</v>
      </c>
      <c r="F53" s="18" t="s">
        <v>195</v>
      </c>
      <c r="G53" s="18"/>
      <c r="H53" s="18"/>
      <c r="I53" s="18"/>
      <c r="J53" s="18"/>
      <c r="K53" s="18" t="s">
        <v>9</v>
      </c>
    </row>
    <row r="54" spans="2:11" ht="14.45" hidden="1" customHeight="1">
      <c r="B54" s="20" t="s">
        <v>201</v>
      </c>
      <c r="C54" s="15">
        <v>12</v>
      </c>
      <c r="D54" s="18" t="s">
        <v>212</v>
      </c>
      <c r="E54" s="18" t="s">
        <v>194</v>
      </c>
      <c r="F54" s="18" t="s">
        <v>195</v>
      </c>
      <c r="G54" s="18"/>
      <c r="H54" s="18"/>
      <c r="I54" s="18"/>
      <c r="J54" s="18"/>
      <c r="K54" s="18" t="s">
        <v>9</v>
      </c>
    </row>
    <row r="55" spans="2:11" ht="14.45" hidden="1" customHeight="1">
      <c r="B55" s="20" t="s">
        <v>201</v>
      </c>
      <c r="C55" s="15">
        <v>13</v>
      </c>
      <c r="D55" s="18" t="s">
        <v>213</v>
      </c>
      <c r="E55" s="18" t="s">
        <v>27</v>
      </c>
      <c r="F55" s="18" t="s">
        <v>166</v>
      </c>
      <c r="G55" s="18" t="s">
        <v>9</v>
      </c>
      <c r="H55" s="18" t="s">
        <v>9</v>
      </c>
      <c r="I55" s="18"/>
      <c r="J55" s="18"/>
      <c r="K55" s="18"/>
    </row>
    <row r="56" spans="2:11" ht="14.45" hidden="1" customHeight="1">
      <c r="B56" s="20" t="s">
        <v>201</v>
      </c>
      <c r="C56" s="15">
        <v>14</v>
      </c>
      <c r="D56" s="18" t="s">
        <v>214</v>
      </c>
      <c r="E56" s="18" t="s">
        <v>27</v>
      </c>
      <c r="F56" s="18" t="s">
        <v>166</v>
      </c>
      <c r="G56" s="18" t="s">
        <v>9</v>
      </c>
      <c r="H56" s="18" t="s">
        <v>9</v>
      </c>
      <c r="I56" s="18"/>
      <c r="J56" s="18"/>
      <c r="K56" s="18"/>
    </row>
    <row r="57" spans="2:11" ht="14.45" hidden="1" customHeight="1">
      <c r="B57" s="20" t="s">
        <v>201</v>
      </c>
      <c r="C57" s="15">
        <v>15</v>
      </c>
      <c r="D57" s="18" t="s">
        <v>215</v>
      </c>
      <c r="E57" s="18" t="s">
        <v>194</v>
      </c>
      <c r="F57" s="18" t="s">
        <v>195</v>
      </c>
      <c r="G57" s="18"/>
      <c r="H57" s="18"/>
      <c r="I57" s="18"/>
      <c r="J57" s="18"/>
      <c r="K57" s="18" t="s">
        <v>9</v>
      </c>
    </row>
    <row r="58" spans="2:11" ht="14.45" hidden="1" customHeight="1">
      <c r="B58" s="20" t="s">
        <v>201</v>
      </c>
      <c r="C58" s="15">
        <v>16</v>
      </c>
      <c r="D58" s="18" t="s">
        <v>216</v>
      </c>
      <c r="E58" s="18" t="s">
        <v>26</v>
      </c>
      <c r="F58" s="18" t="s">
        <v>166</v>
      </c>
      <c r="G58" s="18" t="s">
        <v>9</v>
      </c>
      <c r="H58" s="18"/>
      <c r="I58" s="18"/>
      <c r="J58" s="18"/>
      <c r="K58" s="18"/>
    </row>
    <row r="59" spans="2:11" ht="14.45" hidden="1" customHeight="1">
      <c r="B59" s="20" t="s">
        <v>201</v>
      </c>
      <c r="C59" s="15">
        <v>5</v>
      </c>
      <c r="D59" s="18" t="s">
        <v>207</v>
      </c>
      <c r="E59" s="18" t="s">
        <v>217</v>
      </c>
      <c r="F59" s="18" t="s">
        <v>170</v>
      </c>
      <c r="G59" s="18"/>
      <c r="H59" s="18"/>
      <c r="I59" s="18"/>
      <c r="J59" s="18"/>
      <c r="K59" s="18" t="s">
        <v>9</v>
      </c>
    </row>
    <row r="60" spans="2:11" ht="14.45" hidden="1" customHeight="1">
      <c r="B60" s="20" t="s">
        <v>201</v>
      </c>
      <c r="C60" s="15">
        <v>18</v>
      </c>
      <c r="D60" s="18" t="s">
        <v>218</v>
      </c>
      <c r="E60" s="18" t="s">
        <v>194</v>
      </c>
      <c r="F60" s="18" t="s">
        <v>195</v>
      </c>
      <c r="G60" s="18"/>
      <c r="H60" s="18"/>
      <c r="I60" s="18"/>
      <c r="J60" s="18"/>
      <c r="K60" s="18" t="s">
        <v>9</v>
      </c>
    </row>
    <row r="61" spans="2:11" ht="14.45" hidden="1" customHeight="1">
      <c r="B61" s="20" t="s">
        <v>201</v>
      </c>
      <c r="C61" s="15">
        <v>19</v>
      </c>
      <c r="D61" s="18" t="s">
        <v>219</v>
      </c>
      <c r="E61" s="18" t="s">
        <v>194</v>
      </c>
      <c r="F61" s="18" t="s">
        <v>195</v>
      </c>
      <c r="G61" s="18"/>
      <c r="H61" s="18"/>
      <c r="I61" s="18"/>
      <c r="J61" s="18"/>
      <c r="K61" s="18" t="s">
        <v>9</v>
      </c>
    </row>
    <row r="62" spans="2:11" ht="15.75" hidden="1" customHeight="1">
      <c r="B62" s="20" t="s">
        <v>201</v>
      </c>
      <c r="C62" s="15">
        <v>20</v>
      </c>
      <c r="D62" s="18" t="s">
        <v>220</v>
      </c>
      <c r="E62" s="18" t="s">
        <v>13</v>
      </c>
      <c r="F62" s="18" t="s">
        <v>166</v>
      </c>
      <c r="G62" s="18" t="s">
        <v>9</v>
      </c>
      <c r="H62" s="18" t="s">
        <v>9</v>
      </c>
      <c r="I62" s="18"/>
      <c r="J62" s="18"/>
      <c r="K62" s="18"/>
    </row>
    <row r="63" spans="2:11" ht="14.45" hidden="1" customHeight="1">
      <c r="B63" s="20" t="s">
        <v>201</v>
      </c>
      <c r="C63" s="15">
        <v>21</v>
      </c>
      <c r="D63" s="18" t="s">
        <v>221</v>
      </c>
      <c r="E63" s="18" t="s">
        <v>13</v>
      </c>
      <c r="F63" s="18" t="s">
        <v>166</v>
      </c>
      <c r="G63" s="18" t="s">
        <v>9</v>
      </c>
      <c r="H63" s="18" t="s">
        <v>9</v>
      </c>
      <c r="I63" s="18"/>
      <c r="J63" s="18"/>
      <c r="K63" s="18"/>
    </row>
    <row r="64" spans="2:11" ht="14.45" hidden="1" customHeight="1">
      <c r="B64" s="20" t="s">
        <v>201</v>
      </c>
      <c r="C64" s="15">
        <v>22</v>
      </c>
      <c r="D64" s="18" t="s">
        <v>222</v>
      </c>
      <c r="E64" s="18" t="s">
        <v>174</v>
      </c>
      <c r="F64" s="18" t="s">
        <v>166</v>
      </c>
      <c r="G64" s="18"/>
      <c r="H64" s="18" t="s">
        <v>9</v>
      </c>
      <c r="I64" s="18"/>
      <c r="J64" s="18"/>
      <c r="K64" s="18"/>
    </row>
    <row r="65" spans="2:11" hidden="1">
      <c r="B65" s="20" t="s">
        <v>201</v>
      </c>
      <c r="C65" s="15">
        <v>23</v>
      </c>
      <c r="D65" s="18" t="s">
        <v>223</v>
      </c>
      <c r="E65" s="18" t="s">
        <v>13</v>
      </c>
      <c r="F65" s="18" t="s">
        <v>166</v>
      </c>
      <c r="G65" s="18" t="s">
        <v>9</v>
      </c>
      <c r="H65" s="18" t="s">
        <v>9</v>
      </c>
      <c r="I65" s="18"/>
      <c r="J65" s="18"/>
      <c r="K65" s="18"/>
    </row>
    <row r="66" spans="2:11" hidden="1">
      <c r="B66" s="20" t="s">
        <v>201</v>
      </c>
      <c r="C66" s="15">
        <v>24</v>
      </c>
      <c r="D66" s="18" t="s">
        <v>224</v>
      </c>
      <c r="E66" s="18" t="s">
        <v>13</v>
      </c>
      <c r="F66" s="18" t="s">
        <v>166</v>
      </c>
      <c r="G66" s="18" t="s">
        <v>9</v>
      </c>
      <c r="H66" s="18" t="s">
        <v>9</v>
      </c>
      <c r="I66" s="18"/>
      <c r="J66" s="18"/>
      <c r="K66" s="18"/>
    </row>
    <row r="67" spans="2:11" ht="15.6" hidden="1" customHeight="1">
      <c r="B67" s="20" t="s">
        <v>201</v>
      </c>
      <c r="C67" s="15">
        <v>25</v>
      </c>
      <c r="D67" s="18" t="s">
        <v>225</v>
      </c>
      <c r="E67" s="18" t="s">
        <v>194</v>
      </c>
      <c r="F67" s="18" t="s">
        <v>195</v>
      </c>
      <c r="G67" s="18"/>
      <c r="H67" s="18"/>
      <c r="I67" s="18"/>
      <c r="J67" s="18"/>
      <c r="K67" s="18" t="s">
        <v>9</v>
      </c>
    </row>
    <row r="68" spans="2:11" ht="14.45" hidden="1" customHeight="1">
      <c r="B68" s="20" t="s">
        <v>201</v>
      </c>
      <c r="C68" s="15">
        <v>26</v>
      </c>
      <c r="D68" s="18" t="s">
        <v>226</v>
      </c>
      <c r="E68" s="18" t="s">
        <v>194</v>
      </c>
      <c r="F68" s="18" t="s">
        <v>195</v>
      </c>
      <c r="G68" s="18"/>
      <c r="H68" s="18"/>
      <c r="I68" s="18"/>
      <c r="J68" s="18"/>
      <c r="K68" s="18" t="s">
        <v>9</v>
      </c>
    </row>
    <row r="69" spans="2:11" ht="14.45" hidden="1" customHeight="1">
      <c r="B69" s="20" t="s">
        <v>201</v>
      </c>
      <c r="C69" s="15">
        <v>27</v>
      </c>
      <c r="D69" s="18" t="s">
        <v>227</v>
      </c>
      <c r="E69" s="18" t="s">
        <v>13</v>
      </c>
      <c r="F69" s="18" t="s">
        <v>166</v>
      </c>
      <c r="G69" s="18" t="s">
        <v>9</v>
      </c>
      <c r="H69" s="18" t="s">
        <v>9</v>
      </c>
      <c r="I69" s="18"/>
      <c r="J69" s="18"/>
      <c r="K69" s="18"/>
    </row>
    <row r="70" spans="2:11" ht="14.45" hidden="1" customHeight="1">
      <c r="B70" s="20" t="s">
        <v>201</v>
      </c>
      <c r="C70" s="15">
        <v>28</v>
      </c>
      <c r="D70" s="18" t="s">
        <v>228</v>
      </c>
      <c r="E70" s="18" t="s">
        <v>13</v>
      </c>
      <c r="F70" s="18" t="s">
        <v>166</v>
      </c>
      <c r="G70" s="18" t="s">
        <v>9</v>
      </c>
      <c r="H70" s="18" t="s">
        <v>9</v>
      </c>
      <c r="I70" s="18"/>
      <c r="J70" s="18"/>
      <c r="K70" s="18"/>
    </row>
    <row r="71" spans="2:11" ht="14.45" hidden="1" customHeight="1">
      <c r="B71" s="20" t="s">
        <v>201</v>
      </c>
      <c r="C71" s="15">
        <v>29</v>
      </c>
      <c r="D71" s="18" t="s">
        <v>229</v>
      </c>
      <c r="E71" s="18" t="s">
        <v>194</v>
      </c>
      <c r="F71" s="18" t="s">
        <v>195</v>
      </c>
      <c r="G71" s="18"/>
      <c r="H71" s="18"/>
      <c r="I71" s="18"/>
      <c r="J71" s="18"/>
      <c r="K71" s="18" t="s">
        <v>9</v>
      </c>
    </row>
    <row r="72" spans="2:11" hidden="1">
      <c r="B72" s="20" t="s">
        <v>201</v>
      </c>
      <c r="C72" s="15">
        <v>30</v>
      </c>
      <c r="D72" s="18" t="s">
        <v>230</v>
      </c>
      <c r="E72" s="18" t="s">
        <v>231</v>
      </c>
      <c r="F72" s="18" t="s">
        <v>168</v>
      </c>
      <c r="G72" s="18" t="s">
        <v>9</v>
      </c>
      <c r="H72" s="18"/>
      <c r="I72" s="18"/>
      <c r="J72" s="18"/>
      <c r="K72" s="18"/>
    </row>
    <row r="73" spans="2:11" hidden="1">
      <c r="B73" s="20" t="s">
        <v>201</v>
      </c>
      <c r="C73" s="15">
        <v>31</v>
      </c>
      <c r="D73" s="18" t="s">
        <v>232</v>
      </c>
      <c r="E73" s="18" t="s">
        <v>18</v>
      </c>
      <c r="F73" s="18" t="s">
        <v>166</v>
      </c>
      <c r="G73" s="18" t="s">
        <v>9</v>
      </c>
      <c r="H73" s="18"/>
      <c r="I73" s="18"/>
      <c r="J73" s="18"/>
      <c r="K73" s="18"/>
    </row>
    <row r="74" spans="2:11" ht="15.6" hidden="1" customHeight="1">
      <c r="B74" s="20" t="s">
        <v>201</v>
      </c>
      <c r="C74" s="15">
        <v>32</v>
      </c>
      <c r="D74" s="18" t="s">
        <v>233</v>
      </c>
      <c r="E74" s="18" t="s">
        <v>18</v>
      </c>
      <c r="F74" s="18" t="s">
        <v>166</v>
      </c>
      <c r="G74" s="18" t="s">
        <v>9</v>
      </c>
      <c r="H74" s="18"/>
      <c r="I74" s="18"/>
      <c r="J74" s="18"/>
      <c r="K74" s="18"/>
    </row>
    <row r="75" spans="2:11" ht="14.45" hidden="1" customHeight="1">
      <c r="B75" s="20" t="s">
        <v>201</v>
      </c>
      <c r="C75" s="15">
        <v>33</v>
      </c>
      <c r="D75" s="18" t="s">
        <v>234</v>
      </c>
      <c r="E75" s="18" t="s">
        <v>18</v>
      </c>
      <c r="F75" s="18" t="s">
        <v>166</v>
      </c>
      <c r="G75" s="18" t="s">
        <v>9</v>
      </c>
      <c r="H75" s="18"/>
      <c r="I75" s="18"/>
      <c r="J75" s="18"/>
      <c r="K75" s="18"/>
    </row>
    <row r="76" spans="2:11" ht="14.45" hidden="1" customHeight="1">
      <c r="B76" s="20" t="s">
        <v>201</v>
      </c>
      <c r="C76" s="15">
        <v>34</v>
      </c>
      <c r="D76" s="18" t="s">
        <v>235</v>
      </c>
      <c r="E76" s="18" t="s">
        <v>13</v>
      </c>
      <c r="F76" s="18" t="s">
        <v>166</v>
      </c>
      <c r="G76" s="18" t="s">
        <v>9</v>
      </c>
      <c r="H76" s="18" t="s">
        <v>9</v>
      </c>
      <c r="I76" s="18"/>
      <c r="J76" s="18"/>
      <c r="K76" s="18"/>
    </row>
    <row r="77" spans="2:11" ht="14.45" hidden="1" customHeight="1">
      <c r="B77" s="20" t="s">
        <v>201</v>
      </c>
      <c r="C77" s="15">
        <v>35</v>
      </c>
      <c r="D77" s="18" t="s">
        <v>235</v>
      </c>
      <c r="E77" s="18" t="s">
        <v>13</v>
      </c>
      <c r="F77" s="18" t="s">
        <v>166</v>
      </c>
      <c r="G77" s="18" t="s">
        <v>9</v>
      </c>
      <c r="H77" s="18" t="s">
        <v>9</v>
      </c>
      <c r="I77" s="18"/>
      <c r="J77" s="18"/>
      <c r="K77" s="18"/>
    </row>
    <row r="78" spans="2:11" ht="14.45" hidden="1" customHeight="1">
      <c r="B78" s="20" t="s">
        <v>201</v>
      </c>
      <c r="C78" s="15">
        <v>36</v>
      </c>
      <c r="D78" s="18" t="s">
        <v>235</v>
      </c>
      <c r="E78" s="18" t="s">
        <v>13</v>
      </c>
      <c r="F78" s="18" t="s">
        <v>166</v>
      </c>
      <c r="G78" s="18" t="s">
        <v>9</v>
      </c>
      <c r="H78" s="18" t="s">
        <v>9</v>
      </c>
      <c r="I78" s="18"/>
      <c r="J78" s="18"/>
      <c r="K78" s="18"/>
    </row>
    <row r="79" spans="2:11" ht="14.45" hidden="1" customHeight="1">
      <c r="B79" s="20" t="s">
        <v>201</v>
      </c>
      <c r="C79" s="15">
        <v>37</v>
      </c>
      <c r="D79" s="18" t="s">
        <v>236</v>
      </c>
      <c r="E79" s="18" t="s">
        <v>194</v>
      </c>
      <c r="F79" s="18" t="s">
        <v>195</v>
      </c>
      <c r="G79" s="18"/>
      <c r="H79" s="18"/>
      <c r="I79" s="18"/>
      <c r="J79" s="18"/>
      <c r="K79" s="18" t="s">
        <v>9</v>
      </c>
    </row>
    <row r="80" spans="2:11" ht="14.45" hidden="1" customHeight="1">
      <c r="B80" s="20" t="s">
        <v>201</v>
      </c>
      <c r="C80" s="15">
        <v>38</v>
      </c>
      <c r="D80" s="18" t="s">
        <v>237</v>
      </c>
      <c r="E80" s="18" t="s">
        <v>13</v>
      </c>
      <c r="F80" s="18" t="s">
        <v>166</v>
      </c>
      <c r="G80" s="18" t="s">
        <v>9</v>
      </c>
      <c r="H80" s="18" t="s">
        <v>9</v>
      </c>
      <c r="I80" s="18"/>
      <c r="J80" s="18"/>
      <c r="K80" s="18"/>
    </row>
    <row r="81" spans="2:13" ht="15" hidden="1" customHeight="1">
      <c r="B81" s="20" t="s">
        <v>201</v>
      </c>
      <c r="C81" s="15">
        <v>39</v>
      </c>
      <c r="D81" s="18" t="s">
        <v>238</v>
      </c>
      <c r="E81" s="18" t="s">
        <v>13</v>
      </c>
      <c r="F81" s="18" t="s">
        <v>166</v>
      </c>
      <c r="G81" s="18" t="s">
        <v>9</v>
      </c>
      <c r="H81" s="18" t="s">
        <v>9</v>
      </c>
      <c r="I81" s="18"/>
      <c r="J81" s="18"/>
      <c r="K81" s="18"/>
    </row>
    <row r="82" spans="2:13" hidden="1">
      <c r="B82" s="20" t="s">
        <v>201</v>
      </c>
      <c r="C82" s="15">
        <v>40</v>
      </c>
      <c r="D82" s="18" t="s">
        <v>239</v>
      </c>
      <c r="E82" s="18" t="s">
        <v>13</v>
      </c>
      <c r="F82" s="18" t="s">
        <v>166</v>
      </c>
      <c r="G82" s="18" t="s">
        <v>9</v>
      </c>
      <c r="H82" s="18" t="s">
        <v>9</v>
      </c>
      <c r="I82" s="18"/>
      <c r="J82" s="18"/>
      <c r="K82" s="18"/>
    </row>
    <row r="83" spans="2:13" hidden="1">
      <c r="B83" s="20" t="s">
        <v>201</v>
      </c>
      <c r="C83" s="15">
        <v>41</v>
      </c>
      <c r="D83" s="18" t="s">
        <v>240</v>
      </c>
      <c r="E83" s="18" t="s">
        <v>28</v>
      </c>
      <c r="F83" s="18" t="s">
        <v>166</v>
      </c>
      <c r="G83" s="18" t="s">
        <v>9</v>
      </c>
      <c r="H83" s="18" t="s">
        <v>9</v>
      </c>
      <c r="I83" s="18"/>
      <c r="J83" s="18"/>
      <c r="K83" s="18"/>
    </row>
    <row r="84" spans="2:13" hidden="1">
      <c r="B84" s="20" t="s">
        <v>201</v>
      </c>
      <c r="C84" s="15">
        <v>42</v>
      </c>
      <c r="D84" s="18" t="s">
        <v>241</v>
      </c>
      <c r="E84" s="18" t="s">
        <v>28</v>
      </c>
      <c r="F84" s="18" t="s">
        <v>166</v>
      </c>
      <c r="G84" s="18" t="s">
        <v>9</v>
      </c>
      <c r="H84" s="18" t="s">
        <v>9</v>
      </c>
      <c r="I84" s="18"/>
      <c r="J84" s="18"/>
      <c r="K84" s="18"/>
    </row>
    <row r="85" spans="2:13" hidden="1">
      <c r="B85" s="20" t="s">
        <v>201</v>
      </c>
      <c r="C85" s="15">
        <v>43</v>
      </c>
      <c r="D85" s="18" t="s">
        <v>242</v>
      </c>
      <c r="E85" s="18" t="s">
        <v>28</v>
      </c>
      <c r="F85" s="18" t="s">
        <v>166</v>
      </c>
      <c r="G85" s="18" t="s">
        <v>9</v>
      </c>
      <c r="H85" s="18" t="s">
        <v>9</v>
      </c>
      <c r="I85" s="18"/>
      <c r="J85" s="18"/>
      <c r="K85" s="18"/>
    </row>
    <row r="86" spans="2:13" ht="15" hidden="1" customHeight="1">
      <c r="B86" s="20" t="s">
        <v>201</v>
      </c>
      <c r="C86" s="15">
        <v>44</v>
      </c>
      <c r="D86" s="18" t="s">
        <v>243</v>
      </c>
      <c r="E86" s="18" t="s">
        <v>28</v>
      </c>
      <c r="F86" s="18" t="s">
        <v>166</v>
      </c>
      <c r="G86" s="18" t="s">
        <v>9</v>
      </c>
      <c r="H86" s="18" t="s">
        <v>9</v>
      </c>
      <c r="I86" s="18"/>
      <c r="J86" s="18"/>
      <c r="K86" s="18"/>
    </row>
    <row r="87" spans="2:13" hidden="1">
      <c r="B87" s="20" t="s">
        <v>201</v>
      </c>
      <c r="C87" s="15">
        <v>45</v>
      </c>
      <c r="D87" s="18" t="s">
        <v>244</v>
      </c>
      <c r="E87" s="18" t="s">
        <v>28</v>
      </c>
      <c r="F87" s="18" t="s">
        <v>166</v>
      </c>
      <c r="G87" s="18" t="s">
        <v>9</v>
      </c>
      <c r="H87" s="18" t="s">
        <v>9</v>
      </c>
      <c r="I87" s="18"/>
      <c r="J87" s="18"/>
      <c r="K87" s="18"/>
    </row>
    <row r="88" spans="2:13" hidden="1">
      <c r="B88" s="20" t="s">
        <v>201</v>
      </c>
      <c r="C88" s="15">
        <v>46</v>
      </c>
      <c r="D88" s="18" t="s">
        <v>245</v>
      </c>
      <c r="E88" s="18" t="s">
        <v>13</v>
      </c>
      <c r="F88" s="18" t="s">
        <v>166</v>
      </c>
      <c r="G88" s="18" t="s">
        <v>9</v>
      </c>
      <c r="H88" s="18" t="s">
        <v>9</v>
      </c>
      <c r="I88" s="18"/>
      <c r="J88" s="18"/>
      <c r="K88" s="18"/>
    </row>
    <row r="89" spans="2:13" hidden="1">
      <c r="B89" s="20" t="s">
        <v>201</v>
      </c>
      <c r="C89" s="15">
        <v>47</v>
      </c>
      <c r="D89" s="18" t="s">
        <v>246</v>
      </c>
      <c r="E89" s="18" t="s">
        <v>13</v>
      </c>
      <c r="F89" s="18" t="s">
        <v>166</v>
      </c>
      <c r="G89" s="18" t="s">
        <v>9</v>
      </c>
      <c r="H89" s="18" t="s">
        <v>9</v>
      </c>
      <c r="I89" s="18"/>
      <c r="J89" s="18"/>
      <c r="K89" s="18"/>
    </row>
    <row r="90" spans="2:13" hidden="1">
      <c r="B90" s="20" t="s">
        <v>201</v>
      </c>
      <c r="C90" s="15">
        <v>48</v>
      </c>
      <c r="D90" s="18" t="s">
        <v>247</v>
      </c>
      <c r="E90" s="18" t="s">
        <v>13</v>
      </c>
      <c r="F90" s="18" t="s">
        <v>166</v>
      </c>
      <c r="G90" s="18" t="s">
        <v>9</v>
      </c>
      <c r="H90" s="18" t="s">
        <v>9</v>
      </c>
      <c r="I90" s="18"/>
      <c r="J90" s="18"/>
      <c r="K90" s="18"/>
    </row>
    <row r="91" spans="2:13" hidden="1">
      <c r="B91" s="20" t="s">
        <v>201</v>
      </c>
      <c r="C91" s="15">
        <v>49</v>
      </c>
      <c r="D91" s="18" t="s">
        <v>248</v>
      </c>
      <c r="E91" s="18" t="s">
        <v>13</v>
      </c>
      <c r="F91" s="18" t="s">
        <v>166</v>
      </c>
      <c r="G91" s="18" t="s">
        <v>9</v>
      </c>
      <c r="H91" s="18" t="s">
        <v>9</v>
      </c>
      <c r="I91" s="18"/>
      <c r="J91" s="18"/>
      <c r="K91" s="18"/>
    </row>
    <row r="92" spans="2:13" hidden="1">
      <c r="B92" s="20" t="s">
        <v>201</v>
      </c>
      <c r="C92" s="15">
        <v>1</v>
      </c>
      <c r="D92" s="18" t="s">
        <v>204</v>
      </c>
      <c r="E92" s="18" t="s">
        <v>203</v>
      </c>
      <c r="F92" s="18" t="s">
        <v>170</v>
      </c>
      <c r="G92" s="18"/>
      <c r="H92" s="18"/>
      <c r="I92" s="18"/>
      <c r="J92" s="18"/>
      <c r="K92" s="18" t="s">
        <v>9</v>
      </c>
      <c r="M92"/>
    </row>
    <row r="93" spans="2:13" hidden="1">
      <c r="B93" s="20" t="s">
        <v>201</v>
      </c>
      <c r="C93" s="15">
        <v>51</v>
      </c>
      <c r="D93" s="18" t="s">
        <v>249</v>
      </c>
      <c r="E93" s="18" t="s">
        <v>250</v>
      </c>
      <c r="F93" s="18" t="s">
        <v>166</v>
      </c>
      <c r="G93" s="18"/>
      <c r="H93" s="18" t="s">
        <v>9</v>
      </c>
      <c r="I93" s="18"/>
      <c r="J93" s="18"/>
      <c r="K93" s="18"/>
      <c r="M93"/>
    </row>
    <row r="94" spans="2:13" hidden="1">
      <c r="B94" s="20" t="s">
        <v>201</v>
      </c>
      <c r="C94" s="15">
        <v>52</v>
      </c>
      <c r="D94" s="18" t="s">
        <v>251</v>
      </c>
      <c r="E94" s="18" t="s">
        <v>24</v>
      </c>
      <c r="F94" s="18" t="s">
        <v>166</v>
      </c>
      <c r="G94" s="18"/>
      <c r="H94" s="18" t="s">
        <v>9</v>
      </c>
      <c r="I94" s="18"/>
      <c r="J94" s="18"/>
      <c r="K94" s="18"/>
      <c r="M94"/>
    </row>
    <row r="95" spans="2:13" hidden="1">
      <c r="B95" s="20" t="s">
        <v>201</v>
      </c>
      <c r="C95" s="15">
        <v>53</v>
      </c>
      <c r="D95" s="18" t="s">
        <v>252</v>
      </c>
      <c r="E95" s="18" t="s">
        <v>24</v>
      </c>
      <c r="F95" s="18" t="s">
        <v>166</v>
      </c>
      <c r="G95" s="18"/>
      <c r="H95" s="18" t="s">
        <v>9</v>
      </c>
      <c r="I95" s="18"/>
      <c r="J95" s="18"/>
      <c r="K95" s="18"/>
      <c r="M95"/>
    </row>
    <row r="96" spans="2:13" hidden="1">
      <c r="B96" s="20" t="s">
        <v>201</v>
      </c>
      <c r="C96" s="15">
        <v>54</v>
      </c>
      <c r="D96" s="18" t="s">
        <v>253</v>
      </c>
      <c r="E96" s="18" t="s">
        <v>29</v>
      </c>
      <c r="F96" s="18" t="s">
        <v>166</v>
      </c>
      <c r="G96" s="18"/>
      <c r="H96" s="18" t="s">
        <v>9</v>
      </c>
      <c r="I96" s="18"/>
      <c r="J96" s="18"/>
      <c r="K96" s="18"/>
      <c r="M96"/>
    </row>
    <row r="97" spans="2:13" hidden="1">
      <c r="B97" s="20" t="s">
        <v>201</v>
      </c>
      <c r="C97" s="15">
        <v>55</v>
      </c>
      <c r="D97" s="18" t="s">
        <v>254</v>
      </c>
      <c r="E97" s="18" t="s">
        <v>194</v>
      </c>
      <c r="F97" s="18" t="s">
        <v>195</v>
      </c>
      <c r="G97" s="18"/>
      <c r="H97" s="18"/>
      <c r="I97" s="18"/>
      <c r="J97" s="18"/>
      <c r="K97" s="18" t="s">
        <v>9</v>
      </c>
      <c r="M97"/>
    </row>
    <row r="98" spans="2:13" hidden="1">
      <c r="B98" s="20" t="s">
        <v>201</v>
      </c>
      <c r="C98" s="15">
        <v>56</v>
      </c>
      <c r="D98" s="18" t="s">
        <v>254</v>
      </c>
      <c r="E98" s="18" t="s">
        <v>30</v>
      </c>
      <c r="F98" s="18" t="s">
        <v>166</v>
      </c>
      <c r="G98" s="18"/>
      <c r="H98" s="18"/>
      <c r="I98" s="18" t="s">
        <v>9</v>
      </c>
      <c r="J98" s="18"/>
      <c r="K98" s="18"/>
      <c r="M98"/>
    </row>
    <row r="99" spans="2:13" hidden="1">
      <c r="B99" s="20" t="s">
        <v>201</v>
      </c>
      <c r="C99" s="15">
        <v>57</v>
      </c>
      <c r="D99" s="18" t="s">
        <v>255</v>
      </c>
      <c r="E99" s="18" t="s">
        <v>194</v>
      </c>
      <c r="F99" s="18" t="s">
        <v>195</v>
      </c>
      <c r="G99" s="18"/>
      <c r="H99" s="18"/>
      <c r="I99" s="18"/>
      <c r="J99" s="18"/>
      <c r="K99" s="18" t="s">
        <v>9</v>
      </c>
    </row>
    <row r="100" spans="2:13" hidden="1">
      <c r="B100" s="20" t="s">
        <v>201</v>
      </c>
      <c r="C100" s="15">
        <v>58</v>
      </c>
      <c r="D100" s="18" t="s">
        <v>255</v>
      </c>
      <c r="E100" s="18" t="s">
        <v>13</v>
      </c>
      <c r="F100" s="18" t="s">
        <v>166</v>
      </c>
      <c r="G100" s="18" t="s">
        <v>9</v>
      </c>
      <c r="H100" s="18" t="s">
        <v>9</v>
      </c>
      <c r="I100" s="18"/>
      <c r="J100" s="18"/>
      <c r="K100" s="18"/>
    </row>
    <row r="101" spans="2:13" hidden="1">
      <c r="B101" s="23" t="s">
        <v>256</v>
      </c>
      <c r="C101" s="15">
        <v>66</v>
      </c>
      <c r="D101" s="18" t="s">
        <v>257</v>
      </c>
      <c r="E101" s="18" t="s">
        <v>258</v>
      </c>
      <c r="F101" s="18" t="s">
        <v>168</v>
      </c>
      <c r="G101" s="18" t="s">
        <v>9</v>
      </c>
      <c r="H101" s="18" t="s">
        <v>9</v>
      </c>
      <c r="I101" s="18"/>
      <c r="J101" s="18"/>
      <c r="K101" s="18"/>
    </row>
    <row r="102" spans="2:13" hidden="1">
      <c r="B102" s="23" t="s">
        <v>256</v>
      </c>
      <c r="C102" s="15">
        <v>65</v>
      </c>
      <c r="D102" s="18" t="s">
        <v>259</v>
      </c>
      <c r="E102" s="18" t="s">
        <v>258</v>
      </c>
      <c r="F102" s="18" t="s">
        <v>168</v>
      </c>
      <c r="G102" s="18" t="s">
        <v>9</v>
      </c>
      <c r="H102" s="18" t="s">
        <v>9</v>
      </c>
      <c r="I102" s="18"/>
      <c r="J102" s="18"/>
      <c r="K102" s="18"/>
    </row>
    <row r="103" spans="2:13" hidden="1">
      <c r="B103" s="23" t="s">
        <v>256</v>
      </c>
      <c r="C103" s="15">
        <v>64</v>
      </c>
      <c r="D103" s="18" t="s">
        <v>260</v>
      </c>
      <c r="E103" s="18" t="s">
        <v>258</v>
      </c>
      <c r="F103" s="18" t="s">
        <v>168</v>
      </c>
      <c r="G103" s="18" t="s">
        <v>9</v>
      </c>
      <c r="H103" s="18" t="s">
        <v>9</v>
      </c>
      <c r="I103" s="18"/>
      <c r="J103" s="18"/>
      <c r="K103" s="18"/>
    </row>
    <row r="104" spans="2:13" hidden="1">
      <c r="B104" s="23" t="s">
        <v>256</v>
      </c>
      <c r="C104" s="15">
        <v>63</v>
      </c>
      <c r="D104" s="18" t="s">
        <v>261</v>
      </c>
      <c r="E104" s="18" t="s">
        <v>258</v>
      </c>
      <c r="F104" s="18" t="s">
        <v>168</v>
      </c>
      <c r="G104" s="18" t="s">
        <v>9</v>
      </c>
      <c r="H104" s="18" t="s">
        <v>9</v>
      </c>
      <c r="I104" s="18"/>
      <c r="J104" s="18"/>
      <c r="K104" s="18"/>
    </row>
    <row r="105" spans="2:13" hidden="1">
      <c r="B105" s="23" t="s">
        <v>256</v>
      </c>
      <c r="C105" s="15">
        <v>62</v>
      </c>
      <c r="D105" s="18" t="s">
        <v>262</v>
      </c>
      <c r="E105" s="18" t="s">
        <v>258</v>
      </c>
      <c r="F105" s="18" t="s">
        <v>168</v>
      </c>
      <c r="G105" s="18" t="s">
        <v>9</v>
      </c>
      <c r="H105" s="18" t="s">
        <v>9</v>
      </c>
      <c r="I105" s="18"/>
      <c r="J105" s="18"/>
      <c r="K105" s="18"/>
    </row>
    <row r="106" spans="2:13" hidden="1">
      <c r="B106" s="23" t="s">
        <v>256</v>
      </c>
      <c r="C106" s="15">
        <v>61</v>
      </c>
      <c r="D106" s="18" t="s">
        <v>263</v>
      </c>
      <c r="E106" s="18" t="s">
        <v>258</v>
      </c>
      <c r="F106" s="18" t="s">
        <v>168</v>
      </c>
      <c r="G106" s="18" t="s">
        <v>9</v>
      </c>
      <c r="H106" s="18" t="s">
        <v>9</v>
      </c>
      <c r="I106" s="18"/>
      <c r="J106" s="18"/>
      <c r="K106" s="18"/>
    </row>
    <row r="107" spans="2:13" hidden="1">
      <c r="B107" s="23" t="s">
        <v>256</v>
      </c>
      <c r="C107" s="15">
        <v>60</v>
      </c>
      <c r="D107" s="18" t="s">
        <v>264</v>
      </c>
      <c r="E107" s="18" t="s">
        <v>258</v>
      </c>
      <c r="F107" s="18" t="s">
        <v>168</v>
      </c>
      <c r="G107" s="18" t="s">
        <v>9</v>
      </c>
      <c r="H107" s="18" t="s">
        <v>9</v>
      </c>
      <c r="I107" s="18"/>
      <c r="J107" s="18"/>
      <c r="K107" s="18"/>
    </row>
    <row r="108" spans="2:13" hidden="1">
      <c r="B108" s="23" t="s">
        <v>256</v>
      </c>
      <c r="C108" s="15">
        <v>59</v>
      </c>
      <c r="D108" s="18" t="s">
        <v>265</v>
      </c>
      <c r="E108" s="18" t="s">
        <v>258</v>
      </c>
      <c r="F108" s="18" t="s">
        <v>168</v>
      </c>
      <c r="G108" s="18" t="s">
        <v>9</v>
      </c>
      <c r="H108" s="18" t="s">
        <v>9</v>
      </c>
      <c r="I108" s="18"/>
      <c r="J108" s="18"/>
      <c r="K108" s="18"/>
    </row>
    <row r="109" spans="2:13" hidden="1">
      <c r="B109" s="23" t="s">
        <v>256</v>
      </c>
      <c r="C109" s="15">
        <v>58</v>
      </c>
      <c r="D109" s="18" t="s">
        <v>266</v>
      </c>
      <c r="E109" s="18" t="s">
        <v>258</v>
      </c>
      <c r="F109" s="18" t="s">
        <v>168</v>
      </c>
      <c r="G109" s="18" t="s">
        <v>9</v>
      </c>
      <c r="H109" s="18" t="s">
        <v>9</v>
      </c>
      <c r="I109" s="18"/>
      <c r="J109" s="18"/>
      <c r="K109" s="18"/>
    </row>
    <row r="110" spans="2:13" hidden="1">
      <c r="B110" s="23" t="s">
        <v>256</v>
      </c>
      <c r="C110" s="15">
        <v>57</v>
      </c>
      <c r="D110" s="18" t="s">
        <v>267</v>
      </c>
      <c r="E110" s="18" t="s">
        <v>258</v>
      </c>
      <c r="F110" s="18" t="s">
        <v>168</v>
      </c>
      <c r="G110" s="18" t="s">
        <v>9</v>
      </c>
      <c r="H110" s="18" t="s">
        <v>9</v>
      </c>
      <c r="I110" s="18"/>
      <c r="J110" s="18"/>
      <c r="K110" s="18"/>
    </row>
    <row r="111" spans="2:13" hidden="1">
      <c r="B111" s="23" t="s">
        <v>256</v>
      </c>
      <c r="C111" s="15">
        <v>56</v>
      </c>
      <c r="D111" s="18" t="s">
        <v>268</v>
      </c>
      <c r="E111" s="18" t="s">
        <v>258</v>
      </c>
      <c r="F111" s="18" t="s">
        <v>168</v>
      </c>
      <c r="G111" s="18" t="s">
        <v>9</v>
      </c>
      <c r="H111" s="18" t="s">
        <v>9</v>
      </c>
      <c r="I111" s="18"/>
      <c r="J111" s="18"/>
      <c r="K111" s="18"/>
    </row>
    <row r="112" spans="2:13" hidden="1">
      <c r="B112" s="23" t="s">
        <v>256</v>
      </c>
      <c r="C112" s="15">
        <v>55</v>
      </c>
      <c r="D112" s="18" t="s">
        <v>269</v>
      </c>
      <c r="E112" s="18" t="s">
        <v>258</v>
      </c>
      <c r="F112" s="18" t="s">
        <v>168</v>
      </c>
      <c r="G112" s="18" t="s">
        <v>9</v>
      </c>
      <c r="H112" s="18" t="s">
        <v>9</v>
      </c>
      <c r="I112" s="18"/>
      <c r="J112" s="18"/>
      <c r="K112" s="18"/>
    </row>
    <row r="113" spans="2:11" hidden="1">
      <c r="B113" s="23" t="s">
        <v>256</v>
      </c>
      <c r="C113" s="15">
        <v>54</v>
      </c>
      <c r="D113" s="18" t="s">
        <v>270</v>
      </c>
      <c r="E113" s="18" t="s">
        <v>258</v>
      </c>
      <c r="F113" s="18" t="s">
        <v>168</v>
      </c>
      <c r="G113" s="18" t="s">
        <v>9</v>
      </c>
      <c r="H113" s="18" t="s">
        <v>9</v>
      </c>
      <c r="I113" s="18"/>
      <c r="J113" s="18"/>
      <c r="K113" s="18"/>
    </row>
    <row r="114" spans="2:11" hidden="1">
      <c r="B114" s="23" t="s">
        <v>256</v>
      </c>
      <c r="C114" s="15">
        <v>53</v>
      </c>
      <c r="D114" s="18" t="s">
        <v>271</v>
      </c>
      <c r="E114" s="18" t="s">
        <v>258</v>
      </c>
      <c r="F114" s="18" t="s">
        <v>168</v>
      </c>
      <c r="G114" s="18" t="s">
        <v>9</v>
      </c>
      <c r="H114" s="18" t="s">
        <v>9</v>
      </c>
      <c r="I114" s="18"/>
      <c r="J114" s="18"/>
      <c r="K114" s="18"/>
    </row>
    <row r="115" spans="2:11" hidden="1">
      <c r="B115" s="23" t="s">
        <v>256</v>
      </c>
      <c r="C115" s="15">
        <v>52</v>
      </c>
      <c r="D115" s="18" t="s">
        <v>272</v>
      </c>
      <c r="E115" s="18" t="s">
        <v>258</v>
      </c>
      <c r="F115" s="18" t="s">
        <v>168</v>
      </c>
      <c r="G115" s="18" t="s">
        <v>9</v>
      </c>
      <c r="H115" s="18" t="s">
        <v>9</v>
      </c>
      <c r="I115" s="18"/>
      <c r="J115" s="18"/>
      <c r="K115" s="18"/>
    </row>
    <row r="116" spans="2:11" hidden="1">
      <c r="B116" s="23" t="s">
        <v>256</v>
      </c>
      <c r="C116" s="15">
        <v>51</v>
      </c>
      <c r="D116" s="18" t="s">
        <v>273</v>
      </c>
      <c r="E116" s="18" t="s">
        <v>258</v>
      </c>
      <c r="F116" s="18" t="s">
        <v>168</v>
      </c>
      <c r="G116" s="18" t="s">
        <v>9</v>
      </c>
      <c r="H116" s="18" t="s">
        <v>9</v>
      </c>
      <c r="I116" s="18"/>
      <c r="J116" s="18"/>
      <c r="K116" s="18"/>
    </row>
    <row r="117" spans="2:11" hidden="1">
      <c r="B117" s="23" t="s">
        <v>256</v>
      </c>
      <c r="C117" s="15">
        <v>50</v>
      </c>
      <c r="D117" s="18" t="s">
        <v>274</v>
      </c>
      <c r="E117" s="18" t="s">
        <v>258</v>
      </c>
      <c r="F117" s="18" t="s">
        <v>168</v>
      </c>
      <c r="G117" s="18" t="s">
        <v>9</v>
      </c>
      <c r="H117" s="18" t="s">
        <v>9</v>
      </c>
      <c r="I117" s="18"/>
      <c r="J117" s="18"/>
      <c r="K117" s="18"/>
    </row>
    <row r="118" spans="2:11" hidden="1">
      <c r="B118" s="23" t="s">
        <v>256</v>
      </c>
      <c r="C118" s="15">
        <v>49</v>
      </c>
      <c r="D118" s="18" t="s">
        <v>275</v>
      </c>
      <c r="E118" s="18" t="s">
        <v>258</v>
      </c>
      <c r="F118" s="18" t="s">
        <v>168</v>
      </c>
      <c r="G118" s="18" t="s">
        <v>9</v>
      </c>
      <c r="H118" s="18" t="s">
        <v>9</v>
      </c>
      <c r="I118" s="18"/>
      <c r="J118" s="18"/>
      <c r="K118" s="18"/>
    </row>
    <row r="119" spans="2:11" hidden="1">
      <c r="B119" s="23" t="s">
        <v>256</v>
      </c>
      <c r="C119" s="15">
        <v>48</v>
      </c>
      <c r="D119" s="18" t="s">
        <v>276</v>
      </c>
      <c r="E119" s="18" t="s">
        <v>258</v>
      </c>
      <c r="F119" s="18" t="s">
        <v>168</v>
      </c>
      <c r="G119" s="18" t="s">
        <v>9</v>
      </c>
      <c r="H119" s="18" t="s">
        <v>9</v>
      </c>
      <c r="I119" s="18"/>
      <c r="J119" s="18"/>
      <c r="K119" s="18"/>
    </row>
    <row r="120" spans="2:11" hidden="1">
      <c r="B120" s="23" t="s">
        <v>256</v>
      </c>
      <c r="C120" s="15">
        <v>47</v>
      </c>
      <c r="D120" s="18" t="s">
        <v>277</v>
      </c>
      <c r="E120" s="18" t="s">
        <v>258</v>
      </c>
      <c r="F120" s="18" t="s">
        <v>168</v>
      </c>
      <c r="G120" s="18" t="s">
        <v>9</v>
      </c>
      <c r="H120" s="18" t="s">
        <v>9</v>
      </c>
      <c r="I120" s="18"/>
      <c r="J120" s="18"/>
      <c r="K120" s="18"/>
    </row>
    <row r="121" spans="2:11" hidden="1">
      <c r="B121" s="23" t="s">
        <v>256</v>
      </c>
      <c r="C121" s="15">
        <v>46</v>
      </c>
      <c r="D121" s="18" t="s">
        <v>278</v>
      </c>
      <c r="E121" s="18" t="s">
        <v>258</v>
      </c>
      <c r="F121" s="18" t="s">
        <v>168</v>
      </c>
      <c r="G121" s="18" t="s">
        <v>9</v>
      </c>
      <c r="H121" s="18" t="s">
        <v>9</v>
      </c>
      <c r="I121" s="18"/>
      <c r="J121" s="18"/>
      <c r="K121" s="18"/>
    </row>
    <row r="122" spans="2:11" hidden="1">
      <c r="B122" s="23" t="s">
        <v>256</v>
      </c>
      <c r="C122" s="15">
        <v>45</v>
      </c>
      <c r="D122" s="18" t="s">
        <v>279</v>
      </c>
      <c r="E122" s="18" t="s">
        <v>258</v>
      </c>
      <c r="F122" s="18" t="s">
        <v>168</v>
      </c>
      <c r="G122" s="18" t="s">
        <v>9</v>
      </c>
      <c r="H122" s="18" t="s">
        <v>9</v>
      </c>
      <c r="I122" s="18"/>
      <c r="J122" s="18"/>
      <c r="K122" s="18"/>
    </row>
    <row r="123" spans="2:11" hidden="1">
      <c r="B123" s="23" t="s">
        <v>256</v>
      </c>
      <c r="C123" s="15">
        <v>44</v>
      </c>
      <c r="D123" s="18" t="s">
        <v>280</v>
      </c>
      <c r="E123" s="18" t="s">
        <v>258</v>
      </c>
      <c r="F123" s="18" t="s">
        <v>168</v>
      </c>
      <c r="G123" s="18"/>
      <c r="H123" s="18" t="s">
        <v>9</v>
      </c>
      <c r="I123" s="18"/>
      <c r="J123" s="18"/>
      <c r="K123" s="18"/>
    </row>
    <row r="124" spans="2:11" hidden="1">
      <c r="B124" s="23" t="s">
        <v>256</v>
      </c>
      <c r="C124" s="15">
        <v>43</v>
      </c>
      <c r="D124" s="18" t="s">
        <v>281</v>
      </c>
      <c r="E124" s="18" t="s">
        <v>258</v>
      </c>
      <c r="F124" s="18" t="s">
        <v>168</v>
      </c>
      <c r="G124" s="18"/>
      <c r="H124" s="18" t="s">
        <v>9</v>
      </c>
      <c r="I124" s="18"/>
      <c r="J124" s="18"/>
      <c r="K124" s="18"/>
    </row>
    <row r="125" spans="2:11" hidden="1">
      <c r="B125" s="23" t="s">
        <v>256</v>
      </c>
      <c r="C125" s="15">
        <v>42</v>
      </c>
      <c r="D125" s="18" t="s">
        <v>282</v>
      </c>
      <c r="E125" s="18" t="s">
        <v>258</v>
      </c>
      <c r="F125" s="18" t="s">
        <v>168</v>
      </c>
      <c r="G125" s="18" t="s">
        <v>9</v>
      </c>
      <c r="H125" s="18" t="s">
        <v>9</v>
      </c>
      <c r="I125" s="18"/>
      <c r="J125" s="18"/>
      <c r="K125" s="18"/>
    </row>
    <row r="126" spans="2:11" hidden="1">
      <c r="B126" s="23" t="s">
        <v>256</v>
      </c>
      <c r="C126" s="15">
        <v>41</v>
      </c>
      <c r="D126" s="18" t="s">
        <v>283</v>
      </c>
      <c r="E126" s="18" t="s">
        <v>258</v>
      </c>
      <c r="F126" s="18" t="s">
        <v>168</v>
      </c>
      <c r="G126" s="18"/>
      <c r="H126" s="18" t="s">
        <v>9</v>
      </c>
      <c r="I126" s="18"/>
      <c r="J126" s="18"/>
      <c r="K126" s="18"/>
    </row>
    <row r="127" spans="2:11" hidden="1">
      <c r="B127" s="23" t="s">
        <v>256</v>
      </c>
      <c r="C127" s="15">
        <v>40</v>
      </c>
      <c r="D127" s="18" t="s">
        <v>284</v>
      </c>
      <c r="E127" s="18" t="s">
        <v>258</v>
      </c>
      <c r="F127" s="18" t="s">
        <v>168</v>
      </c>
      <c r="G127" s="18"/>
      <c r="H127" s="18" t="s">
        <v>9</v>
      </c>
      <c r="I127" s="18"/>
      <c r="J127" s="18"/>
      <c r="K127" s="18"/>
    </row>
    <row r="128" spans="2:11" hidden="1">
      <c r="B128" s="23" t="s">
        <v>256</v>
      </c>
      <c r="C128" s="15">
        <v>39</v>
      </c>
      <c r="D128" s="18" t="s">
        <v>285</v>
      </c>
      <c r="E128" s="18" t="s">
        <v>258</v>
      </c>
      <c r="F128" s="18" t="s">
        <v>168</v>
      </c>
      <c r="G128" s="18"/>
      <c r="H128" s="18" t="s">
        <v>9</v>
      </c>
      <c r="I128" s="18"/>
      <c r="J128" s="18"/>
      <c r="K128" s="18"/>
    </row>
    <row r="129" spans="2:11" hidden="1">
      <c r="B129" s="23" t="s">
        <v>256</v>
      </c>
      <c r="C129" s="15">
        <v>38</v>
      </c>
      <c r="D129" s="18" t="s">
        <v>286</v>
      </c>
      <c r="E129" s="18" t="s">
        <v>258</v>
      </c>
      <c r="F129" s="18" t="s">
        <v>168</v>
      </c>
      <c r="G129" s="18"/>
      <c r="H129" s="18" t="s">
        <v>9</v>
      </c>
      <c r="I129" s="18"/>
      <c r="J129" s="18"/>
      <c r="K129" s="18"/>
    </row>
    <row r="130" spans="2:11" hidden="1">
      <c r="B130" s="23" t="s">
        <v>256</v>
      </c>
      <c r="C130" s="15">
        <v>37</v>
      </c>
      <c r="D130" s="18" t="s">
        <v>287</v>
      </c>
      <c r="E130" s="18" t="s">
        <v>258</v>
      </c>
      <c r="F130" s="18" t="s">
        <v>168</v>
      </c>
      <c r="G130" s="18" t="s">
        <v>9</v>
      </c>
      <c r="H130" s="18" t="s">
        <v>9</v>
      </c>
      <c r="I130" s="18"/>
      <c r="J130" s="18"/>
      <c r="K130" s="18"/>
    </row>
    <row r="131" spans="2:11" hidden="1">
      <c r="B131" s="23" t="s">
        <v>256</v>
      </c>
      <c r="C131" s="15">
        <v>36</v>
      </c>
      <c r="D131" s="18" t="s">
        <v>288</v>
      </c>
      <c r="E131" s="18" t="s">
        <v>258</v>
      </c>
      <c r="F131" s="18" t="s">
        <v>168</v>
      </c>
      <c r="G131" s="18" t="s">
        <v>9</v>
      </c>
      <c r="H131" s="18" t="s">
        <v>9</v>
      </c>
      <c r="I131" s="18"/>
      <c r="J131" s="18"/>
      <c r="K131" s="18"/>
    </row>
    <row r="132" spans="2:11" hidden="1">
      <c r="B132" s="23" t="s">
        <v>256</v>
      </c>
      <c r="C132" s="15">
        <v>35</v>
      </c>
      <c r="D132" s="18" t="s">
        <v>289</v>
      </c>
      <c r="E132" s="18" t="s">
        <v>258</v>
      </c>
      <c r="F132" s="18" t="s">
        <v>168</v>
      </c>
      <c r="G132" s="18"/>
      <c r="H132" s="18" t="s">
        <v>9</v>
      </c>
      <c r="I132" s="18"/>
      <c r="J132" s="18"/>
      <c r="K132" s="18"/>
    </row>
    <row r="133" spans="2:11" hidden="1">
      <c r="B133" s="23" t="s">
        <v>256</v>
      </c>
      <c r="C133" s="15">
        <v>34</v>
      </c>
      <c r="D133" s="18" t="s">
        <v>290</v>
      </c>
      <c r="E133" s="18" t="s">
        <v>258</v>
      </c>
      <c r="F133" s="18" t="s">
        <v>168</v>
      </c>
      <c r="G133" s="18"/>
      <c r="H133" s="18" t="s">
        <v>9</v>
      </c>
      <c r="I133" s="18"/>
      <c r="J133" s="18"/>
      <c r="K133" s="18"/>
    </row>
    <row r="134" spans="2:11" hidden="1">
      <c r="B134" s="23" t="s">
        <v>256</v>
      </c>
      <c r="C134" s="15">
        <v>33</v>
      </c>
      <c r="D134" s="18" t="s">
        <v>291</v>
      </c>
      <c r="E134" s="18" t="s">
        <v>258</v>
      </c>
      <c r="F134" s="18" t="s">
        <v>168</v>
      </c>
      <c r="G134" s="18"/>
      <c r="H134" s="18" t="s">
        <v>9</v>
      </c>
      <c r="I134" s="18"/>
      <c r="J134" s="18"/>
      <c r="K134" s="18"/>
    </row>
    <row r="135" spans="2:11" hidden="1">
      <c r="B135" s="23" t="s">
        <v>256</v>
      </c>
      <c r="C135" s="15">
        <v>32</v>
      </c>
      <c r="D135" s="18" t="s">
        <v>292</v>
      </c>
      <c r="E135" s="18" t="s">
        <v>258</v>
      </c>
      <c r="F135" s="18" t="s">
        <v>168</v>
      </c>
      <c r="G135" s="18" t="s">
        <v>9</v>
      </c>
      <c r="H135" s="18" t="s">
        <v>9</v>
      </c>
      <c r="I135" s="18"/>
      <c r="J135" s="18"/>
      <c r="K135" s="18"/>
    </row>
    <row r="136" spans="2:11" hidden="1">
      <c r="B136" s="23" t="s">
        <v>256</v>
      </c>
      <c r="C136" s="15">
        <v>31</v>
      </c>
      <c r="D136" s="18" t="s">
        <v>293</v>
      </c>
      <c r="E136" s="18" t="s">
        <v>258</v>
      </c>
      <c r="F136" s="18" t="s">
        <v>168</v>
      </c>
      <c r="G136" s="18" t="s">
        <v>9</v>
      </c>
      <c r="H136" s="18" t="s">
        <v>9</v>
      </c>
      <c r="I136" s="18"/>
      <c r="J136" s="18"/>
      <c r="K136" s="18"/>
    </row>
    <row r="137" spans="2:11" hidden="1">
      <c r="B137" s="23" t="s">
        <v>256</v>
      </c>
      <c r="C137" s="15">
        <v>30</v>
      </c>
      <c r="D137" s="18" t="s">
        <v>294</v>
      </c>
      <c r="E137" s="18" t="s">
        <v>258</v>
      </c>
      <c r="F137" s="18" t="s">
        <v>168</v>
      </c>
      <c r="G137" s="18"/>
      <c r="H137" s="18" t="s">
        <v>9</v>
      </c>
      <c r="I137" s="18"/>
      <c r="J137" s="18"/>
      <c r="K137" s="18"/>
    </row>
    <row r="138" spans="2:11" hidden="1">
      <c r="B138" s="23" t="s">
        <v>256</v>
      </c>
      <c r="C138" s="15">
        <v>29</v>
      </c>
      <c r="D138" s="18" t="s">
        <v>295</v>
      </c>
      <c r="E138" s="18" t="s">
        <v>258</v>
      </c>
      <c r="F138" s="18" t="s">
        <v>168</v>
      </c>
      <c r="G138" s="18" t="s">
        <v>9</v>
      </c>
      <c r="H138" s="18" t="s">
        <v>9</v>
      </c>
      <c r="I138" s="18"/>
      <c r="J138" s="18"/>
      <c r="K138" s="18"/>
    </row>
    <row r="139" spans="2:11" hidden="1">
      <c r="B139" s="23" t="s">
        <v>256</v>
      </c>
      <c r="C139" s="15">
        <v>28</v>
      </c>
      <c r="D139" s="18" t="s">
        <v>296</v>
      </c>
      <c r="E139" s="18" t="s">
        <v>258</v>
      </c>
      <c r="F139" s="18" t="s">
        <v>168</v>
      </c>
      <c r="G139" s="18" t="s">
        <v>9</v>
      </c>
      <c r="H139" s="18" t="s">
        <v>9</v>
      </c>
      <c r="I139" s="18"/>
      <c r="J139" s="18"/>
      <c r="K139" s="18"/>
    </row>
    <row r="140" spans="2:11" hidden="1">
      <c r="B140" s="23" t="s">
        <v>256</v>
      </c>
      <c r="C140" s="15">
        <v>27</v>
      </c>
      <c r="D140" s="18" t="s">
        <v>297</v>
      </c>
      <c r="E140" s="18" t="s">
        <v>258</v>
      </c>
      <c r="F140" s="18" t="s">
        <v>168</v>
      </c>
      <c r="G140" s="18" t="s">
        <v>9</v>
      </c>
      <c r="H140" s="18" t="s">
        <v>9</v>
      </c>
      <c r="I140" s="18"/>
      <c r="J140" s="18"/>
      <c r="K140" s="18"/>
    </row>
    <row r="141" spans="2:11" hidden="1">
      <c r="B141" s="23" t="s">
        <v>256</v>
      </c>
      <c r="C141" s="15">
        <v>26</v>
      </c>
      <c r="D141" s="18" t="s">
        <v>298</v>
      </c>
      <c r="E141" s="18" t="s">
        <v>258</v>
      </c>
      <c r="F141" s="18" t="s">
        <v>168</v>
      </c>
      <c r="G141" s="18" t="s">
        <v>9</v>
      </c>
      <c r="H141" s="18" t="s">
        <v>9</v>
      </c>
      <c r="I141" s="18"/>
      <c r="J141" s="18"/>
      <c r="K141" s="18"/>
    </row>
    <row r="142" spans="2:11" hidden="1">
      <c r="B142" s="23" t="s">
        <v>256</v>
      </c>
      <c r="C142" s="15">
        <v>25</v>
      </c>
      <c r="D142" s="18" t="s">
        <v>299</v>
      </c>
      <c r="E142" s="18" t="s">
        <v>258</v>
      </c>
      <c r="F142" s="18" t="s">
        <v>168</v>
      </c>
      <c r="G142" s="18" t="s">
        <v>9</v>
      </c>
      <c r="H142" s="18" t="s">
        <v>9</v>
      </c>
      <c r="I142" s="18"/>
      <c r="J142" s="18"/>
      <c r="K142" s="18"/>
    </row>
    <row r="143" spans="2:11" hidden="1">
      <c r="B143" s="23" t="s">
        <v>256</v>
      </c>
      <c r="C143" s="15">
        <v>24</v>
      </c>
      <c r="D143" s="18" t="s">
        <v>300</v>
      </c>
      <c r="E143" s="18" t="s">
        <v>258</v>
      </c>
      <c r="F143" s="18" t="s">
        <v>168</v>
      </c>
      <c r="G143" s="18" t="s">
        <v>9</v>
      </c>
      <c r="H143" s="18" t="s">
        <v>9</v>
      </c>
      <c r="I143" s="18"/>
      <c r="J143" s="18"/>
      <c r="K143" s="18"/>
    </row>
    <row r="144" spans="2:11" hidden="1">
      <c r="B144" s="23" t="s">
        <v>256</v>
      </c>
      <c r="C144" s="15">
        <v>23</v>
      </c>
      <c r="D144" s="18" t="s">
        <v>301</v>
      </c>
      <c r="E144" s="18" t="s">
        <v>258</v>
      </c>
      <c r="F144" s="18" t="s">
        <v>168</v>
      </c>
      <c r="G144" s="18" t="s">
        <v>9</v>
      </c>
      <c r="H144" s="18" t="s">
        <v>9</v>
      </c>
      <c r="I144" s="18"/>
      <c r="J144" s="18"/>
      <c r="K144" s="18"/>
    </row>
    <row r="145" spans="2:11" hidden="1">
      <c r="B145" s="23" t="s">
        <v>256</v>
      </c>
      <c r="C145" s="15">
        <v>22</v>
      </c>
      <c r="D145" s="18" t="s">
        <v>302</v>
      </c>
      <c r="E145" s="18" t="s">
        <v>258</v>
      </c>
      <c r="F145" s="18" t="s">
        <v>168</v>
      </c>
      <c r="G145" s="18" t="s">
        <v>9</v>
      </c>
      <c r="H145" s="18" t="s">
        <v>9</v>
      </c>
      <c r="I145" s="18"/>
      <c r="J145" s="18"/>
      <c r="K145" s="18"/>
    </row>
    <row r="146" spans="2:11" hidden="1">
      <c r="B146" s="23" t="s">
        <v>256</v>
      </c>
      <c r="C146" s="15">
        <v>21</v>
      </c>
      <c r="D146" s="18" t="s">
        <v>303</v>
      </c>
      <c r="E146" s="18" t="s">
        <v>258</v>
      </c>
      <c r="F146" s="18" t="s">
        <v>168</v>
      </c>
      <c r="G146" s="18"/>
      <c r="H146" s="18" t="s">
        <v>9</v>
      </c>
      <c r="I146" s="18"/>
      <c r="J146" s="18"/>
      <c r="K146" s="18"/>
    </row>
    <row r="147" spans="2:11" hidden="1">
      <c r="B147" s="23" t="s">
        <v>256</v>
      </c>
      <c r="C147" s="15">
        <v>20</v>
      </c>
      <c r="D147" s="18" t="s">
        <v>304</v>
      </c>
      <c r="E147" s="18" t="s">
        <v>258</v>
      </c>
      <c r="F147" s="18" t="s">
        <v>168</v>
      </c>
      <c r="G147" s="18" t="s">
        <v>9</v>
      </c>
      <c r="H147" s="18" t="s">
        <v>9</v>
      </c>
      <c r="I147" s="18"/>
      <c r="J147" s="18"/>
      <c r="K147" s="18"/>
    </row>
    <row r="148" spans="2:11" hidden="1">
      <c r="B148" s="23" t="s">
        <v>256</v>
      </c>
      <c r="C148" s="15">
        <v>19</v>
      </c>
      <c r="D148" s="18" t="s">
        <v>305</v>
      </c>
      <c r="E148" s="18" t="s">
        <v>258</v>
      </c>
      <c r="F148" s="18" t="s">
        <v>168</v>
      </c>
      <c r="G148" s="18" t="s">
        <v>9</v>
      </c>
      <c r="H148" s="18" t="s">
        <v>9</v>
      </c>
      <c r="I148" s="18"/>
      <c r="J148" s="18"/>
      <c r="K148" s="18"/>
    </row>
    <row r="149" spans="2:11" hidden="1">
      <c r="B149" s="23" t="s">
        <v>256</v>
      </c>
      <c r="C149" s="15">
        <v>18</v>
      </c>
      <c r="D149" s="18" t="s">
        <v>306</v>
      </c>
      <c r="E149" s="18" t="s">
        <v>258</v>
      </c>
      <c r="F149" s="18" t="s">
        <v>168</v>
      </c>
      <c r="G149" s="18" t="s">
        <v>9</v>
      </c>
      <c r="H149" s="18" t="s">
        <v>9</v>
      </c>
      <c r="I149" s="18"/>
      <c r="J149" s="18"/>
      <c r="K149" s="18"/>
    </row>
    <row r="150" spans="2:11" hidden="1">
      <c r="B150" s="23" t="s">
        <v>256</v>
      </c>
      <c r="C150" s="15">
        <v>17</v>
      </c>
      <c r="D150" s="18" t="s">
        <v>307</v>
      </c>
      <c r="E150" s="18" t="s">
        <v>258</v>
      </c>
      <c r="F150" s="18" t="s">
        <v>168</v>
      </c>
      <c r="G150" s="18" t="s">
        <v>9</v>
      </c>
      <c r="H150" s="18" t="s">
        <v>9</v>
      </c>
      <c r="I150" s="18"/>
      <c r="J150" s="18"/>
      <c r="K150" s="18"/>
    </row>
    <row r="151" spans="2:11" hidden="1">
      <c r="B151" s="23" t="s">
        <v>256</v>
      </c>
      <c r="C151" s="15">
        <v>16</v>
      </c>
      <c r="D151" s="18" t="s">
        <v>308</v>
      </c>
      <c r="E151" s="18" t="s">
        <v>258</v>
      </c>
      <c r="F151" s="18" t="s">
        <v>168</v>
      </c>
      <c r="G151" s="18" t="s">
        <v>9</v>
      </c>
      <c r="H151" s="18" t="s">
        <v>9</v>
      </c>
      <c r="I151" s="18"/>
      <c r="J151" s="18"/>
      <c r="K151" s="18"/>
    </row>
  </sheetData>
  <autoFilter ref="B3:K151" xr:uid="{B60A0F55-D569-4C0D-9702-69098AD046E6}">
    <filterColumn colId="3">
      <filters>
        <filter val="Durability Test"/>
      </filters>
    </filterColumn>
    <filterColumn colId="4">
      <filters>
        <filter val="Physical Test"/>
        <filter val="Visual/Functional Check"/>
      </filters>
    </filterColumn>
    <sortState xmlns:xlrd2="http://schemas.microsoft.com/office/spreadsheetml/2017/richdata2" ref="B4:K151">
      <sortCondition ref="B3:B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Onat Yıldırım</dc:creator>
  <cp:keywords/>
  <dc:description/>
  <cp:lastModifiedBy/>
  <cp:revision/>
  <dcterms:created xsi:type="dcterms:W3CDTF">2015-06-05T18:19:34Z</dcterms:created>
  <dcterms:modified xsi:type="dcterms:W3CDTF">2026-04-13T05:38:04Z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2025-11-03T11:03:14Z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9077006f-1253-4460-a2e6-c50e78acc213</vt:lpwstr>
  </property>
  <property fmtid="{D5CDD505-2E9C-101B-9397-08002B2CF9AE}" pid="8" name="MSIP_Label_268fea50-c8fd-43f9-9978-40ba5e133c22_ContentBits">
    <vt:lpwstr>0</vt:lpwstr>
  </property>
  <property fmtid="{D5CDD505-2E9C-101B-9397-08002B2CF9AE}" pid="9" name="MSIP_Label_268fea50-c8fd-43f9-9978-40ba5e133c22_Tag">
    <vt:lpwstr>10, 3, 0, 1</vt:lpwstr>
  </property>
</Properties>
</file>