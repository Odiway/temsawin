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76" yWindow="60" windowWidth="19416" windowHeight="9216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Sayfa1!$A$10:$EM$18</definedName>
  </definedNames>
  <calcPr calcId="125725"/>
</workbook>
</file>

<file path=xl/calcChain.xml><?xml version="1.0" encoding="utf-8"?>
<calcChain xmlns="http://schemas.openxmlformats.org/spreadsheetml/2006/main">
  <c r="CG13" i="1"/>
  <c r="CG14"/>
  <c r="CG15"/>
  <c r="CG16"/>
  <c r="CG17"/>
  <c r="CG18"/>
  <c r="BM13"/>
  <c r="BM14"/>
  <c r="BM15"/>
  <c r="BM16"/>
  <c r="BM17"/>
  <c r="BM18"/>
  <c r="BK13"/>
  <c r="BK14"/>
  <c r="BK15"/>
  <c r="BK16"/>
  <c r="BK17"/>
  <c r="BK18"/>
  <c r="BI13"/>
  <c r="BI14"/>
  <c r="BI15"/>
  <c r="BI16"/>
  <c r="BI17"/>
  <c r="BI18"/>
  <c r="BG13"/>
  <c r="BG14"/>
  <c r="BG15"/>
  <c r="BG16"/>
  <c r="BG17"/>
  <c r="BG18"/>
  <c r="BE13"/>
  <c r="BE14"/>
  <c r="BE15"/>
  <c r="BE16"/>
  <c r="BE17"/>
  <c r="BE18"/>
  <c r="BD12"/>
  <c r="BC12" s="1"/>
  <c r="BD13"/>
  <c r="BC13" s="1"/>
  <c r="BD14"/>
  <c r="BC14" s="1"/>
  <c r="BD15"/>
  <c r="BC15" s="1"/>
  <c r="BD16"/>
  <c r="BD17"/>
  <c r="BD18"/>
  <c r="BC18" s="1"/>
  <c r="BC16"/>
  <c r="BC17"/>
  <c r="CN12"/>
  <c r="CN13"/>
  <c r="CN14"/>
  <c r="CN15"/>
  <c r="CN16"/>
  <c r="CN17"/>
  <c r="CN18"/>
  <c r="CB12"/>
  <c r="CB13"/>
  <c r="CA13" s="1"/>
  <c r="CB14"/>
  <c r="CA14" s="1"/>
  <c r="CB15"/>
  <c r="CA15" s="1"/>
  <c r="CB16"/>
  <c r="CA16" s="1"/>
  <c r="CB17"/>
  <c r="CA17" s="1"/>
  <c r="CB18"/>
  <c r="CA18" s="1"/>
  <c r="BZ12"/>
  <c r="BZ13"/>
  <c r="BY13" s="1"/>
  <c r="BZ14"/>
  <c r="BY14" s="1"/>
  <c r="BZ15"/>
  <c r="BY15" s="1"/>
  <c r="BZ16"/>
  <c r="BY16" s="1"/>
  <c r="BZ17"/>
  <c r="BY17" s="1"/>
  <c r="BZ18"/>
  <c r="BY18" s="1"/>
  <c r="BX12"/>
  <c r="BX13"/>
  <c r="BW13" s="1"/>
  <c r="BX14"/>
  <c r="BW14" s="1"/>
  <c r="BX15"/>
  <c r="BW15" s="1"/>
  <c r="BX16"/>
  <c r="BW16" s="1"/>
  <c r="BX17"/>
  <c r="BW17" s="1"/>
  <c r="BX18"/>
  <c r="BW18" s="1"/>
  <c r="BV12"/>
  <c r="BV13"/>
  <c r="BU13" s="1"/>
  <c r="BV14"/>
  <c r="BV15"/>
  <c r="BU15" s="1"/>
  <c r="BV16"/>
  <c r="BU16" s="1"/>
  <c r="BV17"/>
  <c r="BU17" s="1"/>
  <c r="BV18"/>
  <c r="AV13"/>
  <c r="AW13" s="1"/>
  <c r="AV14"/>
  <c r="AW14" s="1"/>
  <c r="AV15"/>
  <c r="AW15" s="1"/>
  <c r="AV16"/>
  <c r="AW16" s="1"/>
  <c r="AV17"/>
  <c r="AW17" s="1"/>
  <c r="AV18"/>
  <c r="AW18" s="1"/>
  <c r="H15"/>
  <c r="H16"/>
  <c r="H17"/>
  <c r="H18"/>
  <c r="H14"/>
  <c r="H13"/>
  <c r="CK12"/>
  <c r="CH12"/>
  <c r="CF12"/>
  <c r="CD12"/>
  <c r="BT12"/>
  <c r="BR12"/>
  <c r="BQ12" s="1"/>
  <c r="BP12"/>
  <c r="BO12" s="1"/>
  <c r="BN12"/>
  <c r="BM12" s="1"/>
  <c r="BL12"/>
  <c r="BK12" s="1"/>
  <c r="BJ12"/>
  <c r="BI12" s="1"/>
  <c r="BH12"/>
  <c r="BG12" s="1"/>
  <c r="BF12"/>
  <c r="BE12" s="1"/>
  <c r="AT12"/>
  <c r="AS12"/>
  <c r="AR12"/>
  <c r="AK12" s="1"/>
  <c r="AQ12"/>
  <c r="AO12"/>
  <c r="AI12"/>
  <c r="CG12" s="1"/>
  <c r="AH12"/>
  <c r="AG12"/>
  <c r="AF12"/>
  <c r="E12" s="1"/>
  <c r="AE12"/>
  <c r="AD12"/>
  <c r="K12"/>
  <c r="H12"/>
  <c r="AT11"/>
  <c r="AS11"/>
  <c r="CQ18" l="1"/>
  <c r="CQ14"/>
  <c r="CQ16"/>
  <c r="CQ12"/>
  <c r="BU12"/>
  <c r="CQ17"/>
  <c r="CQ13"/>
  <c r="CQ15"/>
  <c r="BU14"/>
  <c r="CO14" s="1"/>
  <c r="CR14" s="1"/>
  <c r="DH14" s="1"/>
  <c r="DP14" s="1"/>
  <c r="CO15"/>
  <c r="CR15" s="1"/>
  <c r="DH15" s="1"/>
  <c r="DP15" s="1"/>
  <c r="BU18"/>
  <c r="CO18" s="1"/>
  <c r="CP18" s="1"/>
  <c r="CO16"/>
  <c r="CR16" s="1"/>
  <c r="DH16" s="1"/>
  <c r="DP16" s="1"/>
  <c r="CO17"/>
  <c r="CR17" s="1"/>
  <c r="DH17" s="1"/>
  <c r="DP17" s="1"/>
  <c r="CO13"/>
  <c r="CR13" s="1"/>
  <c r="DH13" s="1"/>
  <c r="DP13" s="1"/>
  <c r="BY12"/>
  <c r="BS12"/>
  <c r="CA12"/>
  <c r="AV12"/>
  <c r="CC12"/>
  <c r="CE12"/>
  <c r="AU12"/>
  <c r="AX12" s="1"/>
  <c r="AM12"/>
  <c r="BW12" s="1"/>
  <c r="H11"/>
  <c r="K11"/>
  <c r="AD11"/>
  <c r="AE11"/>
  <c r="AF11"/>
  <c r="E11" s="1"/>
  <c r="AG11"/>
  <c r="AH11"/>
  <c r="AI11"/>
  <c r="AO11"/>
  <c r="AQ11"/>
  <c r="AR11"/>
  <c r="AM11" s="1"/>
  <c r="BD11"/>
  <c r="BF11"/>
  <c r="BE11" s="1"/>
  <c r="BH11"/>
  <c r="BG11" s="1"/>
  <c r="BJ11"/>
  <c r="BI11" s="1"/>
  <c r="BL11"/>
  <c r="BK11" s="1"/>
  <c r="BN11"/>
  <c r="BM11" s="1"/>
  <c r="BP11"/>
  <c r="BO11" s="1"/>
  <c r="BR11"/>
  <c r="BQ11" s="1"/>
  <c r="BT11"/>
  <c r="BV11"/>
  <c r="BX11"/>
  <c r="BZ11"/>
  <c r="CB11"/>
  <c r="CD11"/>
  <c r="CF11"/>
  <c r="CH11"/>
  <c r="CK11"/>
  <c r="CN11"/>
  <c r="CP15" l="1"/>
  <c r="CP14"/>
  <c r="CS14" s="1"/>
  <c r="CP13"/>
  <c r="CP17"/>
  <c r="CS17" s="1"/>
  <c r="CQ11"/>
  <c r="CP16"/>
  <c r="CS16" s="1"/>
  <c r="DX17"/>
  <c r="CZ17"/>
  <c r="DX13"/>
  <c r="CZ13"/>
  <c r="CZ15"/>
  <c r="DX15"/>
  <c r="CS18"/>
  <c r="CR18"/>
  <c r="DH18" s="1"/>
  <c r="DP18" s="1"/>
  <c r="CZ16"/>
  <c r="DX16"/>
  <c r="CZ14"/>
  <c r="DX14"/>
  <c r="CS13"/>
  <c r="CS15"/>
  <c r="CO12"/>
  <c r="CP12" s="1"/>
  <c r="AW12"/>
  <c r="BC11"/>
  <c r="CE11"/>
  <c r="CG11"/>
  <c r="BY11"/>
  <c r="CA11"/>
  <c r="CC11"/>
  <c r="BS11"/>
  <c r="AK11"/>
  <c r="BU11" s="1"/>
  <c r="AV11"/>
  <c r="BW11"/>
  <c r="AU11"/>
  <c r="AX11" s="1"/>
  <c r="CW15" l="1"/>
  <c r="CY15"/>
  <c r="CV15"/>
  <c r="CX15"/>
  <c r="CU15"/>
  <c r="CV18"/>
  <c r="CU18"/>
  <c r="CW18"/>
  <c r="CY18"/>
  <c r="CX18"/>
  <c r="DI14"/>
  <c r="CX14"/>
  <c r="CW14"/>
  <c r="CY14"/>
  <c r="CV14"/>
  <c r="CU14"/>
  <c r="CV16"/>
  <c r="CX16"/>
  <c r="CW16"/>
  <c r="CU16"/>
  <c r="CY16"/>
  <c r="CU17"/>
  <c r="CW17"/>
  <c r="CV17"/>
  <c r="CY17"/>
  <c r="CX17"/>
  <c r="CU13"/>
  <c r="CW13"/>
  <c r="CY13"/>
  <c r="CX13"/>
  <c r="CV13"/>
  <c r="DA14"/>
  <c r="CS12"/>
  <c r="CR12"/>
  <c r="DH12" s="1"/>
  <c r="DP12" s="1"/>
  <c r="EF14"/>
  <c r="EF16"/>
  <c r="DA16"/>
  <c r="DI16"/>
  <c r="DA17"/>
  <c r="DI17"/>
  <c r="DJ16"/>
  <c r="DI18"/>
  <c r="DA18"/>
  <c r="EF13"/>
  <c r="DA13"/>
  <c r="DI13"/>
  <c r="DJ14"/>
  <c r="CZ18"/>
  <c r="DX18"/>
  <c r="EF15"/>
  <c r="EF17"/>
  <c r="DA15"/>
  <c r="DI15"/>
  <c r="CO11"/>
  <c r="CP11" s="1"/>
  <c r="AW11"/>
  <c r="DF15" l="1"/>
  <c r="DC15"/>
  <c r="DE15"/>
  <c r="DD15"/>
  <c r="DG15"/>
  <c r="DY15"/>
  <c r="DQ15"/>
  <c r="DD13"/>
  <c r="DC13"/>
  <c r="DG13"/>
  <c r="DF13"/>
  <c r="DE13"/>
  <c r="DE16"/>
  <c r="DF16"/>
  <c r="DD16"/>
  <c r="DC16"/>
  <c r="DG16"/>
  <c r="DQ13"/>
  <c r="DY13" s="1"/>
  <c r="DQ18"/>
  <c r="DL16"/>
  <c r="DQ16"/>
  <c r="DY16" s="1"/>
  <c r="DM16"/>
  <c r="DO16"/>
  <c r="DK16"/>
  <c r="DN16"/>
  <c r="DN14"/>
  <c r="DO14"/>
  <c r="DQ14"/>
  <c r="DY14" s="1"/>
  <c r="DM14"/>
  <c r="DL14"/>
  <c r="DK14"/>
  <c r="DQ17"/>
  <c r="DC18"/>
  <c r="DG18"/>
  <c r="DE18"/>
  <c r="DF18"/>
  <c r="DD18"/>
  <c r="DD17"/>
  <c r="DF17"/>
  <c r="DC17"/>
  <c r="DG17"/>
  <c r="DE17"/>
  <c r="DC14"/>
  <c r="DG14"/>
  <c r="DD14"/>
  <c r="DF14"/>
  <c r="DE14"/>
  <c r="DJ15"/>
  <c r="DL15" s="1"/>
  <c r="DJ13"/>
  <c r="DO13" s="1"/>
  <c r="EF18"/>
  <c r="CZ12"/>
  <c r="DX12"/>
  <c r="DJ18"/>
  <c r="DK18" s="1"/>
  <c r="DJ17"/>
  <c r="DN17" s="1"/>
  <c r="DA12"/>
  <c r="DI12"/>
  <c r="CT12"/>
  <c r="CX12" s="1"/>
  <c r="CS11"/>
  <c r="DA11" s="1"/>
  <c r="CR11"/>
  <c r="CZ11" s="1"/>
  <c r="DO17" l="1"/>
  <c r="DL13"/>
  <c r="DK15"/>
  <c r="DK13"/>
  <c r="DN15"/>
  <c r="DO15"/>
  <c r="DM15"/>
  <c r="EG13"/>
  <c r="DZ13"/>
  <c r="EA13" s="1"/>
  <c r="DR17"/>
  <c r="DV17" s="1"/>
  <c r="EG16"/>
  <c r="DR18"/>
  <c r="DU18" s="1"/>
  <c r="EG15"/>
  <c r="DR14"/>
  <c r="DV14" s="1"/>
  <c r="DR16"/>
  <c r="DW16" s="1"/>
  <c r="DR15"/>
  <c r="DT15" s="1"/>
  <c r="CY12"/>
  <c r="CU12"/>
  <c r="DM17"/>
  <c r="DK17"/>
  <c r="DM18"/>
  <c r="DY18"/>
  <c r="DM13"/>
  <c r="DZ15"/>
  <c r="EB15" s="1"/>
  <c r="CW12"/>
  <c r="CV12"/>
  <c r="DL17"/>
  <c r="DL18"/>
  <c r="DN18"/>
  <c r="DN13"/>
  <c r="DQ12"/>
  <c r="DY12" s="1"/>
  <c r="EG14"/>
  <c r="DZ14"/>
  <c r="EB14" s="1"/>
  <c r="DR13"/>
  <c r="DU13" s="1"/>
  <c r="DZ16"/>
  <c r="EA16" s="1"/>
  <c r="DY17"/>
  <c r="DO18"/>
  <c r="DB12"/>
  <c r="DE12" s="1"/>
  <c r="EF12"/>
  <c r="DJ12"/>
  <c r="DO12" s="1"/>
  <c r="DI11"/>
  <c r="DQ11" s="1"/>
  <c r="DY11" s="1"/>
  <c r="EG11" s="1"/>
  <c r="CT11"/>
  <c r="CY11" s="1"/>
  <c r="DB11"/>
  <c r="DE11" s="1"/>
  <c r="DH11"/>
  <c r="DP11" s="1"/>
  <c r="DX11"/>
  <c r="EF11" s="1"/>
  <c r="DC11" l="1"/>
  <c r="DS15"/>
  <c r="EC13"/>
  <c r="EB13"/>
  <c r="DV16"/>
  <c r="ED16"/>
  <c r="EE13"/>
  <c r="EC14"/>
  <c r="DW13"/>
  <c r="DV13"/>
  <c r="EE14"/>
  <c r="DK12"/>
  <c r="DW14"/>
  <c r="EA15"/>
  <c r="DT13"/>
  <c r="DS13"/>
  <c r="EA14"/>
  <c r="DW15"/>
  <c r="DT14"/>
  <c r="ED15"/>
  <c r="DV18"/>
  <c r="DW17"/>
  <c r="ED14"/>
  <c r="DV15"/>
  <c r="DS14"/>
  <c r="DU14"/>
  <c r="ED13"/>
  <c r="EE15"/>
  <c r="DS17"/>
  <c r="EG18"/>
  <c r="DZ18"/>
  <c r="ED18" s="1"/>
  <c r="EH13"/>
  <c r="EK13" s="1"/>
  <c r="EG12"/>
  <c r="EH12" s="1"/>
  <c r="EH15"/>
  <c r="EM15" s="1"/>
  <c r="EH16"/>
  <c r="EM16" s="1"/>
  <c r="EG17"/>
  <c r="DZ17"/>
  <c r="EB17" s="1"/>
  <c r="DR12"/>
  <c r="DT12" s="1"/>
  <c r="DC12"/>
  <c r="DN12"/>
  <c r="DU15"/>
  <c r="DS16"/>
  <c r="DG12"/>
  <c r="DS18"/>
  <c r="EC16"/>
  <c r="DT17"/>
  <c r="DZ12"/>
  <c r="EA12" s="1"/>
  <c r="DL12"/>
  <c r="DU16"/>
  <c r="DT16"/>
  <c r="DD12"/>
  <c r="EC15"/>
  <c r="DW18"/>
  <c r="EB16"/>
  <c r="EE16"/>
  <c r="DU17"/>
  <c r="EH14"/>
  <c r="EJ14" s="1"/>
  <c r="DM12"/>
  <c r="DF12"/>
  <c r="DT18"/>
  <c r="CW11"/>
  <c r="EH11"/>
  <c r="EJ11" s="1"/>
  <c r="DG11"/>
  <c r="DD11"/>
  <c r="DR11"/>
  <c r="DT11" s="1"/>
  <c r="CX11"/>
  <c r="DF11"/>
  <c r="CU11"/>
  <c r="CV11"/>
  <c r="DJ11"/>
  <c r="DN11" s="1"/>
  <c r="DZ11"/>
  <c r="EC11" s="1"/>
  <c r="EA18" l="1"/>
  <c r="EB18"/>
  <c r="EE18"/>
  <c r="EL16"/>
  <c r="EB12"/>
  <c r="DW12"/>
  <c r="DU12"/>
  <c r="EA17"/>
  <c r="EJ16"/>
  <c r="DV12"/>
  <c r="EI16"/>
  <c r="DS12"/>
  <c r="ED17"/>
  <c r="EK16"/>
  <c r="EI15"/>
  <c r="EC18"/>
  <c r="EH18"/>
  <c r="EI18" s="1"/>
  <c r="EL12"/>
  <c r="EK12"/>
  <c r="EJ12"/>
  <c r="EM12"/>
  <c r="EI12"/>
  <c r="EK14"/>
  <c r="EL13"/>
  <c r="EM14"/>
  <c r="EE17"/>
  <c r="EJ15"/>
  <c r="ED12"/>
  <c r="EJ13"/>
  <c r="EI14"/>
  <c r="EC17"/>
  <c r="EL15"/>
  <c r="EC12"/>
  <c r="EE12"/>
  <c r="EM13"/>
  <c r="EH17"/>
  <c r="EM17" s="1"/>
  <c r="EL14"/>
  <c r="EK15"/>
  <c r="EI13"/>
  <c r="EL11"/>
  <c r="EK11"/>
  <c r="EI11"/>
  <c r="DW11"/>
  <c r="EM11"/>
  <c r="DU11"/>
  <c r="DV11"/>
  <c r="DS11"/>
  <c r="DK11"/>
  <c r="EE11"/>
  <c r="DL11"/>
  <c r="DO11"/>
  <c r="EA11"/>
  <c r="DM11"/>
  <c r="ED11"/>
  <c r="EB11"/>
  <c r="EI17" l="1"/>
  <c r="EK17"/>
  <c r="EK18"/>
  <c r="EL18"/>
  <c r="EL17"/>
  <c r="EJ18"/>
  <c r="EJ17"/>
  <c r="EM18"/>
</calcChain>
</file>

<file path=xl/comments1.xml><?xml version="1.0" encoding="utf-8"?>
<comments xmlns="http://schemas.openxmlformats.org/spreadsheetml/2006/main">
  <authors>
    <author>MCOLAK</author>
  </authors>
  <commentList>
    <comment ref="AD7" authorId="0">
      <text>
        <r>
          <rPr>
            <b/>
            <sz val="9"/>
            <color indexed="81"/>
            <rFont val="Tahoma"/>
            <family val="2"/>
            <charset val="162"/>
          </rPr>
          <t>Yolcu ağırlığı</t>
        </r>
      </text>
    </comment>
    <comment ref="AK10" authorId="0">
      <text>
        <r>
          <rPr>
            <b/>
            <sz val="9"/>
            <color indexed="81"/>
            <rFont val="Tahoma"/>
            <family val="2"/>
            <charset val="162"/>
          </rPr>
          <t>r66-02 ile değişecek.</t>
        </r>
      </text>
    </comment>
    <comment ref="AM10" authorId="0">
      <text>
        <r>
          <rPr>
            <b/>
            <sz val="9"/>
            <color indexed="81"/>
            <rFont val="Tahoma"/>
            <family val="2"/>
            <charset val="162"/>
          </rPr>
          <t>r66-02 ile değişecek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O10" authorId="0">
      <text>
        <r>
          <rPr>
            <b/>
            <sz val="9"/>
            <color indexed="81"/>
            <rFont val="Tahoma"/>
            <family val="2"/>
            <charset val="162"/>
          </rPr>
          <t>r66-02 ile değişecek</t>
        </r>
      </text>
    </comment>
    <comment ref="AQ10" authorId="0">
      <text>
        <r>
          <rPr>
            <b/>
            <sz val="9"/>
            <color indexed="81"/>
            <rFont val="Tahoma"/>
            <family val="2"/>
            <charset val="162"/>
          </rPr>
          <t>r66-02 ile değişecek</t>
        </r>
      </text>
    </comment>
  </commentList>
</comments>
</file>

<file path=xl/sharedStrings.xml><?xml version="1.0" encoding="utf-8"?>
<sst xmlns="http://schemas.openxmlformats.org/spreadsheetml/2006/main" count="246" uniqueCount="118">
  <si>
    <t>ARAÇ BOYU</t>
  </si>
  <si>
    <t>RAC</t>
  </si>
  <si>
    <t>WC</t>
  </si>
  <si>
    <t>MUTFAK</t>
  </si>
  <si>
    <t>BAGAJ</t>
  </si>
  <si>
    <t>LİFT</t>
  </si>
  <si>
    <t>ENGELLİ YOLCU SAYISI</t>
  </si>
  <si>
    <t>SINIF</t>
  </si>
  <si>
    <t>AYAKTA YOLCU SAYISI</t>
  </si>
  <si>
    <t>1. BÖLGE KOLTUKLARI</t>
  </si>
  <si>
    <t>RAC YE UZAKLIK</t>
  </si>
  <si>
    <t>2. BÖLGE KOLTUKLARI</t>
  </si>
  <si>
    <t>3. BÖLGE KOLTUKLARI</t>
  </si>
  <si>
    <t>4. BÖLGE KOLTUKLARI</t>
  </si>
  <si>
    <t>5. BÖLGE KOLTUKLARI</t>
  </si>
  <si>
    <t>6. BÖLGE KOLTUKLARI</t>
  </si>
  <si>
    <t>8. BÖLGE KOLTUKLARI</t>
  </si>
  <si>
    <t>AYAKTA YOLCU BÖLGESİNİN RAC YE UZAKLIĞI</t>
  </si>
  <si>
    <t>AYAKTA YOLCU BÖLGESİ ALANI</t>
  </si>
  <si>
    <t>YOK</t>
  </si>
  <si>
    <t>ANNEX NUMARASI</t>
  </si>
  <si>
    <t>ARAÇ TİPİ</t>
  </si>
  <si>
    <t>HD</t>
  </si>
  <si>
    <t>7. BÖLGE KOLTUKLARI (KAYAR KOLTUK)</t>
  </si>
  <si>
    <t>ANA  BÖLÜM</t>
  </si>
  <si>
    <t>GİRDİ BÖLÜMÜ</t>
  </si>
  <si>
    <t>KOLTUK ADEDİ</t>
  </si>
  <si>
    <t>TOPLAM YOLCU</t>
  </si>
  <si>
    <t>ORTA ŞASİ 1. BAGAJ BÖLGESİ</t>
  </si>
  <si>
    <t>ORTA ŞASİ 2. BAGAJ BÖLGESİ</t>
  </si>
  <si>
    <t>ORTA ŞASİ 3. BAGAJ BÖLGESİ</t>
  </si>
  <si>
    <t>WHEEL BASE</t>
  </si>
  <si>
    <t>KOLTUKSUZ ÖN AKS AĞIRLIĞI</t>
  </si>
  <si>
    <t>KOLTUKSUZ ARKA AKS AĞIRLIĞI</t>
  </si>
  <si>
    <t>KOLTUKSUZ TOPLAM AĞIRLIK</t>
  </si>
  <si>
    <t>KOLTUKLU ÖN AKS AĞIRLIĞI</t>
  </si>
  <si>
    <t>KOLTUKLU ARKA AKS AĞIRLIĞI</t>
  </si>
  <si>
    <t>KOLTUKLU TOPLAM AĞIRLIK</t>
  </si>
  <si>
    <t>ORTA ŞASİ 1. BAGAJ BÖLGESİ FİZİKİ HACİM</t>
  </si>
  <si>
    <t>ORTA ŞASİ 2. BAGAJ BÖLGESİ FİZİKİ HACİM</t>
  </si>
  <si>
    <t>ORTA ŞASİ 3. BAGAJ BÖLGESİ FİZİKİ HACİM</t>
  </si>
  <si>
    <t>GENEL ARAÇ BİLGİSİ</t>
  </si>
  <si>
    <t>KUVVET</t>
  </si>
  <si>
    <t>3. BÖLGE KOLTUKLARI MOMENTI</t>
  </si>
  <si>
    <t>2. BÖLGE KOLTUKLARI MOMENTI</t>
  </si>
  <si>
    <t>1. BÖLGE KOLTUKLARI MOMENTI</t>
  </si>
  <si>
    <t>4. BÖLGE KOLTUKLARI MOMENTI</t>
  </si>
  <si>
    <t>5. BÖLGE KOLTUKLARI MOMENTI</t>
  </si>
  <si>
    <t>6. BÖLGE KOLTUKLARI MOMENTI</t>
  </si>
  <si>
    <t>7. BÖLGE KOLTUKLARI (KAYAR KOLTUK) MOMENTI</t>
  </si>
  <si>
    <t>8. BÖLGE KOLTUKLARI MOMENTI</t>
  </si>
  <si>
    <t>KUVVET MOMENTI</t>
  </si>
  <si>
    <t>AYAKTA YOLCU BÖLGESİNİN RAC YE UZAKLIĞI MOMENTI</t>
  </si>
  <si>
    <t>WC MOMENTI</t>
  </si>
  <si>
    <t>MUTFAK MOMENTI</t>
  </si>
  <si>
    <t>MUTFAK KUVVET</t>
  </si>
  <si>
    <t>WC KUVVET</t>
  </si>
  <si>
    <t>HOSTES KUVVET</t>
  </si>
  <si>
    <t>HOSTES MOMENTI</t>
  </si>
  <si>
    <t>ORTA ŞASİ 1. BAGAJ BÖLGESİ MOMENTI</t>
  </si>
  <si>
    <t>ORTA ŞASİ 2. BAGAJ BÖLGESİ MOMENTI</t>
  </si>
  <si>
    <t>ORTA ŞASİ 3. BAGAJ BÖLGESİ MOMENTI</t>
  </si>
  <si>
    <t>WESTFALIA ON AKS AĞIRLIĞI</t>
  </si>
  <si>
    <t>WESTALIA ARKA AKS AĞIRLIĞI</t>
  </si>
  <si>
    <t>WESTFALIA TOPLAM AĞIRLIĞI</t>
  </si>
  <si>
    <t>ROCKINGER ON  AKS AĞIRLIĞI</t>
  </si>
  <si>
    <t>ROCKINGER ARKA AKS AĞIRLIĞI</t>
  </si>
  <si>
    <t>ROCKINGER TOPLAM AĞIRLIĞI</t>
  </si>
  <si>
    <t>MOMENTLERDEN DOLAYI ÖN AKS TOPLAM GELEN YÜKLER</t>
  </si>
  <si>
    <t>MOMENTLERDEN DOLAYI ARKA AKS TOPLAM GELEN YÜKLER</t>
  </si>
  <si>
    <t>MOMENTLERDEN DOLAYI TOPLAM GELEN YÜKLER</t>
  </si>
  <si>
    <t>MOMENT VE AĞIRLIK HESAP BÖLGESİ</t>
  </si>
  <si>
    <t>M</t>
  </si>
  <si>
    <t>K</t>
  </si>
  <si>
    <t>RAC TUVALET</t>
  </si>
  <si>
    <t>RAC MUTFAK</t>
  </si>
  <si>
    <t>RAC HOSTES KOLTUĞU</t>
  </si>
  <si>
    <t xml:space="preserve">ÖN AKS </t>
  </si>
  <si>
    <t>ARKA AKS</t>
  </si>
  <si>
    <t>TOPLAM</t>
  </si>
  <si>
    <t>ÖN AKS ALUMINYUM JANT</t>
  </si>
  <si>
    <t>ARKA AKS ALUMINYUM JANT</t>
  </si>
  <si>
    <t>TOPLAM ALUMINYUM JANT</t>
  </si>
  <si>
    <t>ÖN AKS ALUMINYUM JANT+WETFALIA</t>
  </si>
  <si>
    <t>ARKA AKS ALUMINYUM JANT+ WESTFALIA</t>
  </si>
  <si>
    <t>TOPLAM ALUMINYUM JANT+ WESTFALIA</t>
  </si>
  <si>
    <t>ÖN AKS + ROCKINGER</t>
  </si>
  <si>
    <t>ÖN AKS + WESTFALIA</t>
  </si>
  <si>
    <t>ARKA AKS + WESTFALIA</t>
  </si>
  <si>
    <t>TOPLAM + WESTALIA</t>
  </si>
  <si>
    <t>ARKA AKS + ROCKINGER</t>
  </si>
  <si>
    <t>TOPLAM + ROCKINGER</t>
  </si>
  <si>
    <t>ÖN AKS ALUMINYUM JANT + ROCKINGER</t>
  </si>
  <si>
    <t>ARKA AKS ALUMINYUM JANT + ROCKINGER</t>
  </si>
  <si>
    <t>TOPLAM ALUMINYUM JANT + ROCKINGER</t>
  </si>
  <si>
    <t>ÇEKİ KANCASI</t>
  </si>
  <si>
    <t>SONUÇLAR</t>
  </si>
  <si>
    <t>Türkiye</t>
  </si>
  <si>
    <t>Almanya</t>
  </si>
  <si>
    <t>İtalya</t>
  </si>
  <si>
    <t>Belçika</t>
  </si>
  <si>
    <t>Fransa</t>
  </si>
  <si>
    <t>ORTA ŞASİ 4. BAGAJ BÖLGESİ</t>
  </si>
  <si>
    <t>ORTA ŞASİ 4. BAGAJ BÖLGESİ FİZİKİ HACİM</t>
  </si>
  <si>
    <t>Elle giriş yapılmayacak</t>
  </si>
  <si>
    <t>Giriş yapılacak bölgeler</t>
  </si>
  <si>
    <t>Uzaklıklar negatif girilecek</t>
  </si>
  <si>
    <t>HOSTES KOLTUĞU ADEDİ</t>
  </si>
  <si>
    <t>COC ye yazılacak değerler</t>
  </si>
  <si>
    <t>Liftli araçta buraya giriş yapılacak.</t>
  </si>
  <si>
    <t>Koltuk Ağırlıkları</t>
  </si>
  <si>
    <t>OK</t>
  </si>
  <si>
    <t>N/OK</t>
  </si>
  <si>
    <t>ANNEX-HD13-57</t>
  </si>
  <si>
    <t>63+1+1</t>
  </si>
  <si>
    <t>III</t>
  </si>
  <si>
    <t>6 m^2</t>
  </si>
  <si>
    <t>62+1+1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</si>
</sst>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70C0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8"/>
      <color theme="0"/>
      <name val="Calibri"/>
      <family val="2"/>
      <charset val="162"/>
      <scheme val="minor"/>
    </font>
    <font>
      <sz val="10"/>
      <color theme="3" tint="-0.249977111117893"/>
      <name val="Arial"/>
      <family val="2"/>
      <charset val="162"/>
    </font>
    <font>
      <sz val="11"/>
      <color theme="3" tint="-0.249977111117893"/>
      <name val="Calibri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Border="1"/>
    <xf numFmtId="0" fontId="1" fillId="4" borderId="0" xfId="0" applyFont="1" applyFill="1" applyBorder="1"/>
    <xf numFmtId="0" fontId="2" fillId="0" borderId="0" xfId="0" applyFont="1" applyBorder="1"/>
    <xf numFmtId="0" fontId="3" fillId="2" borderId="0" xfId="0" applyFont="1" applyFill="1" applyBorder="1"/>
    <xf numFmtId="0" fontId="4" fillId="0" borderId="0" xfId="0" applyFont="1" applyFill="1" applyBorder="1"/>
    <xf numFmtId="0" fontId="2" fillId="0" borderId="0" xfId="0" applyFont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1" fontId="2" fillId="10" borderId="0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1" fontId="2" fillId="0" borderId="0" xfId="0" applyNumberFormat="1" applyFont="1" applyBorder="1" applyAlignment="1">
      <alignment vertical="center"/>
    </xf>
    <xf numFmtId="0" fontId="5" fillId="0" borderId="0" xfId="0" applyNumberFormat="1" applyFont="1" applyFill="1" applyBorder="1" applyAlignment="1">
      <alignment vertical="center" textRotation="1" wrapText="1"/>
    </xf>
    <xf numFmtId="0" fontId="2" fillId="13" borderId="0" xfId="0" applyFont="1" applyFill="1" applyBorder="1" applyAlignment="1">
      <alignment vertical="center"/>
    </xf>
    <xf numFmtId="2" fontId="2" fillId="3" borderId="0" xfId="0" applyNumberFormat="1" applyFont="1" applyFill="1" applyBorder="1" applyAlignment="1">
      <alignment horizontal="center"/>
    </xf>
    <xf numFmtId="1" fontId="2" fillId="7" borderId="0" xfId="0" applyNumberFormat="1" applyFont="1" applyFill="1" applyBorder="1" applyAlignment="1">
      <alignment vertical="center"/>
    </xf>
    <xf numFmtId="2" fontId="1" fillId="4" borderId="0" xfId="0" applyNumberFormat="1" applyFont="1" applyFill="1" applyBorder="1" applyAlignment="1">
      <alignment horizontal="center" shrinkToFit="1"/>
    </xf>
    <xf numFmtId="0" fontId="1" fillId="14" borderId="0" xfId="0" applyFont="1" applyFill="1" applyBorder="1"/>
    <xf numFmtId="2" fontId="2" fillId="0" borderId="0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2" fontId="9" fillId="3" borderId="0" xfId="0" applyNumberFormat="1" applyFont="1" applyFill="1" applyBorder="1" applyAlignment="1">
      <alignment horizontal="center" textRotation="90"/>
    </xf>
    <xf numFmtId="2" fontId="9" fillId="0" borderId="0" xfId="0" applyNumberFormat="1" applyFont="1" applyBorder="1" applyAlignment="1">
      <alignment horizontal="center" textRotation="90"/>
    </xf>
    <xf numFmtId="2" fontId="10" fillId="4" borderId="0" xfId="0" applyNumberFormat="1" applyFont="1" applyFill="1" applyBorder="1" applyAlignment="1">
      <alignment horizontal="center" textRotation="90"/>
    </xf>
    <xf numFmtId="2" fontId="9" fillId="8" borderId="0" xfId="0" applyNumberFormat="1" applyFont="1" applyFill="1" applyBorder="1" applyAlignment="1">
      <alignment horizontal="center" textRotation="90"/>
    </xf>
    <xf numFmtId="2" fontId="9" fillId="6" borderId="0" xfId="0" applyNumberFormat="1" applyFont="1" applyFill="1" applyBorder="1" applyAlignment="1">
      <alignment horizontal="center" textRotation="90"/>
    </xf>
    <xf numFmtId="2" fontId="9" fillId="11" borderId="0" xfId="0" applyNumberFormat="1" applyFont="1" applyFill="1" applyBorder="1" applyAlignment="1">
      <alignment horizontal="center" textRotation="90"/>
    </xf>
    <xf numFmtId="2" fontId="9" fillId="5" borderId="0" xfId="0" applyNumberFormat="1" applyFont="1" applyFill="1" applyBorder="1" applyAlignment="1">
      <alignment horizontal="center" textRotation="90" shrinkToFit="1"/>
    </xf>
    <xf numFmtId="2" fontId="10" fillId="4" borderId="0" xfId="0" applyNumberFormat="1" applyFont="1" applyFill="1" applyBorder="1" applyAlignment="1">
      <alignment horizontal="center" textRotation="90" shrinkToFit="1"/>
    </xf>
    <xf numFmtId="2" fontId="9" fillId="3" borderId="0" xfId="0" applyNumberFormat="1" applyFont="1" applyFill="1" applyBorder="1" applyAlignment="1">
      <alignment horizontal="center" textRotation="90" shrinkToFit="1"/>
    </xf>
    <xf numFmtId="2" fontId="9" fillId="0" borderId="0" xfId="0" applyNumberFormat="1" applyFont="1" applyBorder="1" applyAlignment="1">
      <alignment horizontal="center" textRotation="90" shrinkToFit="1"/>
    </xf>
    <xf numFmtId="2" fontId="9" fillId="8" borderId="0" xfId="0" applyNumberFormat="1" applyFont="1" applyFill="1" applyBorder="1" applyAlignment="1">
      <alignment horizontal="center" textRotation="90" shrinkToFit="1"/>
    </xf>
    <xf numFmtId="2" fontId="9" fillId="9" borderId="0" xfId="0" applyNumberFormat="1" applyFont="1" applyFill="1" applyBorder="1" applyAlignment="1">
      <alignment horizontal="center" textRotation="90" shrinkToFit="1"/>
    </xf>
    <xf numFmtId="0" fontId="11" fillId="16" borderId="0" xfId="0" applyFont="1" applyFill="1" applyBorder="1"/>
    <xf numFmtId="2" fontId="9" fillId="0" borderId="0" xfId="0" applyNumberFormat="1" applyFont="1" applyBorder="1" applyAlignment="1">
      <alignment horizontal="center" textRotation="90" wrapText="1"/>
    </xf>
    <xf numFmtId="2" fontId="9" fillId="0" borderId="0" xfId="0" applyNumberFormat="1" applyFont="1" applyBorder="1" applyAlignment="1">
      <alignment horizontal="center" wrapText="1"/>
    </xf>
    <xf numFmtId="0" fontId="12" fillId="0" borderId="0" xfId="0" applyFont="1" applyFill="1" applyBorder="1"/>
    <xf numFmtId="0" fontId="4" fillId="1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M18"/>
  <sheetViews>
    <sheetView tabSelected="1" view="pageBreakPreview" topLeftCell="CE9" zoomScale="60" zoomScaleNormal="85" workbookViewId="0">
      <selection activeCell="DL13" sqref="DL13"/>
    </sheetView>
  </sheetViews>
  <sheetFormatPr defaultColWidth="8.88671875" defaultRowHeight="16.2" customHeight="1"/>
  <cols>
    <col min="1" max="1" width="15" style="9" hidden="1" customWidth="1"/>
    <col min="2" max="2" width="4.33203125" style="9" customWidth="1"/>
    <col min="3" max="3" width="3.44140625" style="9" bestFit="1" customWidth="1"/>
    <col min="4" max="4" width="8.44140625" style="9" customWidth="1"/>
    <col min="5" max="5" width="10.44140625" style="9" customWidth="1"/>
    <col min="6" max="7" width="4.6640625" style="9" bestFit="1" customWidth="1"/>
    <col min="8" max="8" width="3.21875" style="9" bestFit="1" customWidth="1"/>
    <col min="9" max="9" width="4.6640625" style="9" customWidth="1"/>
    <col min="10" max="11" width="3.109375" style="9" customWidth="1"/>
    <col min="12" max="12" width="3.6640625" style="9" customWidth="1"/>
    <col min="13" max="13" width="3.109375" style="9" customWidth="1"/>
    <col min="14" max="14" width="3.5546875" style="9" customWidth="1"/>
    <col min="15" max="15" width="5.6640625" style="9" customWidth="1"/>
    <col min="16" max="16" width="5" style="9" customWidth="1"/>
    <col min="17" max="17" width="5.6640625" style="9" customWidth="1"/>
    <col min="18" max="20" width="5" style="9" customWidth="1"/>
    <col min="21" max="21" width="5.6640625" style="9" customWidth="1"/>
    <col min="22" max="22" width="5" style="9" customWidth="1"/>
    <col min="23" max="23" width="5.109375" style="9" customWidth="1"/>
    <col min="24" max="26" width="5" style="9" customWidth="1"/>
    <col min="27" max="27" width="3.5546875" style="9" customWidth="1"/>
    <col min="28" max="28" width="5" style="9" customWidth="1"/>
    <col min="29" max="29" width="3.5546875" style="9" customWidth="1"/>
    <col min="30" max="30" width="5.109375" style="9" customWidth="1"/>
    <col min="31" max="31" width="7.6640625" style="9" customWidth="1"/>
    <col min="32" max="32" width="3.5546875" style="9" customWidth="1"/>
    <col min="33" max="35" width="5" style="9" customWidth="1"/>
    <col min="36" max="36" width="3.5546875" style="9" customWidth="1"/>
    <col min="37" max="37" width="7.33203125" style="9" customWidth="1"/>
    <col min="38" max="38" width="3.5546875" style="9" customWidth="1"/>
    <col min="39" max="39" width="7.33203125" style="9" customWidth="1"/>
    <col min="40" max="40" width="3.5546875" style="9" customWidth="1"/>
    <col min="41" max="41" width="8.44140625" style="9" customWidth="1"/>
    <col min="42" max="42" width="3.5546875" style="9" customWidth="1"/>
    <col min="43" max="43" width="8.109375" style="9" customWidth="1"/>
    <col min="44" max="44" width="5.109375" style="9" customWidth="1"/>
    <col min="45" max="45" width="7" style="9" customWidth="1"/>
    <col min="46" max="46" width="5.109375" style="9" customWidth="1"/>
    <col min="47" max="47" width="6.109375" style="9" customWidth="1"/>
    <col min="48" max="48" width="5" style="9" customWidth="1"/>
    <col min="49" max="49" width="6" style="9" customWidth="1"/>
    <col min="50" max="50" width="8.33203125" style="9" customWidth="1"/>
    <col min="51" max="54" width="3.5546875" style="9" customWidth="1"/>
    <col min="55" max="55" width="8.6640625" style="9" customWidth="1"/>
    <col min="56" max="56" width="4" style="9" bestFit="1" customWidth="1"/>
    <col min="57" max="57" width="7.6640625" style="9" customWidth="1"/>
    <col min="58" max="58" width="4" style="9" customWidth="1"/>
    <col min="59" max="59" width="8" style="9" customWidth="1"/>
    <col min="60" max="60" width="5" style="9" customWidth="1"/>
    <col min="61" max="61" width="7.6640625" style="9" customWidth="1"/>
    <col min="62" max="62" width="4" style="9" customWidth="1"/>
    <col min="63" max="63" width="7" style="9" customWidth="1"/>
    <col min="64" max="64" width="4" style="9" customWidth="1"/>
    <col min="65" max="65" width="8" style="9" customWidth="1"/>
    <col min="66" max="66" width="7" style="9" bestFit="1" customWidth="1"/>
    <col min="67" max="70" width="3.6640625" style="9" customWidth="1"/>
    <col min="71" max="72" width="8.44140625" style="9" customWidth="1"/>
    <col min="73" max="73" width="8.6640625" style="9" bestFit="1" customWidth="1"/>
    <col min="74" max="74" width="4" style="9" bestFit="1" customWidth="1"/>
    <col min="75" max="75" width="7.33203125" style="9" customWidth="1"/>
    <col min="76" max="76" width="4" style="9" bestFit="1" customWidth="1"/>
    <col min="77" max="77" width="7.33203125" style="9" customWidth="1"/>
    <col min="78" max="78" width="3.6640625" style="9" customWidth="1"/>
    <col min="79" max="79" width="7.33203125" style="9" customWidth="1"/>
    <col min="80" max="80" width="3.6640625" style="9" customWidth="1"/>
    <col min="81" max="81" width="7.33203125" style="9" customWidth="1"/>
    <col min="82" max="82" width="4" style="9" customWidth="1"/>
    <col min="83" max="83" width="7.33203125" style="9" customWidth="1"/>
    <col min="84" max="84" width="3.88671875" style="9" customWidth="1"/>
    <col min="85" max="85" width="7.33203125" style="9" customWidth="1"/>
    <col min="86" max="86" width="8.88671875" style="9" customWidth="1"/>
    <col min="87" max="87" width="4.6640625" style="9" customWidth="1"/>
    <col min="88" max="89" width="4" style="9" bestFit="1" customWidth="1"/>
    <col min="90" max="90" width="4.6640625" style="9" customWidth="1"/>
    <col min="91" max="92" width="4" style="9" bestFit="1" customWidth="1"/>
    <col min="93" max="95" width="5" style="9" customWidth="1"/>
    <col min="96" max="98" width="6.6640625" style="9" customWidth="1"/>
    <col min="99" max="101" width="5.6640625" style="9" customWidth="1"/>
    <col min="102" max="102" width="5.6640625" style="9" bestFit="1" customWidth="1"/>
    <col min="103" max="103" width="3.6640625" style="9" customWidth="1"/>
    <col min="104" max="104" width="5.109375" style="9" bestFit="1" customWidth="1"/>
    <col min="105" max="106" width="6.109375" style="9" bestFit="1" customWidth="1"/>
    <col min="107" max="109" width="5.6640625" style="9" customWidth="1"/>
    <col min="110" max="111" width="5.6640625" style="9" bestFit="1" customWidth="1"/>
    <col min="112" max="112" width="5.109375" style="9" bestFit="1" customWidth="1"/>
    <col min="113" max="114" width="6.109375" style="9" bestFit="1" customWidth="1"/>
    <col min="115" max="117" width="5.6640625" style="9" customWidth="1"/>
    <col min="118" max="119" width="5.6640625" style="9" bestFit="1" customWidth="1"/>
    <col min="120" max="120" width="5.109375" style="9" bestFit="1" customWidth="1"/>
    <col min="121" max="122" width="6.109375" style="9" bestFit="1" customWidth="1"/>
    <col min="123" max="125" width="5.6640625" style="9" customWidth="1"/>
    <col min="126" max="127" width="5.6640625" style="9" bestFit="1" customWidth="1"/>
    <col min="128" max="128" width="5.109375" style="9" bestFit="1" customWidth="1"/>
    <col min="129" max="130" width="6.109375" style="9" bestFit="1" customWidth="1"/>
    <col min="131" max="133" width="5.6640625" style="9" customWidth="1"/>
    <col min="134" max="135" width="5.6640625" style="9" bestFit="1" customWidth="1"/>
    <col min="136" max="136" width="5.109375" style="9" bestFit="1" customWidth="1"/>
    <col min="137" max="138" width="6.109375" style="9" bestFit="1" customWidth="1"/>
    <col min="139" max="141" width="5.6640625" style="9" customWidth="1"/>
    <col min="142" max="143" width="5.6640625" style="9" bestFit="1" customWidth="1"/>
    <col min="144" max="16384" width="8.88671875" style="9"/>
  </cols>
  <sheetData>
    <row r="1" spans="1:143" ht="16.2" hidden="1" customHeight="1">
      <c r="E1" s="8" t="s">
        <v>104</v>
      </c>
    </row>
    <row r="2" spans="1:143" ht="16.2" hidden="1" customHeight="1">
      <c r="E2" s="12" t="s">
        <v>105</v>
      </c>
    </row>
    <row r="3" spans="1:143" ht="16.2" hidden="1" customHeight="1">
      <c r="E3" s="13" t="s">
        <v>106</v>
      </c>
    </row>
    <row r="4" spans="1:143" ht="16.2" hidden="1" customHeight="1">
      <c r="E4" s="15" t="s">
        <v>109</v>
      </c>
      <c r="CG4" s="18" t="s">
        <v>111</v>
      </c>
      <c r="CH4" s="18" t="s">
        <v>112</v>
      </c>
    </row>
    <row r="5" spans="1:143" ht="16.2" hidden="1" customHeight="1">
      <c r="E5" s="14" t="s">
        <v>108</v>
      </c>
    </row>
    <row r="6" spans="1:143" ht="16.2" hidden="1" customHeight="1"/>
    <row r="7" spans="1:143" s="1" customFormat="1" ht="14.4" hidden="1">
      <c r="L7" s="16" t="s">
        <v>110</v>
      </c>
      <c r="M7" s="16"/>
      <c r="N7" s="16">
        <v>11</v>
      </c>
      <c r="O7" s="16"/>
      <c r="P7" s="16">
        <v>14.5</v>
      </c>
      <c r="Q7" s="16"/>
      <c r="R7" s="16">
        <v>14.5</v>
      </c>
      <c r="S7" s="16"/>
      <c r="T7" s="16">
        <v>14.5</v>
      </c>
      <c r="U7" s="16"/>
      <c r="V7" s="16">
        <v>14.5</v>
      </c>
      <c r="W7" s="16"/>
      <c r="X7" s="16">
        <v>14.5</v>
      </c>
      <c r="Y7" s="16"/>
      <c r="Z7" s="16">
        <v>17.5</v>
      </c>
      <c r="AA7" s="16"/>
      <c r="AB7" s="16">
        <v>14.5</v>
      </c>
      <c r="AD7" s="3">
        <v>71</v>
      </c>
    </row>
    <row r="8" spans="1:143" s="1" customFormat="1" ht="14.4" hidden="1">
      <c r="Z8" s="2"/>
      <c r="BC8" s="4" t="s">
        <v>72</v>
      </c>
      <c r="BD8" s="1" t="s">
        <v>73</v>
      </c>
      <c r="BE8" s="4" t="s">
        <v>72</v>
      </c>
      <c r="BF8" s="1" t="s">
        <v>73</v>
      </c>
      <c r="BG8" s="4" t="s">
        <v>72</v>
      </c>
      <c r="BH8" s="1" t="s">
        <v>73</v>
      </c>
      <c r="BI8" s="4" t="s">
        <v>72</v>
      </c>
      <c r="BJ8" s="1" t="s">
        <v>73</v>
      </c>
      <c r="BK8" s="4" t="s">
        <v>72</v>
      </c>
      <c r="BL8" s="1" t="s">
        <v>73</v>
      </c>
      <c r="BM8" s="4" t="s">
        <v>72</v>
      </c>
      <c r="BN8" s="1" t="s">
        <v>73</v>
      </c>
      <c r="BO8" s="4" t="s">
        <v>72</v>
      </c>
      <c r="BP8" s="1" t="s">
        <v>73</v>
      </c>
      <c r="BQ8" s="4" t="s">
        <v>72</v>
      </c>
      <c r="BR8" s="1" t="s">
        <v>73</v>
      </c>
      <c r="BS8" s="4" t="s">
        <v>72</v>
      </c>
      <c r="BT8" s="1" t="s">
        <v>73</v>
      </c>
      <c r="BU8" s="4" t="s">
        <v>72</v>
      </c>
      <c r="BV8" s="1" t="s">
        <v>73</v>
      </c>
      <c r="BW8" s="4" t="s">
        <v>72</v>
      </c>
      <c r="BX8" s="1" t="s">
        <v>73</v>
      </c>
      <c r="BY8" s="4" t="s">
        <v>72</v>
      </c>
      <c r="BZ8" s="1" t="s">
        <v>73</v>
      </c>
      <c r="CA8" s="4" t="s">
        <v>72</v>
      </c>
      <c r="CB8" s="1" t="s">
        <v>73</v>
      </c>
      <c r="CC8" s="4" t="s">
        <v>72</v>
      </c>
      <c r="CD8" s="1" t="s">
        <v>73</v>
      </c>
      <c r="CE8" s="4" t="s">
        <v>72</v>
      </c>
      <c r="CF8" s="1" t="s">
        <v>73</v>
      </c>
      <c r="CG8" s="4" t="s">
        <v>72</v>
      </c>
      <c r="CI8" s="36" t="s">
        <v>95</v>
      </c>
      <c r="CJ8" s="36"/>
      <c r="CK8" s="36"/>
      <c r="CL8" s="36"/>
      <c r="CM8" s="36"/>
      <c r="CN8" s="36"/>
    </row>
    <row r="9" spans="1:143" s="5" customFormat="1" ht="18">
      <c r="A9" s="38" t="s">
        <v>24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40" t="s">
        <v>25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1"/>
      <c r="AQ9" s="41"/>
      <c r="AR9" s="37" t="s">
        <v>41</v>
      </c>
      <c r="AS9" s="37"/>
      <c r="AT9" s="37"/>
      <c r="AU9" s="37"/>
      <c r="AV9" s="37"/>
      <c r="AW9" s="37"/>
      <c r="AX9" s="37"/>
      <c r="AY9" s="37"/>
      <c r="AZ9" s="37"/>
      <c r="BA9" s="37"/>
      <c r="BB9" s="35"/>
      <c r="BC9" s="39" t="s">
        <v>71</v>
      </c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7" t="s">
        <v>96</v>
      </c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</row>
    <row r="10" spans="1:143" s="33" customFormat="1" ht="150" customHeight="1">
      <c r="A10" s="32" t="s">
        <v>20</v>
      </c>
      <c r="B10" s="32" t="s">
        <v>21</v>
      </c>
      <c r="C10" s="32" t="s">
        <v>0</v>
      </c>
      <c r="D10" s="32" t="s">
        <v>1</v>
      </c>
      <c r="E10" s="32" t="s">
        <v>26</v>
      </c>
      <c r="F10" s="32" t="s">
        <v>2</v>
      </c>
      <c r="G10" s="32" t="s">
        <v>3</v>
      </c>
      <c r="H10" s="32" t="s">
        <v>4</v>
      </c>
      <c r="I10" s="32" t="s">
        <v>5</v>
      </c>
      <c r="J10" s="32" t="s">
        <v>6</v>
      </c>
      <c r="K10" s="32" t="s">
        <v>7</v>
      </c>
      <c r="L10" s="32" t="s">
        <v>8</v>
      </c>
      <c r="M10" s="32" t="s">
        <v>107</v>
      </c>
      <c r="N10" s="19" t="s">
        <v>9</v>
      </c>
      <c r="O10" s="19" t="s">
        <v>10</v>
      </c>
      <c r="P10" s="19" t="s">
        <v>11</v>
      </c>
      <c r="Q10" s="19" t="s">
        <v>10</v>
      </c>
      <c r="R10" s="20" t="s">
        <v>12</v>
      </c>
      <c r="S10" s="20" t="s">
        <v>10</v>
      </c>
      <c r="T10" s="19" t="s">
        <v>13</v>
      </c>
      <c r="U10" s="19" t="s">
        <v>10</v>
      </c>
      <c r="V10" s="20" t="s">
        <v>14</v>
      </c>
      <c r="W10" s="20" t="s">
        <v>10</v>
      </c>
      <c r="X10" s="20" t="s">
        <v>15</v>
      </c>
      <c r="Y10" s="20" t="s">
        <v>10</v>
      </c>
      <c r="Z10" s="21" t="s">
        <v>23</v>
      </c>
      <c r="AA10" s="21" t="s">
        <v>10</v>
      </c>
      <c r="AB10" s="21" t="s">
        <v>16</v>
      </c>
      <c r="AC10" s="21" t="s">
        <v>10</v>
      </c>
      <c r="AD10" s="20" t="s">
        <v>17</v>
      </c>
      <c r="AE10" s="20" t="s">
        <v>18</v>
      </c>
      <c r="AF10" s="20" t="s">
        <v>27</v>
      </c>
      <c r="AG10" s="20" t="s">
        <v>74</v>
      </c>
      <c r="AH10" s="20" t="s">
        <v>75</v>
      </c>
      <c r="AI10" s="20" t="s">
        <v>76</v>
      </c>
      <c r="AJ10" s="22" t="s">
        <v>28</v>
      </c>
      <c r="AK10" s="22" t="s">
        <v>10</v>
      </c>
      <c r="AL10" s="22" t="s">
        <v>29</v>
      </c>
      <c r="AM10" s="22" t="s">
        <v>10</v>
      </c>
      <c r="AN10" s="22" t="s">
        <v>30</v>
      </c>
      <c r="AO10" s="22" t="s">
        <v>10</v>
      </c>
      <c r="AP10" s="22" t="s">
        <v>102</v>
      </c>
      <c r="AQ10" s="22" t="s">
        <v>10</v>
      </c>
      <c r="AR10" s="20" t="s">
        <v>31</v>
      </c>
      <c r="AS10" s="20" t="s">
        <v>32</v>
      </c>
      <c r="AT10" s="20" t="s">
        <v>33</v>
      </c>
      <c r="AU10" s="20" t="s">
        <v>34</v>
      </c>
      <c r="AV10" s="20" t="s">
        <v>35</v>
      </c>
      <c r="AW10" s="20" t="s">
        <v>36</v>
      </c>
      <c r="AX10" s="20" t="s">
        <v>37</v>
      </c>
      <c r="AY10" s="23" t="s">
        <v>38</v>
      </c>
      <c r="AZ10" s="23" t="s">
        <v>39</v>
      </c>
      <c r="BA10" s="23" t="s">
        <v>40</v>
      </c>
      <c r="BB10" s="23" t="s">
        <v>103</v>
      </c>
      <c r="BC10" s="27" t="s">
        <v>45</v>
      </c>
      <c r="BD10" s="27" t="s">
        <v>42</v>
      </c>
      <c r="BE10" s="27" t="s">
        <v>44</v>
      </c>
      <c r="BF10" s="27" t="s">
        <v>42</v>
      </c>
      <c r="BG10" s="28" t="s">
        <v>43</v>
      </c>
      <c r="BH10" s="28" t="s">
        <v>42</v>
      </c>
      <c r="BI10" s="27" t="s">
        <v>46</v>
      </c>
      <c r="BJ10" s="27" t="s">
        <v>42</v>
      </c>
      <c r="BK10" s="28" t="s">
        <v>47</v>
      </c>
      <c r="BL10" s="28" t="s">
        <v>42</v>
      </c>
      <c r="BM10" s="28" t="s">
        <v>48</v>
      </c>
      <c r="BN10" s="28" t="s">
        <v>42</v>
      </c>
      <c r="BO10" s="26" t="s">
        <v>49</v>
      </c>
      <c r="BP10" s="26" t="s">
        <v>42</v>
      </c>
      <c r="BQ10" s="28" t="s">
        <v>50</v>
      </c>
      <c r="BR10" s="28" t="s">
        <v>51</v>
      </c>
      <c r="BS10" s="28" t="s">
        <v>52</v>
      </c>
      <c r="BT10" s="28" t="s">
        <v>42</v>
      </c>
      <c r="BU10" s="29" t="s">
        <v>59</v>
      </c>
      <c r="BV10" s="29" t="s">
        <v>42</v>
      </c>
      <c r="BW10" s="29" t="s">
        <v>60</v>
      </c>
      <c r="BX10" s="29" t="s">
        <v>42</v>
      </c>
      <c r="BY10" s="29" t="s">
        <v>61</v>
      </c>
      <c r="BZ10" s="29" t="s">
        <v>42</v>
      </c>
      <c r="CA10" s="29" t="s">
        <v>61</v>
      </c>
      <c r="CB10" s="29" t="s">
        <v>42</v>
      </c>
      <c r="CC10" s="28" t="s">
        <v>53</v>
      </c>
      <c r="CD10" s="28" t="s">
        <v>56</v>
      </c>
      <c r="CE10" s="28" t="s">
        <v>54</v>
      </c>
      <c r="CF10" s="28" t="s">
        <v>55</v>
      </c>
      <c r="CG10" s="28" t="s">
        <v>58</v>
      </c>
      <c r="CH10" s="28" t="s">
        <v>57</v>
      </c>
      <c r="CI10" s="30" t="s">
        <v>62</v>
      </c>
      <c r="CJ10" s="30" t="s">
        <v>63</v>
      </c>
      <c r="CK10" s="30" t="s">
        <v>64</v>
      </c>
      <c r="CL10" s="30" t="s">
        <v>65</v>
      </c>
      <c r="CM10" s="30" t="s">
        <v>66</v>
      </c>
      <c r="CN10" s="30" t="s">
        <v>67</v>
      </c>
      <c r="CO10" s="25" t="s">
        <v>68</v>
      </c>
      <c r="CP10" s="25" t="s">
        <v>69</v>
      </c>
      <c r="CQ10" s="25" t="s">
        <v>70</v>
      </c>
      <c r="CR10" s="24" t="s">
        <v>77</v>
      </c>
      <c r="CS10" s="24" t="s">
        <v>78</v>
      </c>
      <c r="CT10" s="24" t="s">
        <v>79</v>
      </c>
      <c r="CU10" s="24" t="s">
        <v>97</v>
      </c>
      <c r="CV10" s="24" t="s">
        <v>98</v>
      </c>
      <c r="CW10" s="24" t="s">
        <v>99</v>
      </c>
      <c r="CX10" s="24" t="s">
        <v>100</v>
      </c>
      <c r="CY10" s="24" t="s">
        <v>101</v>
      </c>
      <c r="CZ10" s="20" t="s">
        <v>80</v>
      </c>
      <c r="DA10" s="20" t="s">
        <v>81</v>
      </c>
      <c r="DB10" s="20" t="s">
        <v>82</v>
      </c>
      <c r="DC10" s="20" t="s">
        <v>97</v>
      </c>
      <c r="DD10" s="20" t="s">
        <v>98</v>
      </c>
      <c r="DE10" s="20" t="s">
        <v>99</v>
      </c>
      <c r="DF10" s="20" t="s">
        <v>100</v>
      </c>
      <c r="DG10" s="20" t="s">
        <v>101</v>
      </c>
      <c r="DH10" s="24" t="s">
        <v>87</v>
      </c>
      <c r="DI10" s="24" t="s">
        <v>88</v>
      </c>
      <c r="DJ10" s="24" t="s">
        <v>89</v>
      </c>
      <c r="DK10" s="24" t="s">
        <v>97</v>
      </c>
      <c r="DL10" s="24" t="s">
        <v>98</v>
      </c>
      <c r="DM10" s="24" t="s">
        <v>99</v>
      </c>
      <c r="DN10" s="24" t="s">
        <v>100</v>
      </c>
      <c r="DO10" s="24" t="s">
        <v>101</v>
      </c>
      <c r="DP10" s="20" t="s">
        <v>83</v>
      </c>
      <c r="DQ10" s="20" t="s">
        <v>84</v>
      </c>
      <c r="DR10" s="20" t="s">
        <v>85</v>
      </c>
      <c r="DS10" s="20" t="s">
        <v>97</v>
      </c>
      <c r="DT10" s="20" t="s">
        <v>98</v>
      </c>
      <c r="DU10" s="20" t="s">
        <v>99</v>
      </c>
      <c r="DV10" s="20" t="s">
        <v>100</v>
      </c>
      <c r="DW10" s="20" t="s">
        <v>101</v>
      </c>
      <c r="DX10" s="24" t="s">
        <v>86</v>
      </c>
      <c r="DY10" s="24" t="s">
        <v>90</v>
      </c>
      <c r="DZ10" s="24" t="s">
        <v>91</v>
      </c>
      <c r="EA10" s="24" t="s">
        <v>97</v>
      </c>
      <c r="EB10" s="24" t="s">
        <v>98</v>
      </c>
      <c r="EC10" s="24" t="s">
        <v>99</v>
      </c>
      <c r="ED10" s="24" t="s">
        <v>100</v>
      </c>
      <c r="EE10" s="24" t="s">
        <v>101</v>
      </c>
      <c r="EF10" s="20" t="s">
        <v>92</v>
      </c>
      <c r="EG10" s="20" t="s">
        <v>93</v>
      </c>
      <c r="EH10" s="20" t="s">
        <v>94</v>
      </c>
      <c r="EI10" s="20" t="s">
        <v>97</v>
      </c>
      <c r="EJ10" s="20" t="s">
        <v>98</v>
      </c>
      <c r="EK10" s="20" t="s">
        <v>99</v>
      </c>
      <c r="EL10" s="20" t="s">
        <v>100</v>
      </c>
      <c r="EM10" s="20" t="s">
        <v>101</v>
      </c>
    </row>
    <row r="11" spans="1:143" s="17" customFormat="1" ht="14.4">
      <c r="A11" s="34" t="s">
        <v>113</v>
      </c>
      <c r="B11" s="12" t="s">
        <v>22</v>
      </c>
      <c r="C11" s="12">
        <v>13</v>
      </c>
      <c r="D11" s="31">
        <v>1850</v>
      </c>
      <c r="E11" s="8" t="str">
        <f t="shared" ref="E11" si="0">""&amp;AF11&amp;"+1+1"</f>
        <v>63+1+1</v>
      </c>
      <c r="F11" s="31" t="s">
        <v>19</v>
      </c>
      <c r="G11" s="31" t="s">
        <v>19</v>
      </c>
      <c r="H11" s="8">
        <f t="shared" ref="H11" si="1">AJ11+AL11+AN11+AP11</f>
        <v>0</v>
      </c>
      <c r="I11" s="12" t="s">
        <v>19</v>
      </c>
      <c r="J11" s="12">
        <v>0</v>
      </c>
      <c r="K11" s="12" t="str">
        <f t="shared" ref="K11" si="2">IF(L11=0,"III","II")</f>
        <v>III</v>
      </c>
      <c r="L11" s="12">
        <v>0</v>
      </c>
      <c r="M11" s="12">
        <v>1</v>
      </c>
      <c r="N11" s="31">
        <v>5</v>
      </c>
      <c r="O11" s="31">
        <v>-2855</v>
      </c>
      <c r="P11" s="31">
        <v>8</v>
      </c>
      <c r="Q11" s="31">
        <v>-1113</v>
      </c>
      <c r="R11" s="31">
        <v>22</v>
      </c>
      <c r="S11" s="31">
        <v>4067</v>
      </c>
      <c r="T11" s="31">
        <v>8</v>
      </c>
      <c r="U11" s="31">
        <v>-1113</v>
      </c>
      <c r="V11" s="31">
        <v>4</v>
      </c>
      <c r="W11" s="31">
        <v>962</v>
      </c>
      <c r="X11" s="31">
        <v>16</v>
      </c>
      <c r="Y11" s="31">
        <v>5346</v>
      </c>
      <c r="Z11" s="12">
        <v>0</v>
      </c>
      <c r="AA11" s="12">
        <v>0</v>
      </c>
      <c r="AB11" s="12">
        <v>0</v>
      </c>
      <c r="AC11" s="12">
        <v>0</v>
      </c>
      <c r="AD11" s="8">
        <f t="shared" ref="AD11" si="3">IF(C11=12,2718,3115)</f>
        <v>3115</v>
      </c>
      <c r="AE11" s="8" t="str">
        <f t="shared" ref="AE11" si="4">IF(C11=12,"5,4 m^2","6 m^2")</f>
        <v>6 m^2</v>
      </c>
      <c r="AF11" s="8">
        <f t="shared" ref="AF11" si="5">N11+P11+R11+T11+V11+X11+Z11+AB11</f>
        <v>63</v>
      </c>
      <c r="AG11" s="8">
        <f t="shared" ref="AG11" si="6">D11+1200</f>
        <v>3050</v>
      </c>
      <c r="AH11" s="8">
        <f t="shared" ref="AH11" si="7">D11-26</f>
        <v>1824</v>
      </c>
      <c r="AI11" s="8">
        <f t="shared" ref="AI11" si="8">IF(C11=13,8547,7747)</f>
        <v>8547</v>
      </c>
      <c r="AJ11" s="12">
        <v>0</v>
      </c>
      <c r="AK11" s="8">
        <f>IF(C11=12,(AR11-700-1313/2),(AR11-700-1313/2))</f>
        <v>5543.5</v>
      </c>
      <c r="AL11" s="12">
        <v>0</v>
      </c>
      <c r="AM11" s="8">
        <f>IF(C11=12,(900+D11+((AR11-D11-700-1313-900)/2)),(900+D11+((AR11-D11-700-1313-900)/2)))</f>
        <v>3818.5</v>
      </c>
      <c r="AN11" s="12">
        <v>0</v>
      </c>
      <c r="AO11" s="8">
        <f t="shared" ref="AO11" si="9">D11+450</f>
        <v>2300</v>
      </c>
      <c r="AP11" s="12">
        <v>0</v>
      </c>
      <c r="AQ11" s="8">
        <f t="shared" ref="AQ11" si="10">990+(D11-990)/2</f>
        <v>1420</v>
      </c>
      <c r="AR11" s="14">
        <f t="shared" ref="AR11" si="11">IF(C11=12,6100,6900)</f>
        <v>6900</v>
      </c>
      <c r="AS11" s="14">
        <f t="shared" ref="AS11" si="12">IF(C11=12,(IF(I11="YOK",4065,4358)),(IF(I11="YOK",4276,4536)))</f>
        <v>4276</v>
      </c>
      <c r="AT11" s="14">
        <f t="shared" ref="AT11" si="13">IF(C11=12,(IF(I11="YOK",8523,8558)),(IF(I11="YOK",8587,8655)))</f>
        <v>8587</v>
      </c>
      <c r="AU11" s="14">
        <f t="shared" ref="AU11" si="14">AS11+AT11</f>
        <v>12863</v>
      </c>
      <c r="AV11" s="14">
        <f t="shared" ref="AV11:AV18" si="15">AS11+(N11*O11*N$7+P11*Q11*P$7+R11*S11*R$7+T11*U11*T$7+V11*W11*V$7+X11*Y11*X$7+Z11*AA11*Z$7*AB11*AC11*AB$7)/AR11</f>
        <v>4591.68115942029</v>
      </c>
      <c r="AW11" s="14">
        <f t="shared" ref="AW11:AW18" si="16">AX11-AV11</f>
        <v>9167.31884057971</v>
      </c>
      <c r="AX11" s="14">
        <f t="shared" ref="AX11" si="17">AU11+(N11*N$7+P11*P$7+R11*R$7+T11*T$7+V11*V$7+X11*X$7+Z11*Z$7+AB11*AB$7)</f>
        <v>13759</v>
      </c>
      <c r="AY11" s="7"/>
      <c r="AZ11" s="7"/>
      <c r="BA11" s="7"/>
      <c r="BB11" s="7"/>
      <c r="BC11" s="6">
        <f t="shared" ref="BC11:BC18" si="18">O11*BD11</f>
        <v>-1013525</v>
      </c>
      <c r="BD11" s="6">
        <f t="shared" ref="BD11:BD18" si="19">N11*$AD$7</f>
        <v>355</v>
      </c>
      <c r="BE11" s="6">
        <f t="shared" ref="BE11:BE18" si="20">Q11*BF11</f>
        <v>-632184</v>
      </c>
      <c r="BF11" s="6">
        <f t="shared" ref="BF11" si="21">P11*$AD$7</f>
        <v>568</v>
      </c>
      <c r="BG11" s="6">
        <f t="shared" ref="BG11:BG18" si="22">S11*BH11</f>
        <v>6352654</v>
      </c>
      <c r="BH11" s="6">
        <f t="shared" ref="BH11" si="23">R11*$AD$7</f>
        <v>1562</v>
      </c>
      <c r="BI11" s="6">
        <f t="shared" ref="BI11:BI18" si="24">U11*BJ11</f>
        <v>-632184</v>
      </c>
      <c r="BJ11" s="6">
        <f t="shared" ref="BJ11" si="25">T11*$AD$7</f>
        <v>568</v>
      </c>
      <c r="BK11" s="6">
        <f t="shared" ref="BK11:BK18" si="26">W11*BL11</f>
        <v>273208</v>
      </c>
      <c r="BL11" s="6">
        <f t="shared" ref="BL11" si="27">V11*$AD$7</f>
        <v>284</v>
      </c>
      <c r="BM11" s="6">
        <f t="shared" ref="BM11:BM18" si="28">Y11*BN11</f>
        <v>6073056</v>
      </c>
      <c r="BN11" s="6">
        <f t="shared" ref="BN11" si="29">X11*$AD$7</f>
        <v>1136</v>
      </c>
      <c r="BO11" s="6">
        <f t="shared" ref="BO11" si="30">AA11*BP11</f>
        <v>0</v>
      </c>
      <c r="BP11" s="6">
        <f t="shared" ref="BP11" si="31">Z11*$AD$7</f>
        <v>0</v>
      </c>
      <c r="BQ11" s="6">
        <f t="shared" ref="BQ11" si="32">AC11*BR11</f>
        <v>0</v>
      </c>
      <c r="BR11" s="6">
        <f t="shared" ref="BR11" si="33">AB11*$AD$7</f>
        <v>0</v>
      </c>
      <c r="BS11" s="6">
        <f t="shared" ref="BS11" si="34">AD11*BT11</f>
        <v>0</v>
      </c>
      <c r="BT11" s="6">
        <f t="shared" ref="BT11" si="35">L11*$AD$7</f>
        <v>0</v>
      </c>
      <c r="BU11" s="6">
        <f t="shared" ref="BU11:BU18" si="36">AK11*BV11</f>
        <v>0</v>
      </c>
      <c r="BV11" s="6">
        <f t="shared" ref="BV11:BV18" si="37">AJ11*100</f>
        <v>0</v>
      </c>
      <c r="BW11" s="6">
        <f t="shared" ref="BW11:BW18" si="38">AM11*BX11</f>
        <v>0</v>
      </c>
      <c r="BX11" s="6">
        <f t="shared" ref="BX11:BX18" si="39">AL11*100</f>
        <v>0</v>
      </c>
      <c r="BY11" s="6">
        <f t="shared" ref="BY11:BY18" si="40">AO11*BZ11</f>
        <v>0</v>
      </c>
      <c r="BZ11" s="6">
        <f t="shared" ref="BZ11:BZ18" si="41">AN11*100</f>
        <v>0</v>
      </c>
      <c r="CA11" s="6">
        <f t="shared" ref="CA11:CA18" si="42">AQ11*CB11</f>
        <v>0</v>
      </c>
      <c r="CB11" s="6">
        <f t="shared" ref="CB11:CB18" si="43">AP11*100</f>
        <v>0</v>
      </c>
      <c r="CC11" s="6">
        <f t="shared" ref="CC11" si="44">AG11*CD11</f>
        <v>0</v>
      </c>
      <c r="CD11" s="6">
        <f t="shared" ref="CD11" si="45">IF(F11="VAR",110,0)</f>
        <v>0</v>
      </c>
      <c r="CE11" s="6">
        <f t="shared" ref="CE11" si="46">CF11*AH11</f>
        <v>0</v>
      </c>
      <c r="CF11" s="6">
        <f t="shared" ref="CF11" si="47">IF(G11="VAR",64,0)</f>
        <v>0</v>
      </c>
      <c r="CG11" s="6">
        <f t="shared" ref="CG11:CG18" si="48">AI11*CH11</f>
        <v>641025</v>
      </c>
      <c r="CH11" s="6">
        <f t="shared" ref="CH11" si="49">M11*75</f>
        <v>75</v>
      </c>
      <c r="CI11" s="6">
        <v>-101</v>
      </c>
      <c r="CJ11" s="6">
        <v>301</v>
      </c>
      <c r="CK11" s="6">
        <f t="shared" ref="CK11" si="50">CI11+CJ11</f>
        <v>200</v>
      </c>
      <c r="CL11" s="6">
        <v>-151</v>
      </c>
      <c r="CM11" s="6">
        <v>451</v>
      </c>
      <c r="CN11" s="6">
        <f t="shared" ref="CN11:CN18" si="51">CL11+CM11</f>
        <v>300</v>
      </c>
      <c r="CO11" s="10">
        <f t="shared" ref="CO11:CO18" si="52">(BC11+BE11+BG11+BI11+BK11+BM11+BO11+BQ11+BS11+BU11+BW11+BY11+CA11+CC11+CC11+CE11+CG11)/AR11</f>
        <v>1603.195652173913</v>
      </c>
      <c r="CP11" s="10">
        <f t="shared" ref="CP11:CP18" si="53">CQ11-CO11</f>
        <v>2840.804347826087</v>
      </c>
      <c r="CQ11" s="10">
        <f>BD11+BF11+BH11+BJ11+BL11+BN11+BP11+BR11+BT11+BV11+BX11+BZ11+CB11+CD11+CF11-29</f>
        <v>4444</v>
      </c>
      <c r="CR11" s="10">
        <f t="shared" ref="CR11:CR18" si="54">AV11+CO11</f>
        <v>6194.876811594203</v>
      </c>
      <c r="CS11" s="10">
        <f t="shared" ref="CS11:CS18" si="55">AW11+CP11</f>
        <v>12008.123188405796</v>
      </c>
      <c r="CT11" s="10">
        <f t="shared" ref="CT11" si="56">CR11+CS11</f>
        <v>18203</v>
      </c>
      <c r="CU11" s="11" t="str">
        <f t="shared" ref="CU11:CU18" si="57">IF(AND($CR11 &lt;=7100,$CS11 &lt;=11500, $CT11 &lt;=18000),"OK","N/OK")</f>
        <v>N/OK</v>
      </c>
      <c r="CV11" s="11" t="str">
        <f t="shared" ref="CV11:CV18" si="58">IF(AND($CR11 &lt;=7100,$CS11 &lt;=11500, $CT11 &lt;=19500),"OK","N/OK")</f>
        <v>N/OK</v>
      </c>
      <c r="CW11" s="11" t="str">
        <f t="shared" ref="CW11:CW18" si="59">IF(AND($CR11 &lt;=7100,$CS11 &lt;=12000, $CT11 &lt;=18000),"OK","N/OK")</f>
        <v>N/OK</v>
      </c>
      <c r="CX11" s="11" t="str">
        <f t="shared" ref="CX11:CX18" si="60">IF(AND($CR11 &lt;=7100,$CS11 &lt;=12000, $CT11 &lt;=19000),"OK","N/OK")</f>
        <v>N/OK</v>
      </c>
      <c r="CY11" s="11" t="str">
        <f t="shared" ref="CY11:CY18" si="61">IF(AND($CR11 &lt;=7100,$CS11 &lt;=12300, $CT11 &lt;=19000),"OK","N/OK")</f>
        <v>OK</v>
      </c>
      <c r="CZ11" s="10">
        <f t="shared" ref="CZ11:CZ18" si="62">CR11-44</f>
        <v>6150.876811594203</v>
      </c>
      <c r="DA11" s="10">
        <f t="shared" ref="DA11:DA18" si="63">CS11-88</f>
        <v>11920.123188405796</v>
      </c>
      <c r="DB11" s="10">
        <f t="shared" ref="DB11" si="64">CZ11+DA11</f>
        <v>18071</v>
      </c>
      <c r="DC11" s="11" t="str">
        <f t="shared" ref="DC11:DD18" si="65">IF(AND($CZ11 &lt;=7100,$DA11 &lt;=11500, $DB11 &lt;=18000),"OK","N/OK")</f>
        <v>N/OK</v>
      </c>
      <c r="DD11" s="11" t="str">
        <f t="shared" si="65"/>
        <v>N/OK</v>
      </c>
      <c r="DE11" s="11" t="str">
        <f t="shared" ref="DE11:DE18" si="66">IF(AND($CZ11 &lt;=7100,$DA11 &lt;=12000, $DB11 &lt;=18000),"OK","N/OK")</f>
        <v>N/OK</v>
      </c>
      <c r="DF11" s="11" t="str">
        <f t="shared" ref="DF11:DF18" si="67">IF(AND($CZ11 &lt;=7100,$DA11 &lt;=12000, $DB11 &lt;=19000),"OK","N/OK")</f>
        <v>OK</v>
      </c>
      <c r="DG11" s="11" t="str">
        <f t="shared" ref="DG11:DG18" si="68">IF(AND($CZ11 &lt;=7100,$DA11 &lt;=12300, $DB11 &lt;=19000),"OK","N/OK")</f>
        <v>OK</v>
      </c>
      <c r="DH11" s="10">
        <f t="shared" ref="DH11:DH18" si="69">CR11+CI11</f>
        <v>6093.876811594203</v>
      </c>
      <c r="DI11" s="10">
        <f t="shared" ref="DI11:DI18" si="70">CS11+CJ11</f>
        <v>12309.123188405796</v>
      </c>
      <c r="DJ11" s="10">
        <f t="shared" ref="DJ11:DJ18" si="71">DH11+DI11</f>
        <v>18403</v>
      </c>
      <c r="DK11" s="11" t="str">
        <f t="shared" ref="DK11:DK18" si="72">IF(AND($DH11 &lt;=7100,$DI11 &lt;=11500, $DJ11 &lt;=18000),"OK","N/OK")</f>
        <v>N/OK</v>
      </c>
      <c r="DL11" s="11" t="str">
        <f t="shared" ref="DL11:DL18" si="73">IF(AND($DH11 &lt;=7100,$DI11 &lt;=11500, $DJ11 &lt;=19500),"OK","N/OK")</f>
        <v>N/OK</v>
      </c>
      <c r="DM11" s="11" t="str">
        <f t="shared" ref="DM11:DM18" si="74">IF(AND($DH11 &lt;=7100,$DI11 &lt;=12000, $DJ11 &lt;=18000),"OK","N/OK")</f>
        <v>N/OK</v>
      </c>
      <c r="DN11" s="11" t="str">
        <f t="shared" ref="DN11:DN18" si="75">IF(AND($DH11 &lt;=7100,$DI11 &lt;=12000, $DJ11 &lt;=19000),"OK","N/OK")</f>
        <v>N/OK</v>
      </c>
      <c r="DO11" s="11" t="str">
        <f t="shared" ref="DO11:DO18" si="76">IF(AND($DH11 &lt;=7100,$DI11 &lt;=12300, $DJ11 &lt;=19000),"OK","N/OK")</f>
        <v>N/OK</v>
      </c>
      <c r="DP11" s="10">
        <f t="shared" ref="DP11:DP18" si="77">DH11-44</f>
        <v>6049.876811594203</v>
      </c>
      <c r="DQ11" s="10">
        <f t="shared" ref="DQ11:DQ18" si="78">DI11-88</f>
        <v>12221.123188405796</v>
      </c>
      <c r="DR11" s="10">
        <f t="shared" ref="DR11:DR18" si="79">DP11+DQ11</f>
        <v>18271</v>
      </c>
      <c r="DS11" s="11" t="str">
        <f t="shared" ref="DS11:DS18" si="80">IF(AND($DP11 &lt;=7100,$DQ11 &lt;=11500, $DR11 &lt;=18000),"OK","N/OK")</f>
        <v>N/OK</v>
      </c>
      <c r="DT11" s="11" t="str">
        <f t="shared" ref="DT11:DT18" si="81">IF(AND($DP11 &lt;=7100,$DQ11 &lt;=11500, $DR11 &lt;=19500),"OK","N/OK")</f>
        <v>N/OK</v>
      </c>
      <c r="DU11" s="11" t="str">
        <f t="shared" ref="DU11:DU18" si="82">IF(AND($DP11 &lt;=7100,$DQ11 &lt;=12000, $DR11 &lt;=18000),"OK","N/OK")</f>
        <v>N/OK</v>
      </c>
      <c r="DV11" s="11" t="str">
        <f t="shared" ref="DV11:DV18" si="83">IF(AND($DP11 &lt;=7100,$DQ11 &lt;=12000, $DR11 &lt;=19000),"OK","N/OK")</f>
        <v>N/OK</v>
      </c>
      <c r="DW11" s="11" t="str">
        <f t="shared" ref="DW11:DW18" si="84">IF(AND($DP11 &lt;=7100,$DQ11 &lt;=12300, $DR11 &lt;=19000),"OK","N/OK")</f>
        <v>OK</v>
      </c>
      <c r="DX11" s="10">
        <f t="shared" ref="DX11:DX18" si="85">CR11+CL11</f>
        <v>6043.876811594203</v>
      </c>
      <c r="DY11" s="10">
        <f t="shared" ref="DY11:DY18" si="86">DQ11+CM11</f>
        <v>12672.123188405796</v>
      </c>
      <c r="DZ11" s="10">
        <f t="shared" ref="DZ11:DZ18" si="87">DX11+DY11</f>
        <v>18716</v>
      </c>
      <c r="EA11" s="11" t="str">
        <f t="shared" ref="EA11:EA18" si="88">IF(AND($DX11 &lt;=7100,$DY11 &lt;=11500, $DZ11 &lt;=18000),"OK","N/OK")</f>
        <v>N/OK</v>
      </c>
      <c r="EB11" s="11" t="str">
        <f t="shared" ref="EB11:EB18" si="89">IF(AND($DX11 &lt;=7100,$DY11 &lt;=11500, $DZ11 &lt;=19500),"OK","N/OK")</f>
        <v>N/OK</v>
      </c>
      <c r="EC11" s="11" t="str">
        <f t="shared" ref="EC11:EC18" si="90">IF(AND($DX11 &lt;=7100,$DY11 &lt;=12000, $DZ11 &lt;=18000),"OK","N/OK")</f>
        <v>N/OK</v>
      </c>
      <c r="ED11" s="11" t="str">
        <f t="shared" ref="ED11:ED18" si="91">IF(AND($DX11 &lt;=7100,$DY11 &lt;=12000, $DZ11 &lt;=19000),"OK","N/OK")</f>
        <v>N/OK</v>
      </c>
      <c r="EE11" s="11" t="str">
        <f t="shared" ref="EE11:EE18" si="92">IF(AND($DX11 &lt;=7100,$DY11 &lt;=12300, $DZ11 &lt;=19000),"OK","N/OK")</f>
        <v>N/OK</v>
      </c>
      <c r="EF11" s="10">
        <f t="shared" ref="EF11:EF18" si="93">DX11-44</f>
        <v>5999.876811594203</v>
      </c>
      <c r="EG11" s="10">
        <f t="shared" ref="EG11:EG18" si="94">DY11-88</f>
        <v>12584.123188405796</v>
      </c>
      <c r="EH11" s="10">
        <f t="shared" ref="EH11:EH18" si="95">EF11+EG11</f>
        <v>18584</v>
      </c>
      <c r="EI11" s="11" t="str">
        <f t="shared" ref="EI11:EI18" si="96">IF(AND($EF11 &lt;=7100,$EG11 &lt;=11500, $EH11 &lt;=18000),"OK","N/OK")</f>
        <v>N/OK</v>
      </c>
      <c r="EJ11" s="11" t="str">
        <f t="shared" ref="EJ11:EJ18" si="97">IF(AND($EF11 &lt;=7100,$EG11 &lt;=11500, $EH11 &lt;=19500),"OK","N/OK")</f>
        <v>N/OK</v>
      </c>
      <c r="EK11" s="11" t="str">
        <f t="shared" ref="EK11:EK18" si="98">IF(AND($EF11 &lt;=7100,$EG11 &lt;=12000, $EH11 &lt;=18000),"OK","N/OK")</f>
        <v>N/OK</v>
      </c>
      <c r="EL11" s="11" t="str">
        <f t="shared" ref="EL11:EL18" si="99">IF(AND($EF11 &lt;=7100,$EG11 &lt;=12000, $EH11 &lt;=19000),"OK","N/OK")</f>
        <v>N/OK</v>
      </c>
      <c r="EM11" s="11" t="str">
        <f t="shared" ref="EM11:EM18" si="100">IF(AND($EF11 &lt;=7100,$EG11 &lt;=12300, $EH11 &lt;=19000),"OK","N/OK")</f>
        <v>N/OK</v>
      </c>
    </row>
    <row r="12" spans="1:143" s="17" customFormat="1" ht="14.4">
      <c r="A12" s="34" t="s">
        <v>113</v>
      </c>
      <c r="B12" s="12" t="s">
        <v>22</v>
      </c>
      <c r="C12" s="12">
        <v>13</v>
      </c>
      <c r="D12" s="31">
        <v>1850</v>
      </c>
      <c r="E12" s="8" t="str">
        <f t="shared" ref="E12" si="101">""&amp;AF12&amp;"+1+1"</f>
        <v>62+1+1</v>
      </c>
      <c r="F12" s="31" t="s">
        <v>19</v>
      </c>
      <c r="G12" s="31" t="s">
        <v>19</v>
      </c>
      <c r="H12" s="8">
        <f t="shared" ref="H12:H18" si="102">AJ12+AL12+AN12+AP12</f>
        <v>0</v>
      </c>
      <c r="I12" s="12" t="s">
        <v>19</v>
      </c>
      <c r="J12" s="12">
        <v>0</v>
      </c>
      <c r="K12" s="12" t="str">
        <f t="shared" ref="K12" si="103">IF(L12=0,"III","II")</f>
        <v>III</v>
      </c>
      <c r="L12" s="12">
        <v>0</v>
      </c>
      <c r="M12" s="12">
        <v>1</v>
      </c>
      <c r="N12" s="31">
        <v>4</v>
      </c>
      <c r="O12" s="31">
        <v>-2855</v>
      </c>
      <c r="P12" s="31">
        <v>8</v>
      </c>
      <c r="Q12" s="31">
        <v>-1113</v>
      </c>
      <c r="R12" s="31">
        <v>22</v>
      </c>
      <c r="S12" s="31">
        <v>4067</v>
      </c>
      <c r="T12" s="31">
        <v>8</v>
      </c>
      <c r="U12" s="31">
        <v>-1113</v>
      </c>
      <c r="V12" s="31">
        <v>4</v>
      </c>
      <c r="W12" s="31">
        <v>962</v>
      </c>
      <c r="X12" s="31">
        <v>16</v>
      </c>
      <c r="Y12" s="31">
        <v>5346</v>
      </c>
      <c r="Z12" s="12">
        <v>0</v>
      </c>
      <c r="AA12" s="12">
        <v>0</v>
      </c>
      <c r="AB12" s="12">
        <v>0</v>
      </c>
      <c r="AC12" s="12">
        <v>0</v>
      </c>
      <c r="AD12" s="8">
        <f t="shared" ref="AD12" si="104">IF(C12=12,2718,3115)</f>
        <v>3115</v>
      </c>
      <c r="AE12" s="8" t="str">
        <f t="shared" ref="AE12" si="105">IF(C12=12,"5,4 m^2","6 m^2")</f>
        <v>6 m^2</v>
      </c>
      <c r="AF12" s="8">
        <f t="shared" ref="AF12" si="106">N12+P12+R12+T12+V12+X12+Z12+AB12</f>
        <v>62</v>
      </c>
      <c r="AG12" s="8">
        <f t="shared" ref="AG12" si="107">D12+1200</f>
        <v>3050</v>
      </c>
      <c r="AH12" s="8">
        <f t="shared" ref="AH12" si="108">D12-26</f>
        <v>1824</v>
      </c>
      <c r="AI12" s="8">
        <f t="shared" ref="AI12" si="109">IF(C12=13,8547,7747)</f>
        <v>8547</v>
      </c>
      <c r="AJ12" s="12">
        <v>0</v>
      </c>
      <c r="AK12" s="8">
        <f>IF(C12=12,(AR12-700-1313/2),(AR12-700-1313/2))</f>
        <v>5543.5</v>
      </c>
      <c r="AL12" s="12">
        <v>0</v>
      </c>
      <c r="AM12" s="8">
        <f>IF(C12=12,(900+D12+((AR12-D12-700-1313-900)/2)),(900+D12+((AR12-D12-700-1313-900)/2)))</f>
        <v>3818.5</v>
      </c>
      <c r="AN12" s="12">
        <v>0</v>
      </c>
      <c r="AO12" s="8">
        <f t="shared" ref="AO12" si="110">D12+450</f>
        <v>2300</v>
      </c>
      <c r="AP12" s="12">
        <v>0</v>
      </c>
      <c r="AQ12" s="8">
        <f t="shared" ref="AQ12" si="111">990+(D12-990)/2</f>
        <v>1420</v>
      </c>
      <c r="AR12" s="14">
        <f t="shared" ref="AR12" si="112">IF(C12=12,6100,6900)</f>
        <v>6900</v>
      </c>
      <c r="AS12" s="14">
        <f t="shared" ref="AS12" si="113">IF(C12=12,(IF(I12="YOK",4065,4358)),(IF(I12="YOK",4276,4536)))</f>
        <v>4276</v>
      </c>
      <c r="AT12" s="14">
        <f t="shared" ref="AT12" si="114">IF(C12=12,(IF(I12="YOK",8523,8558)),(IF(I12="YOK",8587,8655)))</f>
        <v>8587</v>
      </c>
      <c r="AU12" s="14">
        <f t="shared" ref="AU12" si="115">AS12+AT12</f>
        <v>12863</v>
      </c>
      <c r="AV12" s="14">
        <f t="shared" si="15"/>
        <v>4596.2326086956518</v>
      </c>
      <c r="AW12" s="14">
        <f t="shared" si="16"/>
        <v>9151.7673913043473</v>
      </c>
      <c r="AX12" s="14">
        <f t="shared" ref="AX12" si="116">AU12+(N12*N$7+P12*P$7+R12*R$7+T12*T$7+V12*V$7+X12*X$7+Z12*Z$7+AB12*AB$7)</f>
        <v>13748</v>
      </c>
      <c r="AY12" s="7"/>
      <c r="AZ12" s="7"/>
      <c r="BA12" s="7"/>
      <c r="BB12" s="7"/>
      <c r="BC12" s="6">
        <f t="shared" si="18"/>
        <v>-810820</v>
      </c>
      <c r="BD12" s="6">
        <f t="shared" si="19"/>
        <v>284</v>
      </c>
      <c r="BE12" s="6">
        <f t="shared" si="20"/>
        <v>-632184</v>
      </c>
      <c r="BF12" s="6">
        <f t="shared" ref="BF12" si="117">P12*$AD$7</f>
        <v>568</v>
      </c>
      <c r="BG12" s="6">
        <f t="shared" si="22"/>
        <v>6352654</v>
      </c>
      <c r="BH12" s="6">
        <f t="shared" ref="BH12" si="118">R12*$AD$7</f>
        <v>1562</v>
      </c>
      <c r="BI12" s="6">
        <f t="shared" si="24"/>
        <v>-632184</v>
      </c>
      <c r="BJ12" s="6">
        <f t="shared" ref="BJ12" si="119">T12*$AD$7</f>
        <v>568</v>
      </c>
      <c r="BK12" s="6">
        <f t="shared" si="26"/>
        <v>273208</v>
      </c>
      <c r="BL12" s="6">
        <f t="shared" ref="BL12" si="120">V12*$AD$7</f>
        <v>284</v>
      </c>
      <c r="BM12" s="6">
        <f t="shared" si="28"/>
        <v>6073056</v>
      </c>
      <c r="BN12" s="6">
        <f t="shared" ref="BN12" si="121">X12*$AD$7</f>
        <v>1136</v>
      </c>
      <c r="BO12" s="6">
        <f t="shared" ref="BO12" si="122">AA12*BP12</f>
        <v>0</v>
      </c>
      <c r="BP12" s="6">
        <f t="shared" ref="BP12" si="123">Z12*$AD$7</f>
        <v>0</v>
      </c>
      <c r="BQ12" s="6">
        <f t="shared" ref="BQ12" si="124">AC12*BR12</f>
        <v>0</v>
      </c>
      <c r="BR12" s="6">
        <f t="shared" ref="BR12" si="125">AB12*$AD$7</f>
        <v>0</v>
      </c>
      <c r="BS12" s="6">
        <f t="shared" ref="BS12" si="126">AD12*BT12</f>
        <v>0</v>
      </c>
      <c r="BT12" s="6">
        <f t="shared" ref="BT12" si="127">L12*$AD$7</f>
        <v>0</v>
      </c>
      <c r="BU12" s="6">
        <f t="shared" si="36"/>
        <v>0</v>
      </c>
      <c r="BV12" s="6">
        <f t="shared" si="37"/>
        <v>0</v>
      </c>
      <c r="BW12" s="6">
        <f t="shared" si="38"/>
        <v>0</v>
      </c>
      <c r="BX12" s="6">
        <f t="shared" si="39"/>
        <v>0</v>
      </c>
      <c r="BY12" s="6">
        <f t="shared" si="40"/>
        <v>0</v>
      </c>
      <c r="BZ12" s="6">
        <f t="shared" si="41"/>
        <v>0</v>
      </c>
      <c r="CA12" s="6">
        <f t="shared" si="42"/>
        <v>0</v>
      </c>
      <c r="CB12" s="6">
        <f t="shared" si="43"/>
        <v>0</v>
      </c>
      <c r="CC12" s="6">
        <f t="shared" ref="CC12" si="128">AG12*CD12</f>
        <v>0</v>
      </c>
      <c r="CD12" s="6">
        <f t="shared" ref="CD12" si="129">IF(F12="VAR",110,0)</f>
        <v>0</v>
      </c>
      <c r="CE12" s="6">
        <f t="shared" ref="CE12" si="130">CF12*AH12</f>
        <v>0</v>
      </c>
      <c r="CF12" s="6">
        <f t="shared" ref="CF12" si="131">IF(G12="VAR",64,0)</f>
        <v>0</v>
      </c>
      <c r="CG12" s="6">
        <f t="shared" si="48"/>
        <v>641025</v>
      </c>
      <c r="CH12" s="6">
        <f t="shared" ref="CH12" si="132">M12*75</f>
        <v>75</v>
      </c>
      <c r="CI12" s="6">
        <v>-101</v>
      </c>
      <c r="CJ12" s="6">
        <v>301</v>
      </c>
      <c r="CK12" s="6">
        <f t="shared" ref="CK12" si="133">CI12+CJ12</f>
        <v>200</v>
      </c>
      <c r="CL12" s="6">
        <v>-151</v>
      </c>
      <c r="CM12" s="6">
        <v>451</v>
      </c>
      <c r="CN12" s="6">
        <f t="shared" si="51"/>
        <v>300</v>
      </c>
      <c r="CO12" s="10">
        <f t="shared" si="52"/>
        <v>1632.5731884057971</v>
      </c>
      <c r="CP12" s="10">
        <f t="shared" si="53"/>
        <v>2740.4268115942032</v>
      </c>
      <c r="CQ12" s="10">
        <f t="shared" ref="CQ12:CQ18" si="134">BD12+BF12+BH12+BJ12+BL12+BN12+BP12+BR12+BT12+BV12+BX12+BZ12+CB12+CD12+CF12-29</f>
        <v>4373</v>
      </c>
      <c r="CR12" s="10">
        <f t="shared" si="54"/>
        <v>6228.8057971014487</v>
      </c>
      <c r="CS12" s="10">
        <f t="shared" si="55"/>
        <v>11892.19420289855</v>
      </c>
      <c r="CT12" s="10">
        <f t="shared" ref="CT12" si="135">CR12+CS12</f>
        <v>18121</v>
      </c>
      <c r="CU12" s="11" t="str">
        <f t="shared" si="57"/>
        <v>N/OK</v>
      </c>
      <c r="CV12" s="11" t="str">
        <f t="shared" si="58"/>
        <v>N/OK</v>
      </c>
      <c r="CW12" s="11" t="str">
        <f t="shared" si="59"/>
        <v>N/OK</v>
      </c>
      <c r="CX12" s="11" t="str">
        <f t="shared" si="60"/>
        <v>OK</v>
      </c>
      <c r="CY12" s="11" t="str">
        <f t="shared" si="61"/>
        <v>OK</v>
      </c>
      <c r="CZ12" s="10">
        <f t="shared" si="62"/>
        <v>6184.8057971014487</v>
      </c>
      <c r="DA12" s="10">
        <f t="shared" si="63"/>
        <v>11804.19420289855</v>
      </c>
      <c r="DB12" s="10">
        <f t="shared" ref="DB12" si="136">CZ12+DA12</f>
        <v>17989</v>
      </c>
      <c r="DC12" s="11" t="str">
        <f t="shared" si="65"/>
        <v>N/OK</v>
      </c>
      <c r="DD12" s="11" t="str">
        <f t="shared" si="65"/>
        <v>N/OK</v>
      </c>
      <c r="DE12" s="11" t="str">
        <f t="shared" si="66"/>
        <v>OK</v>
      </c>
      <c r="DF12" s="11" t="str">
        <f t="shared" si="67"/>
        <v>OK</v>
      </c>
      <c r="DG12" s="11" t="str">
        <f t="shared" si="68"/>
        <v>OK</v>
      </c>
      <c r="DH12" s="10">
        <f t="shared" si="69"/>
        <v>6127.8057971014487</v>
      </c>
      <c r="DI12" s="10">
        <f t="shared" si="70"/>
        <v>12193.19420289855</v>
      </c>
      <c r="DJ12" s="10">
        <f t="shared" si="71"/>
        <v>18321</v>
      </c>
      <c r="DK12" s="11" t="str">
        <f t="shared" si="72"/>
        <v>N/OK</v>
      </c>
      <c r="DL12" s="11" t="str">
        <f t="shared" si="73"/>
        <v>N/OK</v>
      </c>
      <c r="DM12" s="11" t="str">
        <f t="shared" si="74"/>
        <v>N/OK</v>
      </c>
      <c r="DN12" s="11" t="str">
        <f t="shared" si="75"/>
        <v>N/OK</v>
      </c>
      <c r="DO12" s="11" t="str">
        <f t="shared" si="76"/>
        <v>OK</v>
      </c>
      <c r="DP12" s="10">
        <f t="shared" si="77"/>
        <v>6083.8057971014487</v>
      </c>
      <c r="DQ12" s="10">
        <f t="shared" si="78"/>
        <v>12105.19420289855</v>
      </c>
      <c r="DR12" s="10">
        <f t="shared" si="79"/>
        <v>18189</v>
      </c>
      <c r="DS12" s="11" t="str">
        <f t="shared" si="80"/>
        <v>N/OK</v>
      </c>
      <c r="DT12" s="11" t="str">
        <f t="shared" si="81"/>
        <v>N/OK</v>
      </c>
      <c r="DU12" s="11" t="str">
        <f t="shared" si="82"/>
        <v>N/OK</v>
      </c>
      <c r="DV12" s="11" t="str">
        <f t="shared" si="83"/>
        <v>N/OK</v>
      </c>
      <c r="DW12" s="11" t="str">
        <f t="shared" si="84"/>
        <v>OK</v>
      </c>
      <c r="DX12" s="10">
        <f t="shared" si="85"/>
        <v>6077.8057971014487</v>
      </c>
      <c r="DY12" s="10">
        <f t="shared" si="86"/>
        <v>12556.19420289855</v>
      </c>
      <c r="DZ12" s="10">
        <f t="shared" si="87"/>
        <v>18634</v>
      </c>
      <c r="EA12" s="11" t="str">
        <f t="shared" si="88"/>
        <v>N/OK</v>
      </c>
      <c r="EB12" s="11" t="str">
        <f t="shared" si="89"/>
        <v>N/OK</v>
      </c>
      <c r="EC12" s="11" t="str">
        <f t="shared" si="90"/>
        <v>N/OK</v>
      </c>
      <c r="ED12" s="11" t="str">
        <f t="shared" si="91"/>
        <v>N/OK</v>
      </c>
      <c r="EE12" s="11" t="str">
        <f t="shared" si="92"/>
        <v>N/OK</v>
      </c>
      <c r="EF12" s="10">
        <f t="shared" si="93"/>
        <v>6033.8057971014487</v>
      </c>
      <c r="EG12" s="10">
        <f t="shared" si="94"/>
        <v>12468.19420289855</v>
      </c>
      <c r="EH12" s="10">
        <f t="shared" si="95"/>
        <v>18502</v>
      </c>
      <c r="EI12" s="11" t="str">
        <f t="shared" si="96"/>
        <v>N/OK</v>
      </c>
      <c r="EJ12" s="11" t="str">
        <f t="shared" si="97"/>
        <v>N/OK</v>
      </c>
      <c r="EK12" s="11" t="str">
        <f t="shared" si="98"/>
        <v>N/OK</v>
      </c>
      <c r="EL12" s="11" t="str">
        <f t="shared" si="99"/>
        <v>N/OK</v>
      </c>
      <c r="EM12" s="11" t="str">
        <f t="shared" si="100"/>
        <v>N/OK</v>
      </c>
    </row>
    <row r="13" spans="1:143" s="17" customFormat="1" ht="14.4">
      <c r="A13" s="34" t="s">
        <v>113</v>
      </c>
      <c r="B13" s="12" t="s">
        <v>22</v>
      </c>
      <c r="C13" s="12">
        <v>13</v>
      </c>
      <c r="D13" s="31">
        <v>1850</v>
      </c>
      <c r="E13" s="8" t="s">
        <v>114</v>
      </c>
      <c r="F13" s="31" t="s">
        <v>19</v>
      </c>
      <c r="G13" s="31" t="s">
        <v>19</v>
      </c>
      <c r="H13" s="8">
        <f t="shared" si="102"/>
        <v>2</v>
      </c>
      <c r="I13" s="12" t="s">
        <v>19</v>
      </c>
      <c r="J13" s="12">
        <v>0</v>
      </c>
      <c r="K13" s="12" t="s">
        <v>115</v>
      </c>
      <c r="L13" s="12">
        <v>0</v>
      </c>
      <c r="M13" s="12">
        <v>1</v>
      </c>
      <c r="N13" s="31">
        <v>5</v>
      </c>
      <c r="O13" s="31">
        <v>-2855</v>
      </c>
      <c r="P13" s="31">
        <v>8</v>
      </c>
      <c r="Q13" s="31">
        <v>-1113</v>
      </c>
      <c r="R13" s="31">
        <v>22</v>
      </c>
      <c r="S13" s="31">
        <v>4067</v>
      </c>
      <c r="T13" s="31">
        <v>8</v>
      </c>
      <c r="U13" s="31">
        <v>-1113</v>
      </c>
      <c r="V13" s="31">
        <v>4</v>
      </c>
      <c r="W13" s="31">
        <v>962</v>
      </c>
      <c r="X13" s="31">
        <v>16</v>
      </c>
      <c r="Y13" s="31">
        <v>5346</v>
      </c>
      <c r="Z13" s="12">
        <v>0</v>
      </c>
      <c r="AA13" s="12">
        <v>0</v>
      </c>
      <c r="AB13" s="12">
        <v>0</v>
      </c>
      <c r="AC13" s="12">
        <v>0</v>
      </c>
      <c r="AD13" s="8">
        <v>3115</v>
      </c>
      <c r="AE13" s="8" t="s">
        <v>116</v>
      </c>
      <c r="AF13" s="8">
        <v>63</v>
      </c>
      <c r="AG13" s="8">
        <v>3050</v>
      </c>
      <c r="AH13" s="8">
        <v>1824</v>
      </c>
      <c r="AI13" s="8">
        <v>8547</v>
      </c>
      <c r="AJ13" s="12">
        <v>2</v>
      </c>
      <c r="AK13" s="8">
        <v>5543.5</v>
      </c>
      <c r="AL13" s="12">
        <v>0</v>
      </c>
      <c r="AM13" s="8">
        <v>3818.5</v>
      </c>
      <c r="AN13" s="12">
        <v>0</v>
      </c>
      <c r="AO13" s="8">
        <v>2300</v>
      </c>
      <c r="AP13" s="12">
        <v>0</v>
      </c>
      <c r="AQ13" s="8">
        <v>1420</v>
      </c>
      <c r="AR13" s="14">
        <v>6900</v>
      </c>
      <c r="AS13" s="14">
        <v>4276</v>
      </c>
      <c r="AT13" s="14">
        <v>8587</v>
      </c>
      <c r="AU13" s="14">
        <v>12863</v>
      </c>
      <c r="AV13" s="14">
        <f t="shared" si="15"/>
        <v>4591.68115942029</v>
      </c>
      <c r="AW13" s="14">
        <f t="shared" si="16"/>
        <v>9167.31884057971</v>
      </c>
      <c r="AX13" s="14">
        <v>13759</v>
      </c>
      <c r="AY13" s="7"/>
      <c r="AZ13" s="7"/>
      <c r="BA13" s="7"/>
      <c r="BB13" s="7"/>
      <c r="BC13" s="6">
        <f t="shared" si="18"/>
        <v>-1013525</v>
      </c>
      <c r="BD13" s="6">
        <f t="shared" si="19"/>
        <v>355</v>
      </c>
      <c r="BE13" s="6">
        <f t="shared" si="20"/>
        <v>-632184</v>
      </c>
      <c r="BF13" s="6">
        <v>568</v>
      </c>
      <c r="BG13" s="6">
        <f t="shared" si="22"/>
        <v>6352654</v>
      </c>
      <c r="BH13" s="6">
        <v>1562</v>
      </c>
      <c r="BI13" s="6">
        <f t="shared" si="24"/>
        <v>-632184</v>
      </c>
      <c r="BJ13" s="6">
        <v>568</v>
      </c>
      <c r="BK13" s="6">
        <f t="shared" si="26"/>
        <v>273208</v>
      </c>
      <c r="BL13" s="6">
        <v>284</v>
      </c>
      <c r="BM13" s="6">
        <f t="shared" si="28"/>
        <v>6073056</v>
      </c>
      <c r="BN13" s="6">
        <v>1136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f t="shared" si="36"/>
        <v>1108700</v>
      </c>
      <c r="BV13" s="6">
        <f t="shared" si="37"/>
        <v>200</v>
      </c>
      <c r="BW13" s="6">
        <f t="shared" si="38"/>
        <v>0</v>
      </c>
      <c r="BX13" s="6">
        <f t="shared" si="39"/>
        <v>0</v>
      </c>
      <c r="BY13" s="6">
        <f t="shared" si="40"/>
        <v>0</v>
      </c>
      <c r="BZ13" s="6">
        <f t="shared" si="41"/>
        <v>0</v>
      </c>
      <c r="CA13" s="6">
        <f t="shared" si="42"/>
        <v>0</v>
      </c>
      <c r="CB13" s="6">
        <f t="shared" si="43"/>
        <v>0</v>
      </c>
      <c r="CC13" s="6">
        <v>0</v>
      </c>
      <c r="CD13" s="6">
        <v>0</v>
      </c>
      <c r="CE13" s="6">
        <v>0</v>
      </c>
      <c r="CF13" s="6">
        <v>0</v>
      </c>
      <c r="CG13" s="6">
        <f t="shared" si="48"/>
        <v>641025</v>
      </c>
      <c r="CH13" s="6">
        <v>75</v>
      </c>
      <c r="CI13" s="6">
        <v>-101</v>
      </c>
      <c r="CJ13" s="6">
        <v>301</v>
      </c>
      <c r="CK13" s="6">
        <v>200</v>
      </c>
      <c r="CL13" s="6">
        <v>-151</v>
      </c>
      <c r="CM13" s="6">
        <v>451</v>
      </c>
      <c r="CN13" s="6">
        <f t="shared" si="51"/>
        <v>300</v>
      </c>
      <c r="CO13" s="10">
        <f t="shared" si="52"/>
        <v>1763.876811594203</v>
      </c>
      <c r="CP13" s="10">
        <f t="shared" si="53"/>
        <v>2880.123188405797</v>
      </c>
      <c r="CQ13" s="10">
        <f t="shared" si="134"/>
        <v>4644</v>
      </c>
      <c r="CR13" s="10">
        <f t="shared" si="54"/>
        <v>6355.557971014493</v>
      </c>
      <c r="CS13" s="10">
        <f t="shared" si="55"/>
        <v>12047.442028985508</v>
      </c>
      <c r="CT13" s="10">
        <v>18138</v>
      </c>
      <c r="CU13" s="11" t="str">
        <f t="shared" si="57"/>
        <v>N/OK</v>
      </c>
      <c r="CV13" s="11" t="str">
        <f t="shared" si="58"/>
        <v>N/OK</v>
      </c>
      <c r="CW13" s="11" t="str">
        <f t="shared" si="59"/>
        <v>N/OK</v>
      </c>
      <c r="CX13" s="11" t="str">
        <f t="shared" si="60"/>
        <v>N/OK</v>
      </c>
      <c r="CY13" s="11" t="str">
        <f t="shared" si="61"/>
        <v>OK</v>
      </c>
      <c r="CZ13" s="10">
        <f t="shared" si="62"/>
        <v>6311.557971014493</v>
      </c>
      <c r="DA13" s="10">
        <f t="shared" si="63"/>
        <v>11959.442028985508</v>
      </c>
      <c r="DB13" s="10">
        <v>18006</v>
      </c>
      <c r="DC13" s="11" t="str">
        <f t="shared" si="65"/>
        <v>N/OK</v>
      </c>
      <c r="DD13" s="11" t="str">
        <f t="shared" si="65"/>
        <v>N/OK</v>
      </c>
      <c r="DE13" s="11" t="str">
        <f t="shared" si="66"/>
        <v>N/OK</v>
      </c>
      <c r="DF13" s="11" t="str">
        <f t="shared" si="67"/>
        <v>OK</v>
      </c>
      <c r="DG13" s="11" t="str">
        <f t="shared" si="68"/>
        <v>OK</v>
      </c>
      <c r="DH13" s="10">
        <f t="shared" si="69"/>
        <v>6254.557971014493</v>
      </c>
      <c r="DI13" s="10">
        <f t="shared" si="70"/>
        <v>12348.442028985508</v>
      </c>
      <c r="DJ13" s="10">
        <f t="shared" si="71"/>
        <v>18603</v>
      </c>
      <c r="DK13" s="11" t="str">
        <f t="shared" si="72"/>
        <v>N/OK</v>
      </c>
      <c r="DL13" s="11" t="str">
        <f t="shared" si="73"/>
        <v>N/OK</v>
      </c>
      <c r="DM13" s="11" t="str">
        <f t="shared" si="74"/>
        <v>N/OK</v>
      </c>
      <c r="DN13" s="11" t="str">
        <f t="shared" si="75"/>
        <v>N/OK</v>
      </c>
      <c r="DO13" s="11" t="str">
        <f t="shared" si="76"/>
        <v>N/OK</v>
      </c>
      <c r="DP13" s="10">
        <f t="shared" si="77"/>
        <v>6210.557971014493</v>
      </c>
      <c r="DQ13" s="10">
        <f t="shared" si="78"/>
        <v>12260.442028985508</v>
      </c>
      <c r="DR13" s="10">
        <f t="shared" si="79"/>
        <v>18471</v>
      </c>
      <c r="DS13" s="11" t="str">
        <f t="shared" si="80"/>
        <v>N/OK</v>
      </c>
      <c r="DT13" s="11" t="str">
        <f t="shared" si="81"/>
        <v>N/OK</v>
      </c>
      <c r="DU13" s="11" t="str">
        <f t="shared" si="82"/>
        <v>N/OK</v>
      </c>
      <c r="DV13" s="11" t="str">
        <f t="shared" si="83"/>
        <v>N/OK</v>
      </c>
      <c r="DW13" s="11" t="str">
        <f t="shared" si="84"/>
        <v>OK</v>
      </c>
      <c r="DX13" s="10">
        <f t="shared" si="85"/>
        <v>6204.557971014493</v>
      </c>
      <c r="DY13" s="10">
        <f t="shared" si="86"/>
        <v>12711.442028985508</v>
      </c>
      <c r="DZ13" s="10">
        <f t="shared" si="87"/>
        <v>18916</v>
      </c>
      <c r="EA13" s="11" t="str">
        <f t="shared" si="88"/>
        <v>N/OK</v>
      </c>
      <c r="EB13" s="11" t="str">
        <f t="shared" si="89"/>
        <v>N/OK</v>
      </c>
      <c r="EC13" s="11" t="str">
        <f t="shared" si="90"/>
        <v>N/OK</v>
      </c>
      <c r="ED13" s="11" t="str">
        <f t="shared" si="91"/>
        <v>N/OK</v>
      </c>
      <c r="EE13" s="11" t="str">
        <f t="shared" si="92"/>
        <v>N/OK</v>
      </c>
      <c r="EF13" s="10">
        <f t="shared" si="93"/>
        <v>6160.557971014493</v>
      </c>
      <c r="EG13" s="10">
        <f t="shared" si="94"/>
        <v>12623.442028985508</v>
      </c>
      <c r="EH13" s="10">
        <f t="shared" si="95"/>
        <v>18784</v>
      </c>
      <c r="EI13" s="11" t="str">
        <f t="shared" si="96"/>
        <v>N/OK</v>
      </c>
      <c r="EJ13" s="11" t="str">
        <f t="shared" si="97"/>
        <v>N/OK</v>
      </c>
      <c r="EK13" s="11" t="str">
        <f t="shared" si="98"/>
        <v>N/OK</v>
      </c>
      <c r="EL13" s="11" t="str">
        <f t="shared" si="99"/>
        <v>N/OK</v>
      </c>
      <c r="EM13" s="11" t="str">
        <f t="shared" si="100"/>
        <v>N/OK</v>
      </c>
    </row>
    <row r="14" spans="1:143" s="17" customFormat="1" ht="14.4">
      <c r="A14" s="34" t="s">
        <v>113</v>
      </c>
      <c r="B14" s="12" t="s">
        <v>22</v>
      </c>
      <c r="C14" s="12">
        <v>13</v>
      </c>
      <c r="D14" s="31">
        <v>1850</v>
      </c>
      <c r="E14" s="8" t="s">
        <v>117</v>
      </c>
      <c r="F14" s="31" t="s">
        <v>19</v>
      </c>
      <c r="G14" s="31" t="s">
        <v>19</v>
      </c>
      <c r="H14" s="8">
        <f t="shared" si="102"/>
        <v>2</v>
      </c>
      <c r="I14" s="12" t="s">
        <v>19</v>
      </c>
      <c r="J14" s="12">
        <v>0</v>
      </c>
      <c r="K14" s="12" t="s">
        <v>115</v>
      </c>
      <c r="L14" s="12">
        <v>0</v>
      </c>
      <c r="M14" s="12">
        <v>1</v>
      </c>
      <c r="N14" s="31">
        <v>4</v>
      </c>
      <c r="O14" s="31">
        <v>-2855</v>
      </c>
      <c r="P14" s="31">
        <v>8</v>
      </c>
      <c r="Q14" s="31">
        <v>-1113</v>
      </c>
      <c r="R14" s="31">
        <v>22</v>
      </c>
      <c r="S14" s="31">
        <v>4067</v>
      </c>
      <c r="T14" s="31">
        <v>8</v>
      </c>
      <c r="U14" s="31">
        <v>-1113</v>
      </c>
      <c r="V14" s="31">
        <v>4</v>
      </c>
      <c r="W14" s="31">
        <v>962</v>
      </c>
      <c r="X14" s="31">
        <v>16</v>
      </c>
      <c r="Y14" s="31">
        <v>5346</v>
      </c>
      <c r="Z14" s="12">
        <v>0</v>
      </c>
      <c r="AA14" s="12">
        <v>0</v>
      </c>
      <c r="AB14" s="12">
        <v>0</v>
      </c>
      <c r="AC14" s="12">
        <v>0</v>
      </c>
      <c r="AD14" s="8">
        <v>3115</v>
      </c>
      <c r="AE14" s="8" t="s">
        <v>116</v>
      </c>
      <c r="AF14" s="8">
        <v>62</v>
      </c>
      <c r="AG14" s="8">
        <v>3050</v>
      </c>
      <c r="AH14" s="8">
        <v>1824</v>
      </c>
      <c r="AI14" s="8">
        <v>8547</v>
      </c>
      <c r="AJ14" s="12">
        <v>2</v>
      </c>
      <c r="AK14" s="8">
        <v>5543.5</v>
      </c>
      <c r="AL14" s="12">
        <v>0</v>
      </c>
      <c r="AM14" s="8">
        <v>3818.5</v>
      </c>
      <c r="AN14" s="12">
        <v>0</v>
      </c>
      <c r="AO14" s="8">
        <v>2300</v>
      </c>
      <c r="AP14" s="12">
        <v>0</v>
      </c>
      <c r="AQ14" s="8">
        <v>1420</v>
      </c>
      <c r="AR14" s="14">
        <v>6900</v>
      </c>
      <c r="AS14" s="14">
        <v>4276</v>
      </c>
      <c r="AT14" s="14">
        <v>8587</v>
      </c>
      <c r="AU14" s="14">
        <v>12863</v>
      </c>
      <c r="AV14" s="14">
        <f t="shared" si="15"/>
        <v>4596.2326086956518</v>
      </c>
      <c r="AW14" s="14">
        <f t="shared" si="16"/>
        <v>9151.7673913043473</v>
      </c>
      <c r="AX14" s="14">
        <v>13748</v>
      </c>
      <c r="AY14" s="7"/>
      <c r="AZ14" s="7"/>
      <c r="BA14" s="7"/>
      <c r="BB14" s="7"/>
      <c r="BC14" s="6">
        <f t="shared" si="18"/>
        <v>-810820</v>
      </c>
      <c r="BD14" s="6">
        <f t="shared" si="19"/>
        <v>284</v>
      </c>
      <c r="BE14" s="6">
        <f t="shared" si="20"/>
        <v>-632184</v>
      </c>
      <c r="BF14" s="6">
        <v>568</v>
      </c>
      <c r="BG14" s="6">
        <f t="shared" si="22"/>
        <v>6352654</v>
      </c>
      <c r="BH14" s="6">
        <v>1562</v>
      </c>
      <c r="BI14" s="6">
        <f t="shared" si="24"/>
        <v>-632184</v>
      </c>
      <c r="BJ14" s="6">
        <v>568</v>
      </c>
      <c r="BK14" s="6">
        <f t="shared" si="26"/>
        <v>273208</v>
      </c>
      <c r="BL14" s="6">
        <v>284</v>
      </c>
      <c r="BM14" s="6">
        <f t="shared" si="28"/>
        <v>6073056</v>
      </c>
      <c r="BN14" s="6">
        <v>1136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f t="shared" si="36"/>
        <v>1108700</v>
      </c>
      <c r="BV14" s="6">
        <f t="shared" si="37"/>
        <v>200</v>
      </c>
      <c r="BW14" s="6">
        <f t="shared" si="38"/>
        <v>0</v>
      </c>
      <c r="BX14" s="6">
        <f t="shared" si="39"/>
        <v>0</v>
      </c>
      <c r="BY14" s="6">
        <f t="shared" si="40"/>
        <v>0</v>
      </c>
      <c r="BZ14" s="6">
        <f t="shared" si="41"/>
        <v>0</v>
      </c>
      <c r="CA14" s="6">
        <f t="shared" si="42"/>
        <v>0</v>
      </c>
      <c r="CB14" s="6">
        <f t="shared" si="43"/>
        <v>0</v>
      </c>
      <c r="CC14" s="6">
        <v>0</v>
      </c>
      <c r="CD14" s="6">
        <v>0</v>
      </c>
      <c r="CE14" s="6">
        <v>0</v>
      </c>
      <c r="CF14" s="6">
        <v>0</v>
      </c>
      <c r="CG14" s="6">
        <f t="shared" si="48"/>
        <v>641025</v>
      </c>
      <c r="CH14" s="6">
        <v>75</v>
      </c>
      <c r="CI14" s="6">
        <v>-101</v>
      </c>
      <c r="CJ14" s="6">
        <v>301</v>
      </c>
      <c r="CK14" s="6">
        <v>200</v>
      </c>
      <c r="CL14" s="6">
        <v>-151</v>
      </c>
      <c r="CM14" s="6">
        <v>451</v>
      </c>
      <c r="CN14" s="6">
        <f t="shared" si="51"/>
        <v>300</v>
      </c>
      <c r="CO14" s="10">
        <f t="shared" si="52"/>
        <v>1793.254347826087</v>
      </c>
      <c r="CP14" s="10">
        <f t="shared" si="53"/>
        <v>2779.7456521739132</v>
      </c>
      <c r="CQ14" s="10">
        <f t="shared" si="134"/>
        <v>4573</v>
      </c>
      <c r="CR14" s="10">
        <f t="shared" si="54"/>
        <v>6389.4869565217386</v>
      </c>
      <c r="CS14" s="10">
        <f t="shared" si="55"/>
        <v>11931.51304347826</v>
      </c>
      <c r="CT14" s="10">
        <v>18056</v>
      </c>
      <c r="CU14" s="11" t="str">
        <f t="shared" si="57"/>
        <v>N/OK</v>
      </c>
      <c r="CV14" s="11" t="str">
        <f t="shared" si="58"/>
        <v>N/OK</v>
      </c>
      <c r="CW14" s="11" t="str">
        <f t="shared" si="59"/>
        <v>N/OK</v>
      </c>
      <c r="CX14" s="11" t="str">
        <f t="shared" si="60"/>
        <v>OK</v>
      </c>
      <c r="CY14" s="11" t="str">
        <f t="shared" si="61"/>
        <v>OK</v>
      </c>
      <c r="CZ14" s="10">
        <f t="shared" si="62"/>
        <v>6345.4869565217386</v>
      </c>
      <c r="DA14" s="10">
        <f t="shared" si="63"/>
        <v>11843.51304347826</v>
      </c>
      <c r="DB14" s="10">
        <v>17924</v>
      </c>
      <c r="DC14" s="11" t="str">
        <f t="shared" si="65"/>
        <v>N/OK</v>
      </c>
      <c r="DD14" s="11" t="str">
        <f t="shared" si="65"/>
        <v>N/OK</v>
      </c>
      <c r="DE14" s="11" t="str">
        <f t="shared" si="66"/>
        <v>OK</v>
      </c>
      <c r="DF14" s="11" t="str">
        <f t="shared" si="67"/>
        <v>OK</v>
      </c>
      <c r="DG14" s="11" t="str">
        <f t="shared" si="68"/>
        <v>OK</v>
      </c>
      <c r="DH14" s="10">
        <f t="shared" si="69"/>
        <v>6288.4869565217386</v>
      </c>
      <c r="DI14" s="10">
        <f t="shared" si="70"/>
        <v>12232.51304347826</v>
      </c>
      <c r="DJ14" s="10">
        <f t="shared" si="71"/>
        <v>18521</v>
      </c>
      <c r="DK14" s="11" t="str">
        <f t="shared" si="72"/>
        <v>N/OK</v>
      </c>
      <c r="DL14" s="11" t="str">
        <f t="shared" si="73"/>
        <v>N/OK</v>
      </c>
      <c r="DM14" s="11" t="str">
        <f t="shared" si="74"/>
        <v>N/OK</v>
      </c>
      <c r="DN14" s="11" t="str">
        <f t="shared" si="75"/>
        <v>N/OK</v>
      </c>
      <c r="DO14" s="11" t="str">
        <f t="shared" si="76"/>
        <v>OK</v>
      </c>
      <c r="DP14" s="10">
        <f t="shared" si="77"/>
        <v>6244.4869565217386</v>
      </c>
      <c r="DQ14" s="10">
        <f t="shared" si="78"/>
        <v>12144.51304347826</v>
      </c>
      <c r="DR14" s="10">
        <f t="shared" si="79"/>
        <v>18389</v>
      </c>
      <c r="DS14" s="11" t="str">
        <f t="shared" si="80"/>
        <v>N/OK</v>
      </c>
      <c r="DT14" s="11" t="str">
        <f t="shared" si="81"/>
        <v>N/OK</v>
      </c>
      <c r="DU14" s="11" t="str">
        <f t="shared" si="82"/>
        <v>N/OK</v>
      </c>
      <c r="DV14" s="11" t="str">
        <f t="shared" si="83"/>
        <v>N/OK</v>
      </c>
      <c r="DW14" s="11" t="str">
        <f t="shared" si="84"/>
        <v>OK</v>
      </c>
      <c r="DX14" s="10">
        <f t="shared" si="85"/>
        <v>6238.4869565217386</v>
      </c>
      <c r="DY14" s="10">
        <f t="shared" si="86"/>
        <v>12595.51304347826</v>
      </c>
      <c r="DZ14" s="10">
        <f t="shared" si="87"/>
        <v>18834</v>
      </c>
      <c r="EA14" s="11" t="str">
        <f t="shared" si="88"/>
        <v>N/OK</v>
      </c>
      <c r="EB14" s="11" t="str">
        <f t="shared" si="89"/>
        <v>N/OK</v>
      </c>
      <c r="EC14" s="11" t="str">
        <f t="shared" si="90"/>
        <v>N/OK</v>
      </c>
      <c r="ED14" s="11" t="str">
        <f t="shared" si="91"/>
        <v>N/OK</v>
      </c>
      <c r="EE14" s="11" t="str">
        <f t="shared" si="92"/>
        <v>N/OK</v>
      </c>
      <c r="EF14" s="10">
        <f t="shared" si="93"/>
        <v>6194.4869565217386</v>
      </c>
      <c r="EG14" s="10">
        <f t="shared" si="94"/>
        <v>12507.51304347826</v>
      </c>
      <c r="EH14" s="10">
        <f t="shared" si="95"/>
        <v>18702</v>
      </c>
      <c r="EI14" s="11" t="str">
        <f t="shared" si="96"/>
        <v>N/OK</v>
      </c>
      <c r="EJ14" s="11" t="str">
        <f t="shared" si="97"/>
        <v>N/OK</v>
      </c>
      <c r="EK14" s="11" t="str">
        <f t="shared" si="98"/>
        <v>N/OK</v>
      </c>
      <c r="EL14" s="11" t="str">
        <f t="shared" si="99"/>
        <v>N/OK</v>
      </c>
      <c r="EM14" s="11" t="str">
        <f t="shared" si="100"/>
        <v>N/OK</v>
      </c>
    </row>
    <row r="15" spans="1:143" s="17" customFormat="1" ht="14.4">
      <c r="A15" s="34" t="s">
        <v>113</v>
      </c>
      <c r="B15" s="12" t="s">
        <v>22</v>
      </c>
      <c r="C15" s="12">
        <v>13</v>
      </c>
      <c r="D15" s="31">
        <v>1850</v>
      </c>
      <c r="E15" s="8" t="s">
        <v>114</v>
      </c>
      <c r="F15" s="31" t="s">
        <v>19</v>
      </c>
      <c r="G15" s="31" t="s">
        <v>19</v>
      </c>
      <c r="H15" s="8">
        <f t="shared" si="102"/>
        <v>4</v>
      </c>
      <c r="I15" s="12" t="s">
        <v>19</v>
      </c>
      <c r="J15" s="12">
        <v>0</v>
      </c>
      <c r="K15" s="12" t="s">
        <v>115</v>
      </c>
      <c r="L15" s="12">
        <v>0</v>
      </c>
      <c r="M15" s="12">
        <v>1</v>
      </c>
      <c r="N15" s="31">
        <v>5</v>
      </c>
      <c r="O15" s="31">
        <v>-2855</v>
      </c>
      <c r="P15" s="31">
        <v>8</v>
      </c>
      <c r="Q15" s="31">
        <v>-1113</v>
      </c>
      <c r="R15" s="31">
        <v>22</v>
      </c>
      <c r="S15" s="31">
        <v>4067</v>
      </c>
      <c r="T15" s="31">
        <v>8</v>
      </c>
      <c r="U15" s="31">
        <v>-1113</v>
      </c>
      <c r="V15" s="31">
        <v>4</v>
      </c>
      <c r="W15" s="31">
        <v>962</v>
      </c>
      <c r="X15" s="31">
        <v>16</v>
      </c>
      <c r="Y15" s="31">
        <v>5346</v>
      </c>
      <c r="Z15" s="12">
        <v>0</v>
      </c>
      <c r="AA15" s="12">
        <v>0</v>
      </c>
      <c r="AB15" s="12">
        <v>0</v>
      </c>
      <c r="AC15" s="12">
        <v>0</v>
      </c>
      <c r="AD15" s="8">
        <v>3115</v>
      </c>
      <c r="AE15" s="8" t="s">
        <v>116</v>
      </c>
      <c r="AF15" s="8">
        <v>63</v>
      </c>
      <c r="AG15" s="8">
        <v>3050</v>
      </c>
      <c r="AH15" s="8">
        <v>1824</v>
      </c>
      <c r="AI15" s="8">
        <v>8547</v>
      </c>
      <c r="AJ15" s="12">
        <v>4</v>
      </c>
      <c r="AK15" s="8">
        <v>5543.5</v>
      </c>
      <c r="AL15" s="12">
        <v>0</v>
      </c>
      <c r="AM15" s="8">
        <v>3818.5</v>
      </c>
      <c r="AN15" s="12">
        <v>0</v>
      </c>
      <c r="AO15" s="8">
        <v>2300</v>
      </c>
      <c r="AP15" s="12">
        <v>0</v>
      </c>
      <c r="AQ15" s="8">
        <v>1420</v>
      </c>
      <c r="AR15" s="14">
        <v>6900</v>
      </c>
      <c r="AS15" s="14">
        <v>4276</v>
      </c>
      <c r="AT15" s="14">
        <v>8587</v>
      </c>
      <c r="AU15" s="14">
        <v>12863</v>
      </c>
      <c r="AV15" s="14">
        <f t="shared" si="15"/>
        <v>4591.68115942029</v>
      </c>
      <c r="AW15" s="14">
        <f t="shared" si="16"/>
        <v>9167.31884057971</v>
      </c>
      <c r="AX15" s="14">
        <v>13759</v>
      </c>
      <c r="AY15" s="7"/>
      <c r="AZ15" s="7"/>
      <c r="BA15" s="7"/>
      <c r="BB15" s="7"/>
      <c r="BC15" s="6">
        <f t="shared" si="18"/>
        <v>-1013525</v>
      </c>
      <c r="BD15" s="6">
        <f t="shared" si="19"/>
        <v>355</v>
      </c>
      <c r="BE15" s="6">
        <f t="shared" si="20"/>
        <v>-632184</v>
      </c>
      <c r="BF15" s="6">
        <v>568</v>
      </c>
      <c r="BG15" s="6">
        <f t="shared" si="22"/>
        <v>6352654</v>
      </c>
      <c r="BH15" s="6">
        <v>1562</v>
      </c>
      <c r="BI15" s="6">
        <f t="shared" si="24"/>
        <v>-632184</v>
      </c>
      <c r="BJ15" s="6">
        <v>568</v>
      </c>
      <c r="BK15" s="6">
        <f t="shared" si="26"/>
        <v>273208</v>
      </c>
      <c r="BL15" s="6">
        <v>284</v>
      </c>
      <c r="BM15" s="6">
        <f t="shared" si="28"/>
        <v>6073056</v>
      </c>
      <c r="BN15" s="6">
        <v>1136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f t="shared" si="36"/>
        <v>2217400</v>
      </c>
      <c r="BV15" s="6">
        <f t="shared" si="37"/>
        <v>400</v>
      </c>
      <c r="BW15" s="6">
        <f t="shared" si="38"/>
        <v>0</v>
      </c>
      <c r="BX15" s="6">
        <f t="shared" si="39"/>
        <v>0</v>
      </c>
      <c r="BY15" s="6">
        <f t="shared" si="40"/>
        <v>0</v>
      </c>
      <c r="BZ15" s="6">
        <f t="shared" si="41"/>
        <v>0</v>
      </c>
      <c r="CA15" s="6">
        <f t="shared" si="42"/>
        <v>0</v>
      </c>
      <c r="CB15" s="6">
        <f t="shared" si="43"/>
        <v>0</v>
      </c>
      <c r="CC15" s="6">
        <v>0</v>
      </c>
      <c r="CD15" s="6">
        <v>0</v>
      </c>
      <c r="CE15" s="6">
        <v>0</v>
      </c>
      <c r="CF15" s="6">
        <v>0</v>
      </c>
      <c r="CG15" s="6">
        <f t="shared" si="48"/>
        <v>641025</v>
      </c>
      <c r="CH15" s="6">
        <v>75</v>
      </c>
      <c r="CI15" s="6">
        <v>-101</v>
      </c>
      <c r="CJ15" s="6">
        <v>301</v>
      </c>
      <c r="CK15" s="6">
        <v>200</v>
      </c>
      <c r="CL15" s="6">
        <v>-151</v>
      </c>
      <c r="CM15" s="6">
        <v>451</v>
      </c>
      <c r="CN15" s="6">
        <f t="shared" si="51"/>
        <v>300</v>
      </c>
      <c r="CO15" s="10">
        <f t="shared" si="52"/>
        <v>1924.5579710144928</v>
      </c>
      <c r="CP15" s="10">
        <f t="shared" si="53"/>
        <v>2919.442028985507</v>
      </c>
      <c r="CQ15" s="10">
        <f t="shared" si="134"/>
        <v>4844</v>
      </c>
      <c r="CR15" s="10">
        <f t="shared" si="54"/>
        <v>6516.239130434783</v>
      </c>
      <c r="CS15" s="10">
        <f t="shared" si="55"/>
        <v>12086.760869565216</v>
      </c>
      <c r="CT15" s="10">
        <v>18138</v>
      </c>
      <c r="CU15" s="11" t="str">
        <f t="shared" si="57"/>
        <v>N/OK</v>
      </c>
      <c r="CV15" s="11" t="str">
        <f t="shared" si="58"/>
        <v>N/OK</v>
      </c>
      <c r="CW15" s="11" t="str">
        <f t="shared" si="59"/>
        <v>N/OK</v>
      </c>
      <c r="CX15" s="11" t="str">
        <f t="shared" si="60"/>
        <v>N/OK</v>
      </c>
      <c r="CY15" s="11" t="str">
        <f t="shared" si="61"/>
        <v>OK</v>
      </c>
      <c r="CZ15" s="10">
        <f t="shared" si="62"/>
        <v>6472.239130434783</v>
      </c>
      <c r="DA15" s="10">
        <f t="shared" si="63"/>
        <v>11998.760869565216</v>
      </c>
      <c r="DB15" s="10">
        <v>18006</v>
      </c>
      <c r="DC15" s="11" t="str">
        <f t="shared" si="65"/>
        <v>N/OK</v>
      </c>
      <c r="DD15" s="11" t="str">
        <f t="shared" si="65"/>
        <v>N/OK</v>
      </c>
      <c r="DE15" s="11" t="str">
        <f t="shared" si="66"/>
        <v>N/OK</v>
      </c>
      <c r="DF15" s="11" t="str">
        <f t="shared" si="67"/>
        <v>OK</v>
      </c>
      <c r="DG15" s="11" t="str">
        <f t="shared" si="68"/>
        <v>OK</v>
      </c>
      <c r="DH15" s="10">
        <f t="shared" si="69"/>
        <v>6415.239130434783</v>
      </c>
      <c r="DI15" s="10">
        <f t="shared" si="70"/>
        <v>12387.760869565216</v>
      </c>
      <c r="DJ15" s="10">
        <f t="shared" si="71"/>
        <v>18803</v>
      </c>
      <c r="DK15" s="11" t="str">
        <f t="shared" si="72"/>
        <v>N/OK</v>
      </c>
      <c r="DL15" s="11" t="str">
        <f t="shared" si="73"/>
        <v>N/OK</v>
      </c>
      <c r="DM15" s="11" t="str">
        <f t="shared" si="74"/>
        <v>N/OK</v>
      </c>
      <c r="DN15" s="11" t="str">
        <f t="shared" si="75"/>
        <v>N/OK</v>
      </c>
      <c r="DO15" s="11" t="str">
        <f t="shared" si="76"/>
        <v>N/OK</v>
      </c>
      <c r="DP15" s="10">
        <f t="shared" si="77"/>
        <v>6371.239130434783</v>
      </c>
      <c r="DQ15" s="10">
        <f t="shared" si="78"/>
        <v>12299.760869565216</v>
      </c>
      <c r="DR15" s="10">
        <f t="shared" si="79"/>
        <v>18671</v>
      </c>
      <c r="DS15" s="11" t="str">
        <f t="shared" si="80"/>
        <v>N/OK</v>
      </c>
      <c r="DT15" s="11" t="str">
        <f t="shared" si="81"/>
        <v>N/OK</v>
      </c>
      <c r="DU15" s="11" t="str">
        <f t="shared" si="82"/>
        <v>N/OK</v>
      </c>
      <c r="DV15" s="11" t="str">
        <f t="shared" si="83"/>
        <v>N/OK</v>
      </c>
      <c r="DW15" s="11" t="str">
        <f t="shared" si="84"/>
        <v>OK</v>
      </c>
      <c r="DX15" s="10">
        <f t="shared" si="85"/>
        <v>6365.239130434783</v>
      </c>
      <c r="DY15" s="10">
        <f t="shared" si="86"/>
        <v>12750.760869565216</v>
      </c>
      <c r="DZ15" s="10">
        <f t="shared" si="87"/>
        <v>19116</v>
      </c>
      <c r="EA15" s="11" t="str">
        <f t="shared" si="88"/>
        <v>N/OK</v>
      </c>
      <c r="EB15" s="11" t="str">
        <f t="shared" si="89"/>
        <v>N/OK</v>
      </c>
      <c r="EC15" s="11" t="str">
        <f t="shared" si="90"/>
        <v>N/OK</v>
      </c>
      <c r="ED15" s="11" t="str">
        <f t="shared" si="91"/>
        <v>N/OK</v>
      </c>
      <c r="EE15" s="11" t="str">
        <f t="shared" si="92"/>
        <v>N/OK</v>
      </c>
      <c r="EF15" s="10">
        <f t="shared" si="93"/>
        <v>6321.239130434783</v>
      </c>
      <c r="EG15" s="10">
        <f t="shared" si="94"/>
        <v>12662.760869565216</v>
      </c>
      <c r="EH15" s="10">
        <f t="shared" si="95"/>
        <v>18984</v>
      </c>
      <c r="EI15" s="11" t="str">
        <f t="shared" si="96"/>
        <v>N/OK</v>
      </c>
      <c r="EJ15" s="11" t="str">
        <f t="shared" si="97"/>
        <v>N/OK</v>
      </c>
      <c r="EK15" s="11" t="str">
        <f t="shared" si="98"/>
        <v>N/OK</v>
      </c>
      <c r="EL15" s="11" t="str">
        <f t="shared" si="99"/>
        <v>N/OK</v>
      </c>
      <c r="EM15" s="11" t="str">
        <f t="shared" si="100"/>
        <v>N/OK</v>
      </c>
    </row>
    <row r="16" spans="1:143" s="17" customFormat="1" ht="14.4">
      <c r="A16" s="34" t="s">
        <v>113</v>
      </c>
      <c r="B16" s="12" t="s">
        <v>22</v>
      </c>
      <c r="C16" s="12">
        <v>13</v>
      </c>
      <c r="D16" s="31">
        <v>1850</v>
      </c>
      <c r="E16" s="8" t="s">
        <v>117</v>
      </c>
      <c r="F16" s="31" t="s">
        <v>19</v>
      </c>
      <c r="G16" s="31" t="s">
        <v>19</v>
      </c>
      <c r="H16" s="8">
        <f t="shared" si="102"/>
        <v>4</v>
      </c>
      <c r="I16" s="12" t="s">
        <v>19</v>
      </c>
      <c r="J16" s="12">
        <v>0</v>
      </c>
      <c r="K16" s="12" t="s">
        <v>115</v>
      </c>
      <c r="L16" s="12">
        <v>0</v>
      </c>
      <c r="M16" s="12">
        <v>1</v>
      </c>
      <c r="N16" s="31">
        <v>4</v>
      </c>
      <c r="O16" s="31">
        <v>-2855</v>
      </c>
      <c r="P16" s="31">
        <v>8</v>
      </c>
      <c r="Q16" s="31">
        <v>-1113</v>
      </c>
      <c r="R16" s="31">
        <v>22</v>
      </c>
      <c r="S16" s="31">
        <v>4067</v>
      </c>
      <c r="T16" s="31">
        <v>8</v>
      </c>
      <c r="U16" s="31">
        <v>-1113</v>
      </c>
      <c r="V16" s="31">
        <v>4</v>
      </c>
      <c r="W16" s="31">
        <v>962</v>
      </c>
      <c r="X16" s="31">
        <v>16</v>
      </c>
      <c r="Y16" s="31">
        <v>5346</v>
      </c>
      <c r="Z16" s="12">
        <v>0</v>
      </c>
      <c r="AA16" s="12">
        <v>0</v>
      </c>
      <c r="AB16" s="12">
        <v>0</v>
      </c>
      <c r="AC16" s="12">
        <v>0</v>
      </c>
      <c r="AD16" s="8">
        <v>3115</v>
      </c>
      <c r="AE16" s="8" t="s">
        <v>116</v>
      </c>
      <c r="AF16" s="8">
        <v>62</v>
      </c>
      <c r="AG16" s="8">
        <v>3050</v>
      </c>
      <c r="AH16" s="8">
        <v>1824</v>
      </c>
      <c r="AI16" s="8">
        <v>8547</v>
      </c>
      <c r="AJ16" s="12">
        <v>4</v>
      </c>
      <c r="AK16" s="8">
        <v>5543.5</v>
      </c>
      <c r="AL16" s="12">
        <v>0</v>
      </c>
      <c r="AM16" s="8">
        <v>3818.5</v>
      </c>
      <c r="AN16" s="12">
        <v>0</v>
      </c>
      <c r="AO16" s="8">
        <v>2300</v>
      </c>
      <c r="AP16" s="12">
        <v>0</v>
      </c>
      <c r="AQ16" s="8">
        <v>1420</v>
      </c>
      <c r="AR16" s="14">
        <v>6900</v>
      </c>
      <c r="AS16" s="14">
        <v>4276</v>
      </c>
      <c r="AT16" s="14">
        <v>8587</v>
      </c>
      <c r="AU16" s="14">
        <v>12863</v>
      </c>
      <c r="AV16" s="14">
        <f t="shared" si="15"/>
        <v>4596.2326086956518</v>
      </c>
      <c r="AW16" s="14">
        <f t="shared" si="16"/>
        <v>9151.7673913043473</v>
      </c>
      <c r="AX16" s="14">
        <v>13748</v>
      </c>
      <c r="AY16" s="7"/>
      <c r="AZ16" s="7"/>
      <c r="BA16" s="7"/>
      <c r="BB16" s="7"/>
      <c r="BC16" s="6">
        <f t="shared" si="18"/>
        <v>-810820</v>
      </c>
      <c r="BD16" s="6">
        <f t="shared" si="19"/>
        <v>284</v>
      </c>
      <c r="BE16" s="6">
        <f t="shared" si="20"/>
        <v>-632184</v>
      </c>
      <c r="BF16" s="6">
        <v>568</v>
      </c>
      <c r="BG16" s="6">
        <f t="shared" si="22"/>
        <v>6352654</v>
      </c>
      <c r="BH16" s="6">
        <v>1562</v>
      </c>
      <c r="BI16" s="6">
        <f t="shared" si="24"/>
        <v>-632184</v>
      </c>
      <c r="BJ16" s="6">
        <v>568</v>
      </c>
      <c r="BK16" s="6">
        <f t="shared" si="26"/>
        <v>273208</v>
      </c>
      <c r="BL16" s="6">
        <v>284</v>
      </c>
      <c r="BM16" s="6">
        <f t="shared" si="28"/>
        <v>6073056</v>
      </c>
      <c r="BN16" s="6">
        <v>1136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f t="shared" si="36"/>
        <v>2217400</v>
      </c>
      <c r="BV16" s="6">
        <f t="shared" si="37"/>
        <v>400</v>
      </c>
      <c r="BW16" s="6">
        <f t="shared" si="38"/>
        <v>0</v>
      </c>
      <c r="BX16" s="6">
        <f t="shared" si="39"/>
        <v>0</v>
      </c>
      <c r="BY16" s="6">
        <f t="shared" si="40"/>
        <v>0</v>
      </c>
      <c r="BZ16" s="6">
        <f t="shared" si="41"/>
        <v>0</v>
      </c>
      <c r="CA16" s="6">
        <f t="shared" si="42"/>
        <v>0</v>
      </c>
      <c r="CB16" s="6">
        <f t="shared" si="43"/>
        <v>0</v>
      </c>
      <c r="CC16" s="6">
        <v>0</v>
      </c>
      <c r="CD16" s="6">
        <v>0</v>
      </c>
      <c r="CE16" s="6">
        <v>0</v>
      </c>
      <c r="CF16" s="6">
        <v>0</v>
      </c>
      <c r="CG16" s="6">
        <f t="shared" si="48"/>
        <v>641025</v>
      </c>
      <c r="CH16" s="6">
        <v>75</v>
      </c>
      <c r="CI16" s="6">
        <v>-101</v>
      </c>
      <c r="CJ16" s="6">
        <v>301</v>
      </c>
      <c r="CK16" s="6">
        <v>200</v>
      </c>
      <c r="CL16" s="6">
        <v>-151</v>
      </c>
      <c r="CM16" s="6">
        <v>451</v>
      </c>
      <c r="CN16" s="6">
        <f t="shared" si="51"/>
        <v>300</v>
      </c>
      <c r="CO16" s="10">
        <f t="shared" si="52"/>
        <v>1953.9355072463768</v>
      </c>
      <c r="CP16" s="10">
        <f t="shared" si="53"/>
        <v>2819.0644927536232</v>
      </c>
      <c r="CQ16" s="10">
        <f t="shared" si="134"/>
        <v>4773</v>
      </c>
      <c r="CR16" s="10">
        <f t="shared" si="54"/>
        <v>6550.1681159420286</v>
      </c>
      <c r="CS16" s="10">
        <f t="shared" si="55"/>
        <v>11970.83188405797</v>
      </c>
      <c r="CT16" s="10">
        <v>18056</v>
      </c>
      <c r="CU16" s="11" t="str">
        <f t="shared" si="57"/>
        <v>N/OK</v>
      </c>
      <c r="CV16" s="11" t="str">
        <f t="shared" si="58"/>
        <v>N/OK</v>
      </c>
      <c r="CW16" s="11" t="str">
        <f t="shared" si="59"/>
        <v>N/OK</v>
      </c>
      <c r="CX16" s="11" t="str">
        <f t="shared" si="60"/>
        <v>OK</v>
      </c>
      <c r="CY16" s="11" t="str">
        <f t="shared" si="61"/>
        <v>OK</v>
      </c>
      <c r="CZ16" s="10">
        <f t="shared" si="62"/>
        <v>6506.1681159420286</v>
      </c>
      <c r="DA16" s="10">
        <f t="shared" si="63"/>
        <v>11882.83188405797</v>
      </c>
      <c r="DB16" s="10">
        <v>17924</v>
      </c>
      <c r="DC16" s="11" t="str">
        <f t="shared" si="65"/>
        <v>N/OK</v>
      </c>
      <c r="DD16" s="11" t="str">
        <f t="shared" si="65"/>
        <v>N/OK</v>
      </c>
      <c r="DE16" s="11" t="str">
        <f t="shared" si="66"/>
        <v>OK</v>
      </c>
      <c r="DF16" s="11" t="str">
        <f t="shared" si="67"/>
        <v>OK</v>
      </c>
      <c r="DG16" s="11" t="str">
        <f t="shared" si="68"/>
        <v>OK</v>
      </c>
      <c r="DH16" s="10">
        <f t="shared" si="69"/>
        <v>6449.1681159420286</v>
      </c>
      <c r="DI16" s="10">
        <f t="shared" si="70"/>
        <v>12271.83188405797</v>
      </c>
      <c r="DJ16" s="10">
        <f t="shared" si="71"/>
        <v>18721</v>
      </c>
      <c r="DK16" s="11" t="str">
        <f t="shared" si="72"/>
        <v>N/OK</v>
      </c>
      <c r="DL16" s="11" t="str">
        <f t="shared" si="73"/>
        <v>N/OK</v>
      </c>
      <c r="DM16" s="11" t="str">
        <f t="shared" si="74"/>
        <v>N/OK</v>
      </c>
      <c r="DN16" s="11" t="str">
        <f t="shared" si="75"/>
        <v>N/OK</v>
      </c>
      <c r="DO16" s="11" t="str">
        <f t="shared" si="76"/>
        <v>OK</v>
      </c>
      <c r="DP16" s="10">
        <f t="shared" si="77"/>
        <v>6405.1681159420286</v>
      </c>
      <c r="DQ16" s="10">
        <f t="shared" si="78"/>
        <v>12183.83188405797</v>
      </c>
      <c r="DR16" s="10">
        <f t="shared" si="79"/>
        <v>18589</v>
      </c>
      <c r="DS16" s="11" t="str">
        <f t="shared" si="80"/>
        <v>N/OK</v>
      </c>
      <c r="DT16" s="11" t="str">
        <f t="shared" si="81"/>
        <v>N/OK</v>
      </c>
      <c r="DU16" s="11" t="str">
        <f t="shared" si="82"/>
        <v>N/OK</v>
      </c>
      <c r="DV16" s="11" t="str">
        <f t="shared" si="83"/>
        <v>N/OK</v>
      </c>
      <c r="DW16" s="11" t="str">
        <f t="shared" si="84"/>
        <v>OK</v>
      </c>
      <c r="DX16" s="10">
        <f t="shared" si="85"/>
        <v>6399.1681159420286</v>
      </c>
      <c r="DY16" s="10">
        <f t="shared" si="86"/>
        <v>12634.83188405797</v>
      </c>
      <c r="DZ16" s="10">
        <f t="shared" si="87"/>
        <v>19034</v>
      </c>
      <c r="EA16" s="11" t="str">
        <f t="shared" si="88"/>
        <v>N/OK</v>
      </c>
      <c r="EB16" s="11" t="str">
        <f t="shared" si="89"/>
        <v>N/OK</v>
      </c>
      <c r="EC16" s="11" t="str">
        <f t="shared" si="90"/>
        <v>N/OK</v>
      </c>
      <c r="ED16" s="11" t="str">
        <f t="shared" si="91"/>
        <v>N/OK</v>
      </c>
      <c r="EE16" s="11" t="str">
        <f t="shared" si="92"/>
        <v>N/OK</v>
      </c>
      <c r="EF16" s="10">
        <f t="shared" si="93"/>
        <v>6355.1681159420286</v>
      </c>
      <c r="EG16" s="10">
        <f t="shared" si="94"/>
        <v>12546.83188405797</v>
      </c>
      <c r="EH16" s="10">
        <f t="shared" si="95"/>
        <v>18902</v>
      </c>
      <c r="EI16" s="11" t="str">
        <f t="shared" si="96"/>
        <v>N/OK</v>
      </c>
      <c r="EJ16" s="11" t="str">
        <f t="shared" si="97"/>
        <v>N/OK</v>
      </c>
      <c r="EK16" s="11" t="str">
        <f t="shared" si="98"/>
        <v>N/OK</v>
      </c>
      <c r="EL16" s="11" t="str">
        <f t="shared" si="99"/>
        <v>N/OK</v>
      </c>
      <c r="EM16" s="11" t="str">
        <f t="shared" si="100"/>
        <v>N/OK</v>
      </c>
    </row>
    <row r="17" spans="1:143" s="17" customFormat="1" ht="14.4">
      <c r="A17" s="34" t="s">
        <v>113</v>
      </c>
      <c r="B17" s="12" t="s">
        <v>22</v>
      </c>
      <c r="C17" s="12">
        <v>13</v>
      </c>
      <c r="D17" s="31">
        <v>1850</v>
      </c>
      <c r="E17" s="8" t="s">
        <v>114</v>
      </c>
      <c r="F17" s="31" t="s">
        <v>19</v>
      </c>
      <c r="G17" s="31" t="s">
        <v>19</v>
      </c>
      <c r="H17" s="8">
        <f t="shared" si="102"/>
        <v>6</v>
      </c>
      <c r="I17" s="12" t="s">
        <v>19</v>
      </c>
      <c r="J17" s="12">
        <v>0</v>
      </c>
      <c r="K17" s="12" t="s">
        <v>115</v>
      </c>
      <c r="L17" s="12">
        <v>0</v>
      </c>
      <c r="M17" s="12">
        <v>1</v>
      </c>
      <c r="N17" s="31">
        <v>5</v>
      </c>
      <c r="O17" s="31">
        <v>-2855</v>
      </c>
      <c r="P17" s="31">
        <v>8</v>
      </c>
      <c r="Q17" s="31">
        <v>-1113</v>
      </c>
      <c r="R17" s="31">
        <v>22</v>
      </c>
      <c r="S17" s="31">
        <v>4067</v>
      </c>
      <c r="T17" s="31">
        <v>8</v>
      </c>
      <c r="U17" s="31">
        <v>-1113</v>
      </c>
      <c r="V17" s="31">
        <v>4</v>
      </c>
      <c r="W17" s="31">
        <v>962</v>
      </c>
      <c r="X17" s="31">
        <v>16</v>
      </c>
      <c r="Y17" s="31">
        <v>5346</v>
      </c>
      <c r="Z17" s="12">
        <v>0</v>
      </c>
      <c r="AA17" s="12">
        <v>0</v>
      </c>
      <c r="AB17" s="12">
        <v>0</v>
      </c>
      <c r="AC17" s="12">
        <v>0</v>
      </c>
      <c r="AD17" s="8">
        <v>3115</v>
      </c>
      <c r="AE17" s="8" t="s">
        <v>116</v>
      </c>
      <c r="AF17" s="8">
        <v>63</v>
      </c>
      <c r="AG17" s="8">
        <v>3050</v>
      </c>
      <c r="AH17" s="8">
        <v>1824</v>
      </c>
      <c r="AI17" s="8">
        <v>8547</v>
      </c>
      <c r="AJ17" s="12">
        <v>4</v>
      </c>
      <c r="AK17" s="8">
        <v>5543.5</v>
      </c>
      <c r="AL17" s="12">
        <v>2</v>
      </c>
      <c r="AM17" s="8">
        <v>3818.5</v>
      </c>
      <c r="AN17" s="12">
        <v>0</v>
      </c>
      <c r="AO17" s="8">
        <v>2300</v>
      </c>
      <c r="AP17" s="12">
        <v>0</v>
      </c>
      <c r="AQ17" s="8">
        <v>1420</v>
      </c>
      <c r="AR17" s="14">
        <v>6900</v>
      </c>
      <c r="AS17" s="14">
        <v>4276</v>
      </c>
      <c r="AT17" s="14">
        <v>8587</v>
      </c>
      <c r="AU17" s="14">
        <v>12863</v>
      </c>
      <c r="AV17" s="14">
        <f t="shared" si="15"/>
        <v>4591.68115942029</v>
      </c>
      <c r="AW17" s="14">
        <f t="shared" si="16"/>
        <v>9167.31884057971</v>
      </c>
      <c r="AX17" s="14">
        <v>13759</v>
      </c>
      <c r="AY17" s="7"/>
      <c r="AZ17" s="7"/>
      <c r="BA17" s="7"/>
      <c r="BB17" s="7"/>
      <c r="BC17" s="6">
        <f t="shared" si="18"/>
        <v>-1013525</v>
      </c>
      <c r="BD17" s="6">
        <f t="shared" si="19"/>
        <v>355</v>
      </c>
      <c r="BE17" s="6">
        <f t="shared" si="20"/>
        <v>-632184</v>
      </c>
      <c r="BF17" s="6">
        <v>568</v>
      </c>
      <c r="BG17" s="6">
        <f t="shared" si="22"/>
        <v>6352654</v>
      </c>
      <c r="BH17" s="6">
        <v>1562</v>
      </c>
      <c r="BI17" s="6">
        <f t="shared" si="24"/>
        <v>-632184</v>
      </c>
      <c r="BJ17" s="6">
        <v>568</v>
      </c>
      <c r="BK17" s="6">
        <f t="shared" si="26"/>
        <v>273208</v>
      </c>
      <c r="BL17" s="6">
        <v>284</v>
      </c>
      <c r="BM17" s="6">
        <f t="shared" si="28"/>
        <v>6073056</v>
      </c>
      <c r="BN17" s="6">
        <v>1136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f t="shared" si="36"/>
        <v>2217400</v>
      </c>
      <c r="BV17" s="6">
        <f t="shared" si="37"/>
        <v>400</v>
      </c>
      <c r="BW17" s="6">
        <f>AM17*BX17</f>
        <v>763700</v>
      </c>
      <c r="BX17" s="6">
        <f t="shared" si="39"/>
        <v>200</v>
      </c>
      <c r="BY17" s="6">
        <f t="shared" si="40"/>
        <v>0</v>
      </c>
      <c r="BZ17" s="6">
        <f t="shared" si="41"/>
        <v>0</v>
      </c>
      <c r="CA17" s="6">
        <f t="shared" si="42"/>
        <v>0</v>
      </c>
      <c r="CB17" s="6">
        <f t="shared" si="43"/>
        <v>0</v>
      </c>
      <c r="CC17" s="6">
        <v>0</v>
      </c>
      <c r="CD17" s="6">
        <v>0</v>
      </c>
      <c r="CE17" s="6">
        <v>0</v>
      </c>
      <c r="CF17" s="6">
        <v>0</v>
      </c>
      <c r="CG17" s="6">
        <f t="shared" si="48"/>
        <v>641025</v>
      </c>
      <c r="CH17" s="6">
        <v>75</v>
      </c>
      <c r="CI17" s="6">
        <v>-101</v>
      </c>
      <c r="CJ17" s="6">
        <v>301</v>
      </c>
      <c r="CK17" s="6">
        <v>200</v>
      </c>
      <c r="CL17" s="6">
        <v>-151</v>
      </c>
      <c r="CM17" s="6">
        <v>451</v>
      </c>
      <c r="CN17" s="6">
        <f t="shared" si="51"/>
        <v>300</v>
      </c>
      <c r="CO17" s="10">
        <f t="shared" si="52"/>
        <v>2035.2391304347825</v>
      </c>
      <c r="CP17" s="10">
        <f t="shared" si="53"/>
        <v>3008.7608695652175</v>
      </c>
      <c r="CQ17" s="10">
        <f t="shared" si="134"/>
        <v>5044</v>
      </c>
      <c r="CR17" s="10">
        <f t="shared" si="54"/>
        <v>6626.920289855072</v>
      </c>
      <c r="CS17" s="10">
        <f t="shared" si="55"/>
        <v>12176.079710144928</v>
      </c>
      <c r="CT17" s="10">
        <v>18138</v>
      </c>
      <c r="CU17" s="11" t="str">
        <f t="shared" si="57"/>
        <v>N/OK</v>
      </c>
      <c r="CV17" s="11" t="str">
        <f t="shared" si="58"/>
        <v>N/OK</v>
      </c>
      <c r="CW17" s="11" t="str">
        <f t="shared" si="59"/>
        <v>N/OK</v>
      </c>
      <c r="CX17" s="11" t="str">
        <f t="shared" si="60"/>
        <v>N/OK</v>
      </c>
      <c r="CY17" s="11" t="str">
        <f t="shared" si="61"/>
        <v>OK</v>
      </c>
      <c r="CZ17" s="10">
        <f t="shared" si="62"/>
        <v>6582.920289855072</v>
      </c>
      <c r="DA17" s="10">
        <f t="shared" si="63"/>
        <v>12088.079710144928</v>
      </c>
      <c r="DB17" s="10">
        <v>18006</v>
      </c>
      <c r="DC17" s="11" t="str">
        <f t="shared" si="65"/>
        <v>N/OK</v>
      </c>
      <c r="DD17" s="11" t="str">
        <f t="shared" si="65"/>
        <v>N/OK</v>
      </c>
      <c r="DE17" s="11" t="str">
        <f t="shared" si="66"/>
        <v>N/OK</v>
      </c>
      <c r="DF17" s="11" t="str">
        <f t="shared" si="67"/>
        <v>N/OK</v>
      </c>
      <c r="DG17" s="11" t="str">
        <f t="shared" si="68"/>
        <v>OK</v>
      </c>
      <c r="DH17" s="10">
        <f t="shared" si="69"/>
        <v>6525.920289855072</v>
      </c>
      <c r="DI17" s="10">
        <f t="shared" si="70"/>
        <v>12477.079710144928</v>
      </c>
      <c r="DJ17" s="10">
        <f t="shared" si="71"/>
        <v>19003</v>
      </c>
      <c r="DK17" s="11" t="str">
        <f t="shared" si="72"/>
        <v>N/OK</v>
      </c>
      <c r="DL17" s="11" t="str">
        <f t="shared" si="73"/>
        <v>N/OK</v>
      </c>
      <c r="DM17" s="11" t="str">
        <f t="shared" si="74"/>
        <v>N/OK</v>
      </c>
      <c r="DN17" s="11" t="str">
        <f t="shared" si="75"/>
        <v>N/OK</v>
      </c>
      <c r="DO17" s="11" t="str">
        <f t="shared" si="76"/>
        <v>N/OK</v>
      </c>
      <c r="DP17" s="10">
        <f t="shared" si="77"/>
        <v>6481.920289855072</v>
      </c>
      <c r="DQ17" s="10">
        <f t="shared" si="78"/>
        <v>12389.079710144928</v>
      </c>
      <c r="DR17" s="10">
        <f t="shared" si="79"/>
        <v>18871</v>
      </c>
      <c r="DS17" s="11" t="str">
        <f t="shared" si="80"/>
        <v>N/OK</v>
      </c>
      <c r="DT17" s="11" t="str">
        <f t="shared" si="81"/>
        <v>N/OK</v>
      </c>
      <c r="DU17" s="11" t="str">
        <f t="shared" si="82"/>
        <v>N/OK</v>
      </c>
      <c r="DV17" s="11" t="str">
        <f t="shared" si="83"/>
        <v>N/OK</v>
      </c>
      <c r="DW17" s="11" t="str">
        <f t="shared" si="84"/>
        <v>N/OK</v>
      </c>
      <c r="DX17" s="10">
        <f t="shared" si="85"/>
        <v>6475.920289855072</v>
      </c>
      <c r="DY17" s="10">
        <f t="shared" si="86"/>
        <v>12840.079710144928</v>
      </c>
      <c r="DZ17" s="10">
        <f t="shared" si="87"/>
        <v>19316</v>
      </c>
      <c r="EA17" s="11" t="str">
        <f t="shared" si="88"/>
        <v>N/OK</v>
      </c>
      <c r="EB17" s="11" t="str">
        <f t="shared" si="89"/>
        <v>N/OK</v>
      </c>
      <c r="EC17" s="11" t="str">
        <f t="shared" si="90"/>
        <v>N/OK</v>
      </c>
      <c r="ED17" s="11" t="str">
        <f t="shared" si="91"/>
        <v>N/OK</v>
      </c>
      <c r="EE17" s="11" t="str">
        <f t="shared" si="92"/>
        <v>N/OK</v>
      </c>
      <c r="EF17" s="10">
        <f t="shared" si="93"/>
        <v>6431.920289855072</v>
      </c>
      <c r="EG17" s="10">
        <f t="shared" si="94"/>
        <v>12752.079710144928</v>
      </c>
      <c r="EH17" s="10">
        <f t="shared" si="95"/>
        <v>19184</v>
      </c>
      <c r="EI17" s="11" t="str">
        <f t="shared" si="96"/>
        <v>N/OK</v>
      </c>
      <c r="EJ17" s="11" t="str">
        <f t="shared" si="97"/>
        <v>N/OK</v>
      </c>
      <c r="EK17" s="11" t="str">
        <f t="shared" si="98"/>
        <v>N/OK</v>
      </c>
      <c r="EL17" s="11" t="str">
        <f t="shared" si="99"/>
        <v>N/OK</v>
      </c>
      <c r="EM17" s="11" t="str">
        <f t="shared" si="100"/>
        <v>N/OK</v>
      </c>
    </row>
    <row r="18" spans="1:143" s="17" customFormat="1" ht="14.4">
      <c r="A18" s="34" t="s">
        <v>113</v>
      </c>
      <c r="B18" s="12" t="s">
        <v>22</v>
      </c>
      <c r="C18" s="12">
        <v>13</v>
      </c>
      <c r="D18" s="31">
        <v>1850</v>
      </c>
      <c r="E18" s="8" t="s">
        <v>117</v>
      </c>
      <c r="F18" s="31" t="s">
        <v>19</v>
      </c>
      <c r="G18" s="31" t="s">
        <v>19</v>
      </c>
      <c r="H18" s="8">
        <f t="shared" si="102"/>
        <v>6</v>
      </c>
      <c r="I18" s="12" t="s">
        <v>19</v>
      </c>
      <c r="J18" s="12">
        <v>0</v>
      </c>
      <c r="K18" s="12" t="s">
        <v>115</v>
      </c>
      <c r="L18" s="12">
        <v>0</v>
      </c>
      <c r="M18" s="12">
        <v>1</v>
      </c>
      <c r="N18" s="31">
        <v>4</v>
      </c>
      <c r="O18" s="31">
        <v>-2855</v>
      </c>
      <c r="P18" s="31">
        <v>8</v>
      </c>
      <c r="Q18" s="31">
        <v>-1113</v>
      </c>
      <c r="R18" s="31">
        <v>22</v>
      </c>
      <c r="S18" s="31">
        <v>4067</v>
      </c>
      <c r="T18" s="31">
        <v>8</v>
      </c>
      <c r="U18" s="31">
        <v>-1113</v>
      </c>
      <c r="V18" s="31">
        <v>4</v>
      </c>
      <c r="W18" s="31">
        <v>962</v>
      </c>
      <c r="X18" s="31">
        <v>16</v>
      </c>
      <c r="Y18" s="31">
        <v>5346</v>
      </c>
      <c r="Z18" s="12">
        <v>0</v>
      </c>
      <c r="AA18" s="12">
        <v>0</v>
      </c>
      <c r="AB18" s="12">
        <v>0</v>
      </c>
      <c r="AC18" s="12">
        <v>0</v>
      </c>
      <c r="AD18" s="8">
        <v>3115</v>
      </c>
      <c r="AE18" s="8" t="s">
        <v>116</v>
      </c>
      <c r="AF18" s="8">
        <v>62</v>
      </c>
      <c r="AG18" s="8">
        <v>3050</v>
      </c>
      <c r="AH18" s="8">
        <v>1824</v>
      </c>
      <c r="AI18" s="8">
        <v>8547</v>
      </c>
      <c r="AJ18" s="12">
        <v>4</v>
      </c>
      <c r="AK18" s="8">
        <v>5543.5</v>
      </c>
      <c r="AL18" s="12">
        <v>2</v>
      </c>
      <c r="AM18" s="8">
        <v>3818.5</v>
      </c>
      <c r="AN18" s="12">
        <v>0</v>
      </c>
      <c r="AO18" s="8">
        <v>2300</v>
      </c>
      <c r="AP18" s="12">
        <v>0</v>
      </c>
      <c r="AQ18" s="8">
        <v>1420</v>
      </c>
      <c r="AR18" s="14">
        <v>6900</v>
      </c>
      <c r="AS18" s="14">
        <v>4276</v>
      </c>
      <c r="AT18" s="14">
        <v>8587</v>
      </c>
      <c r="AU18" s="14">
        <v>12863</v>
      </c>
      <c r="AV18" s="14">
        <f t="shared" si="15"/>
        <v>4596.2326086956518</v>
      </c>
      <c r="AW18" s="14">
        <f t="shared" si="16"/>
        <v>9151.7673913043473</v>
      </c>
      <c r="AX18" s="14">
        <v>13748</v>
      </c>
      <c r="AY18" s="7"/>
      <c r="AZ18" s="7"/>
      <c r="BA18" s="7"/>
      <c r="BB18" s="7"/>
      <c r="BC18" s="6">
        <f t="shared" si="18"/>
        <v>-810820</v>
      </c>
      <c r="BD18" s="6">
        <f t="shared" si="19"/>
        <v>284</v>
      </c>
      <c r="BE18" s="6">
        <f t="shared" si="20"/>
        <v>-632184</v>
      </c>
      <c r="BF18" s="6">
        <v>568</v>
      </c>
      <c r="BG18" s="6">
        <f t="shared" si="22"/>
        <v>6352654</v>
      </c>
      <c r="BH18" s="6">
        <v>1562</v>
      </c>
      <c r="BI18" s="6">
        <f t="shared" si="24"/>
        <v>-632184</v>
      </c>
      <c r="BJ18" s="6">
        <v>568</v>
      </c>
      <c r="BK18" s="6">
        <f t="shared" si="26"/>
        <v>273208</v>
      </c>
      <c r="BL18" s="6">
        <v>284</v>
      </c>
      <c r="BM18" s="6">
        <f t="shared" si="28"/>
        <v>6073056</v>
      </c>
      <c r="BN18" s="6">
        <v>1136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f t="shared" si="36"/>
        <v>2217400</v>
      </c>
      <c r="BV18" s="6">
        <f t="shared" si="37"/>
        <v>400</v>
      </c>
      <c r="BW18" s="6">
        <f t="shared" si="38"/>
        <v>763700</v>
      </c>
      <c r="BX18" s="6">
        <f t="shared" si="39"/>
        <v>200</v>
      </c>
      <c r="BY18" s="6">
        <f t="shared" si="40"/>
        <v>0</v>
      </c>
      <c r="BZ18" s="6">
        <f t="shared" si="41"/>
        <v>0</v>
      </c>
      <c r="CA18" s="6">
        <f t="shared" si="42"/>
        <v>0</v>
      </c>
      <c r="CB18" s="6">
        <f t="shared" si="43"/>
        <v>0</v>
      </c>
      <c r="CC18" s="6">
        <v>0</v>
      </c>
      <c r="CD18" s="6">
        <v>0</v>
      </c>
      <c r="CE18" s="6">
        <v>0</v>
      </c>
      <c r="CF18" s="6">
        <v>0</v>
      </c>
      <c r="CG18" s="6">
        <f t="shared" si="48"/>
        <v>641025</v>
      </c>
      <c r="CH18" s="6">
        <v>75</v>
      </c>
      <c r="CI18" s="6">
        <v>-101</v>
      </c>
      <c r="CJ18" s="6">
        <v>301</v>
      </c>
      <c r="CK18" s="6">
        <v>200</v>
      </c>
      <c r="CL18" s="6">
        <v>-151</v>
      </c>
      <c r="CM18" s="6">
        <v>451</v>
      </c>
      <c r="CN18" s="6">
        <f t="shared" si="51"/>
        <v>300</v>
      </c>
      <c r="CO18" s="10">
        <f t="shared" si="52"/>
        <v>2064.6166666666668</v>
      </c>
      <c r="CP18" s="10">
        <f t="shared" si="53"/>
        <v>2908.3833333333332</v>
      </c>
      <c r="CQ18" s="10">
        <f t="shared" si="134"/>
        <v>4973</v>
      </c>
      <c r="CR18" s="10">
        <f t="shared" si="54"/>
        <v>6660.8492753623186</v>
      </c>
      <c r="CS18" s="10">
        <f t="shared" si="55"/>
        <v>12060.15072463768</v>
      </c>
      <c r="CT18" s="10">
        <v>18056</v>
      </c>
      <c r="CU18" s="11" t="str">
        <f t="shared" si="57"/>
        <v>N/OK</v>
      </c>
      <c r="CV18" s="11" t="str">
        <f t="shared" si="58"/>
        <v>N/OK</v>
      </c>
      <c r="CW18" s="11" t="str">
        <f t="shared" si="59"/>
        <v>N/OK</v>
      </c>
      <c r="CX18" s="11" t="str">
        <f t="shared" si="60"/>
        <v>N/OK</v>
      </c>
      <c r="CY18" s="11" t="str">
        <f t="shared" si="61"/>
        <v>OK</v>
      </c>
      <c r="CZ18" s="10">
        <f t="shared" si="62"/>
        <v>6616.8492753623186</v>
      </c>
      <c r="DA18" s="10">
        <f t="shared" si="63"/>
        <v>11972.15072463768</v>
      </c>
      <c r="DB18" s="10">
        <v>17924</v>
      </c>
      <c r="DC18" s="11" t="str">
        <f t="shared" si="65"/>
        <v>N/OK</v>
      </c>
      <c r="DD18" s="11" t="str">
        <f t="shared" si="65"/>
        <v>N/OK</v>
      </c>
      <c r="DE18" s="11" t="str">
        <f t="shared" si="66"/>
        <v>OK</v>
      </c>
      <c r="DF18" s="11" t="str">
        <f t="shared" si="67"/>
        <v>OK</v>
      </c>
      <c r="DG18" s="11" t="str">
        <f t="shared" si="68"/>
        <v>OK</v>
      </c>
      <c r="DH18" s="10">
        <f t="shared" si="69"/>
        <v>6559.8492753623186</v>
      </c>
      <c r="DI18" s="10">
        <f t="shared" si="70"/>
        <v>12361.15072463768</v>
      </c>
      <c r="DJ18" s="10">
        <f t="shared" si="71"/>
        <v>18921</v>
      </c>
      <c r="DK18" s="11" t="str">
        <f t="shared" si="72"/>
        <v>N/OK</v>
      </c>
      <c r="DL18" s="11" t="str">
        <f t="shared" si="73"/>
        <v>N/OK</v>
      </c>
      <c r="DM18" s="11" t="str">
        <f t="shared" si="74"/>
        <v>N/OK</v>
      </c>
      <c r="DN18" s="11" t="str">
        <f t="shared" si="75"/>
        <v>N/OK</v>
      </c>
      <c r="DO18" s="11" t="str">
        <f t="shared" si="76"/>
        <v>N/OK</v>
      </c>
      <c r="DP18" s="10">
        <f t="shared" si="77"/>
        <v>6515.8492753623186</v>
      </c>
      <c r="DQ18" s="10">
        <f t="shared" si="78"/>
        <v>12273.15072463768</v>
      </c>
      <c r="DR18" s="10">
        <f t="shared" si="79"/>
        <v>18789</v>
      </c>
      <c r="DS18" s="11" t="str">
        <f t="shared" si="80"/>
        <v>N/OK</v>
      </c>
      <c r="DT18" s="11" t="str">
        <f t="shared" si="81"/>
        <v>N/OK</v>
      </c>
      <c r="DU18" s="11" t="str">
        <f t="shared" si="82"/>
        <v>N/OK</v>
      </c>
      <c r="DV18" s="11" t="str">
        <f t="shared" si="83"/>
        <v>N/OK</v>
      </c>
      <c r="DW18" s="11" t="str">
        <f t="shared" si="84"/>
        <v>OK</v>
      </c>
      <c r="DX18" s="10">
        <f t="shared" si="85"/>
        <v>6509.8492753623186</v>
      </c>
      <c r="DY18" s="10">
        <f t="shared" si="86"/>
        <v>12724.15072463768</v>
      </c>
      <c r="DZ18" s="10">
        <f t="shared" si="87"/>
        <v>19234</v>
      </c>
      <c r="EA18" s="11" t="str">
        <f t="shared" si="88"/>
        <v>N/OK</v>
      </c>
      <c r="EB18" s="11" t="str">
        <f t="shared" si="89"/>
        <v>N/OK</v>
      </c>
      <c r="EC18" s="11" t="str">
        <f t="shared" si="90"/>
        <v>N/OK</v>
      </c>
      <c r="ED18" s="11" t="str">
        <f t="shared" si="91"/>
        <v>N/OK</v>
      </c>
      <c r="EE18" s="11" t="str">
        <f t="shared" si="92"/>
        <v>N/OK</v>
      </c>
      <c r="EF18" s="10">
        <f t="shared" si="93"/>
        <v>6465.8492753623186</v>
      </c>
      <c r="EG18" s="10">
        <f t="shared" si="94"/>
        <v>12636.15072463768</v>
      </c>
      <c r="EH18" s="10">
        <f t="shared" si="95"/>
        <v>19102</v>
      </c>
      <c r="EI18" s="11" t="str">
        <f t="shared" si="96"/>
        <v>N/OK</v>
      </c>
      <c r="EJ18" s="11" t="str">
        <f t="shared" si="97"/>
        <v>N/OK</v>
      </c>
      <c r="EK18" s="11" t="str">
        <f t="shared" si="98"/>
        <v>N/OK</v>
      </c>
      <c r="EL18" s="11" t="str">
        <f t="shared" si="99"/>
        <v>N/OK</v>
      </c>
      <c r="EM18" s="11" t="str">
        <f t="shared" si="100"/>
        <v>N/OK</v>
      </c>
    </row>
  </sheetData>
  <autoFilter ref="A10:EM18">
    <filterColumn colId="4"/>
  </autoFilter>
  <mergeCells count="6">
    <mergeCell ref="CI8:CN8"/>
    <mergeCell ref="CR9:EM9"/>
    <mergeCell ref="A9:M9"/>
    <mergeCell ref="AR9:BA9"/>
    <mergeCell ref="BC9:CQ9"/>
    <mergeCell ref="N9:AQ9"/>
  </mergeCells>
  <conditionalFormatting sqref="CU11:CY18 DC11:DG18 DK11:DO18 DS11:DW18 EA11:EE18 EI11:EM18">
    <cfRule type="cellIs" dxfId="23" priority="119" operator="equal">
      <formula>$CH$4</formula>
    </cfRule>
    <cfRule type="cellIs" dxfId="22" priority="121" operator="equal">
      <formula>$CG$4</formula>
    </cfRule>
  </conditionalFormatting>
  <conditionalFormatting sqref="CY11:CY18">
    <cfRule type="cellIs" dxfId="21" priority="120" operator="equal">
      <formula>$CG$4</formula>
    </cfRule>
  </conditionalFormatting>
  <conditionalFormatting sqref="DC12:DG12 DK12:DO12 EA12:EE12 EI12:EM12 DS12:DW12 CU12:CY12">
    <cfRule type="cellIs" dxfId="20" priority="20" operator="equal">
      <formula>$CH$4</formula>
    </cfRule>
    <cfRule type="cellIs" dxfId="19" priority="21" operator="equal">
      <formula>$CG$4</formula>
    </cfRule>
  </conditionalFormatting>
  <conditionalFormatting sqref="CY12">
    <cfRule type="cellIs" dxfId="18" priority="19" operator="equal">
      <formula>$CG$4</formula>
    </cfRule>
  </conditionalFormatting>
  <conditionalFormatting sqref="DC13:DG13 DK13:DO13 EA13:EE13 EI13:EM13 DS13:DW13 CU13:CY13">
    <cfRule type="cellIs" dxfId="17" priority="17" operator="equal">
      <formula>$CH$4</formula>
    </cfRule>
    <cfRule type="cellIs" dxfId="16" priority="18" operator="equal">
      <formula>$CG$4</formula>
    </cfRule>
  </conditionalFormatting>
  <conditionalFormatting sqref="CY13">
    <cfRule type="cellIs" dxfId="15" priority="16" operator="equal">
      <formula>$CG$4</formula>
    </cfRule>
  </conditionalFormatting>
  <conditionalFormatting sqref="DC14:DG14 DK14:DO14 EA14:EE14 EI14:EM14 DS14:DW14 CU14:CY14">
    <cfRule type="cellIs" dxfId="14" priority="14" operator="equal">
      <formula>$CH$4</formula>
    </cfRule>
    <cfRule type="cellIs" dxfId="13" priority="15" operator="equal">
      <formula>$CG$4</formula>
    </cfRule>
  </conditionalFormatting>
  <conditionalFormatting sqref="CY14">
    <cfRule type="cellIs" dxfId="12" priority="13" operator="equal">
      <formula>$CG$4</formula>
    </cfRule>
  </conditionalFormatting>
  <conditionalFormatting sqref="DC15:DG15 DK15:DO15 EA15:EE15 EI15:EM15 DS15:DW15 CU15:CY15">
    <cfRule type="cellIs" dxfId="11" priority="11" operator="equal">
      <formula>$CH$4</formula>
    </cfRule>
    <cfRule type="cellIs" dxfId="10" priority="12" operator="equal">
      <formula>$CG$4</formula>
    </cfRule>
  </conditionalFormatting>
  <conditionalFormatting sqref="CY15">
    <cfRule type="cellIs" dxfId="9" priority="10" operator="equal">
      <formula>$CG$4</formula>
    </cfRule>
  </conditionalFormatting>
  <conditionalFormatting sqref="DC16:DG16 DK16:DO16 EA16:EE16 EI16:EM16 DS16:DW16 CU16:CY16">
    <cfRule type="cellIs" dxfId="8" priority="8" operator="equal">
      <formula>$CH$4</formula>
    </cfRule>
    <cfRule type="cellIs" dxfId="7" priority="9" operator="equal">
      <formula>$CG$4</formula>
    </cfRule>
  </conditionalFormatting>
  <conditionalFormatting sqref="CY16">
    <cfRule type="cellIs" dxfId="6" priority="7" operator="equal">
      <formula>$CG$4</formula>
    </cfRule>
  </conditionalFormatting>
  <conditionalFormatting sqref="DC17:DG17 DK17:DO17 EA17:EE17 EI17:EM17 DS17:DW17 CU17:CY17">
    <cfRule type="cellIs" dxfId="5" priority="5" operator="equal">
      <formula>$CH$4</formula>
    </cfRule>
    <cfRule type="cellIs" dxfId="4" priority="6" operator="equal">
      <formula>$CG$4</formula>
    </cfRule>
  </conditionalFormatting>
  <conditionalFormatting sqref="CY17">
    <cfRule type="cellIs" dxfId="3" priority="4" operator="equal">
      <formula>$CG$4</formula>
    </cfRule>
  </conditionalFormatting>
  <conditionalFormatting sqref="DC18:DG18 DK18:DO18 EA18:EE18 EI18:EM18 DS18:DW18 CU18:CY18">
    <cfRule type="cellIs" dxfId="2" priority="2" operator="equal">
      <formula>$CH$4</formula>
    </cfRule>
    <cfRule type="cellIs" dxfId="1" priority="3" operator="equal">
      <formula>$CG$4</formula>
    </cfRule>
  </conditionalFormatting>
  <conditionalFormatting sqref="CY18">
    <cfRule type="cellIs" dxfId="0" priority="1" operator="equal">
      <formula>$CG$4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MCOLAK</dc:creator>
  <cp:lastModifiedBy>eates</cp:lastModifiedBy>
  <cp:lastPrinted>2018-10-02T12:14:00Z</cp:lastPrinted>
  <dcterms:created xsi:type="dcterms:W3CDTF">2017-01-24T07:17:51Z</dcterms:created>
  <dcterms:modified xsi:type="dcterms:W3CDTF">2018-10-02T12:14:05Z</dcterms:modified>
</cp:coreProperties>
</file>