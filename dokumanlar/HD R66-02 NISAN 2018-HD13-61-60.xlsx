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89.1.20\Homologasyon\HD Yerleşimler\Paylaşılan Yerleşimler (1)\"/>
    </mc:Choice>
  </mc:AlternateContent>
  <xr:revisionPtr revIDLastSave="0" documentId="13_ncr:1_{B2B42CA1-5DFF-4D09-9B74-00D77CE8199A}" xr6:coauthVersionLast="47" xr6:coauthVersionMax="47" xr10:uidLastSave="{00000000-0000-0000-0000-000000000000}"/>
  <bookViews>
    <workbookView minimized="1" xWindow="2496" yWindow="4260" windowWidth="17280" windowHeight="8976" xr2:uid="{00000000-000D-0000-FFFF-FFFF00000000}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Sayfa1!$A$10:$EM$26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24" i="1" l="1"/>
  <c r="BX25" i="1"/>
  <c r="BW25" i="1" s="1"/>
  <c r="BX26" i="1"/>
  <c r="BW26" i="1" s="1"/>
  <c r="BY13" i="1"/>
  <c r="BY14" i="1"/>
  <c r="BY17" i="1"/>
  <c r="BY18" i="1"/>
  <c r="BY21" i="1"/>
  <c r="BY22" i="1"/>
  <c r="BY25" i="1"/>
  <c r="BY26" i="1"/>
  <c r="BW13" i="1"/>
  <c r="BW14" i="1"/>
  <c r="BW17" i="1"/>
  <c r="BW18" i="1"/>
  <c r="BW21" i="1"/>
  <c r="BW22" i="1"/>
  <c r="BV12" i="1"/>
  <c r="BV13" i="1"/>
  <c r="CQ13" i="1" s="1"/>
  <c r="BV14" i="1"/>
  <c r="BU14" i="1" s="1"/>
  <c r="BV15" i="1"/>
  <c r="BV16" i="1"/>
  <c r="BV17" i="1"/>
  <c r="CQ17" i="1" s="1"/>
  <c r="BV18" i="1"/>
  <c r="BU18" i="1" s="1"/>
  <c r="BV19" i="1"/>
  <c r="BV20" i="1"/>
  <c r="BV21" i="1"/>
  <c r="CQ21" i="1" s="1"/>
  <c r="BV22" i="1"/>
  <c r="BU22" i="1" s="1"/>
  <c r="BV23" i="1"/>
  <c r="BV24" i="1"/>
  <c r="BV25" i="1"/>
  <c r="BV26" i="1"/>
  <c r="BU26" i="1" s="1"/>
  <c r="BU21" i="1"/>
  <c r="BM13" i="1"/>
  <c r="BM14" i="1"/>
  <c r="BM17" i="1"/>
  <c r="BM18" i="1"/>
  <c r="BM21" i="1"/>
  <c r="BM22" i="1"/>
  <c r="BM25" i="1"/>
  <c r="BM26" i="1"/>
  <c r="BK13" i="1"/>
  <c r="BK14" i="1"/>
  <c r="BK17" i="1"/>
  <c r="BK18" i="1"/>
  <c r="BK21" i="1"/>
  <c r="BK22" i="1"/>
  <c r="BK25" i="1"/>
  <c r="BK26" i="1"/>
  <c r="BI13" i="1"/>
  <c r="BI14" i="1"/>
  <c r="BI17" i="1"/>
  <c r="BI18" i="1"/>
  <c r="BI21" i="1"/>
  <c r="BI22" i="1"/>
  <c r="BI25" i="1"/>
  <c r="BI26" i="1"/>
  <c r="BG13" i="1"/>
  <c r="BG14" i="1"/>
  <c r="BG17" i="1"/>
  <c r="BG18" i="1"/>
  <c r="BG21" i="1"/>
  <c r="BG22" i="1"/>
  <c r="BG25" i="1"/>
  <c r="BG26" i="1"/>
  <c r="BE13" i="1"/>
  <c r="BE14" i="1"/>
  <c r="BE17" i="1"/>
  <c r="BE18" i="1"/>
  <c r="BE21" i="1"/>
  <c r="BE22" i="1"/>
  <c r="BE25" i="1"/>
  <c r="BE26" i="1"/>
  <c r="BC13" i="1"/>
  <c r="BC14" i="1"/>
  <c r="BC17" i="1"/>
  <c r="BC18" i="1"/>
  <c r="BC21" i="1"/>
  <c r="BC22" i="1"/>
  <c r="BC25" i="1"/>
  <c r="BC26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AF26" i="1"/>
  <c r="E26" i="1" s="1"/>
  <c r="AF25" i="1"/>
  <c r="E25" i="1" s="1"/>
  <c r="CN24" i="1"/>
  <c r="CK24" i="1"/>
  <c r="CH24" i="1"/>
  <c r="CF24" i="1"/>
  <c r="CD24" i="1"/>
  <c r="CB24" i="1"/>
  <c r="BZ24" i="1"/>
  <c r="BT24" i="1"/>
  <c r="BR24" i="1"/>
  <c r="BQ24" i="1" s="1"/>
  <c r="BP24" i="1"/>
  <c r="BO24" i="1" s="1"/>
  <c r="BN24" i="1"/>
  <c r="BM24" i="1" s="1"/>
  <c r="BL24" i="1"/>
  <c r="BK24" i="1" s="1"/>
  <c r="BJ24" i="1"/>
  <c r="BI24" i="1" s="1"/>
  <c r="BH24" i="1"/>
  <c r="BG24" i="1" s="1"/>
  <c r="BF24" i="1"/>
  <c r="BE24" i="1" s="1"/>
  <c r="BD24" i="1"/>
  <c r="BC24" i="1" s="1"/>
  <c r="AT24" i="1"/>
  <c r="AS24" i="1"/>
  <c r="AR24" i="1"/>
  <c r="AM24" i="1" s="1"/>
  <c r="AQ24" i="1"/>
  <c r="AO24" i="1"/>
  <c r="AI24" i="1"/>
  <c r="AH24" i="1"/>
  <c r="AG24" i="1"/>
  <c r="AF24" i="1"/>
  <c r="E24" i="1" s="1"/>
  <c r="AE24" i="1"/>
  <c r="AD24" i="1"/>
  <c r="K24" i="1"/>
  <c r="CN23" i="1"/>
  <c r="CK23" i="1"/>
  <c r="CH23" i="1"/>
  <c r="CF23" i="1"/>
  <c r="CD23" i="1"/>
  <c r="CB23" i="1"/>
  <c r="BZ23" i="1"/>
  <c r="BX23" i="1"/>
  <c r="BT23" i="1"/>
  <c r="BR23" i="1"/>
  <c r="BQ23" i="1" s="1"/>
  <c r="BP23" i="1"/>
  <c r="BO23" i="1" s="1"/>
  <c r="BN23" i="1"/>
  <c r="BM23" i="1" s="1"/>
  <c r="BL23" i="1"/>
  <c r="BK23" i="1" s="1"/>
  <c r="BJ23" i="1"/>
  <c r="BI23" i="1" s="1"/>
  <c r="BH23" i="1"/>
  <c r="BG23" i="1" s="1"/>
  <c r="BF23" i="1"/>
  <c r="BE23" i="1" s="1"/>
  <c r="BD23" i="1"/>
  <c r="AT23" i="1"/>
  <c r="AS23" i="1"/>
  <c r="AR23" i="1"/>
  <c r="AM23" i="1" s="1"/>
  <c r="AQ23" i="1"/>
  <c r="AO23" i="1"/>
  <c r="AI23" i="1"/>
  <c r="AH23" i="1"/>
  <c r="AG23" i="1"/>
  <c r="AF23" i="1"/>
  <c r="E23" i="1" s="1"/>
  <c r="AE23" i="1"/>
  <c r="AD23" i="1"/>
  <c r="K23" i="1"/>
  <c r="AF22" i="1"/>
  <c r="E22" i="1" s="1"/>
  <c r="AF21" i="1"/>
  <c r="E21" i="1" s="1"/>
  <c r="CN20" i="1"/>
  <c r="CK20" i="1"/>
  <c r="CH20" i="1"/>
  <c r="CF20" i="1"/>
  <c r="CD20" i="1"/>
  <c r="CB20" i="1"/>
  <c r="BZ20" i="1"/>
  <c r="BX20" i="1"/>
  <c r="BT20" i="1"/>
  <c r="BR20" i="1"/>
  <c r="BQ20" i="1" s="1"/>
  <c r="BP20" i="1"/>
  <c r="BO20" i="1" s="1"/>
  <c r="BN20" i="1"/>
  <c r="BM20" i="1" s="1"/>
  <c r="BL20" i="1"/>
  <c r="BK20" i="1" s="1"/>
  <c r="BJ20" i="1"/>
  <c r="BI20" i="1" s="1"/>
  <c r="BH20" i="1"/>
  <c r="BG20" i="1" s="1"/>
  <c r="BF20" i="1"/>
  <c r="BE20" i="1" s="1"/>
  <c r="BD20" i="1"/>
  <c r="BC20" i="1" s="1"/>
  <c r="AT20" i="1"/>
  <c r="AS20" i="1"/>
  <c r="AR20" i="1"/>
  <c r="AM20" i="1" s="1"/>
  <c r="AQ20" i="1"/>
  <c r="AO20" i="1"/>
  <c r="AI20" i="1"/>
  <c r="AH20" i="1"/>
  <c r="AG20" i="1"/>
  <c r="AF20" i="1"/>
  <c r="E20" i="1" s="1"/>
  <c r="AE20" i="1"/>
  <c r="AD20" i="1"/>
  <c r="K20" i="1"/>
  <c r="CN19" i="1"/>
  <c r="CK19" i="1"/>
  <c r="CH19" i="1"/>
  <c r="CF19" i="1"/>
  <c r="CD19" i="1"/>
  <c r="CB19" i="1"/>
  <c r="BZ19" i="1"/>
  <c r="BX19" i="1"/>
  <c r="BT19" i="1"/>
  <c r="BR19" i="1"/>
  <c r="BQ19" i="1" s="1"/>
  <c r="BP19" i="1"/>
  <c r="BO19" i="1" s="1"/>
  <c r="BN19" i="1"/>
  <c r="BM19" i="1" s="1"/>
  <c r="BL19" i="1"/>
  <c r="BK19" i="1" s="1"/>
  <c r="BJ19" i="1"/>
  <c r="BI19" i="1" s="1"/>
  <c r="BH19" i="1"/>
  <c r="BG19" i="1" s="1"/>
  <c r="BF19" i="1"/>
  <c r="BE19" i="1" s="1"/>
  <c r="BD19" i="1"/>
  <c r="AT19" i="1"/>
  <c r="AS19" i="1"/>
  <c r="AR19" i="1"/>
  <c r="AM19" i="1" s="1"/>
  <c r="AQ19" i="1"/>
  <c r="AO19" i="1"/>
  <c r="AI19" i="1"/>
  <c r="AH19" i="1"/>
  <c r="AG19" i="1"/>
  <c r="AF19" i="1"/>
  <c r="E19" i="1" s="1"/>
  <c r="AE19" i="1"/>
  <c r="AD19" i="1"/>
  <c r="K19" i="1"/>
  <c r="AF18" i="1"/>
  <c r="E18" i="1" s="1"/>
  <c r="AF17" i="1"/>
  <c r="E17" i="1" s="1"/>
  <c r="CN16" i="1"/>
  <c r="CK16" i="1"/>
  <c r="CH16" i="1"/>
  <c r="CF16" i="1"/>
  <c r="CD16" i="1"/>
  <c r="CB16" i="1"/>
  <c r="BZ16" i="1"/>
  <c r="BX16" i="1"/>
  <c r="BT16" i="1"/>
  <c r="BR16" i="1"/>
  <c r="BQ16" i="1" s="1"/>
  <c r="BP16" i="1"/>
  <c r="BO16" i="1" s="1"/>
  <c r="BN16" i="1"/>
  <c r="BM16" i="1" s="1"/>
  <c r="BL16" i="1"/>
  <c r="BK16" i="1" s="1"/>
  <c r="BJ16" i="1"/>
  <c r="BI16" i="1" s="1"/>
  <c r="BH16" i="1"/>
  <c r="BG16" i="1" s="1"/>
  <c r="BF16" i="1"/>
  <c r="BE16" i="1" s="1"/>
  <c r="BD16" i="1"/>
  <c r="BC16" i="1" s="1"/>
  <c r="AT16" i="1"/>
  <c r="AS16" i="1"/>
  <c r="AR16" i="1"/>
  <c r="AM16" i="1" s="1"/>
  <c r="AQ16" i="1"/>
  <c r="AO16" i="1"/>
  <c r="AI16" i="1"/>
  <c r="AH16" i="1"/>
  <c r="AG16" i="1"/>
  <c r="AF16" i="1"/>
  <c r="E16" i="1" s="1"/>
  <c r="AE16" i="1"/>
  <c r="AD16" i="1"/>
  <c r="K16" i="1"/>
  <c r="CN15" i="1"/>
  <c r="CK15" i="1"/>
  <c r="CH15" i="1"/>
  <c r="CF15" i="1"/>
  <c r="CD15" i="1"/>
  <c r="CB15" i="1"/>
  <c r="BZ15" i="1"/>
  <c r="BX15" i="1"/>
  <c r="BT15" i="1"/>
  <c r="BR15" i="1"/>
  <c r="BQ15" i="1" s="1"/>
  <c r="BP15" i="1"/>
  <c r="BO15" i="1" s="1"/>
  <c r="BN15" i="1"/>
  <c r="BM15" i="1" s="1"/>
  <c r="BL15" i="1"/>
  <c r="BK15" i="1" s="1"/>
  <c r="BJ15" i="1"/>
  <c r="BI15" i="1" s="1"/>
  <c r="BH15" i="1"/>
  <c r="BG15" i="1" s="1"/>
  <c r="BF15" i="1"/>
  <c r="BE15" i="1" s="1"/>
  <c r="BD15" i="1"/>
  <c r="AT15" i="1"/>
  <c r="AS15" i="1"/>
  <c r="AR15" i="1"/>
  <c r="AM15" i="1" s="1"/>
  <c r="BW15" i="1" s="1"/>
  <c r="AQ15" i="1"/>
  <c r="AO15" i="1"/>
  <c r="AI15" i="1"/>
  <c r="AH15" i="1"/>
  <c r="AG15" i="1"/>
  <c r="AF15" i="1"/>
  <c r="E15" i="1" s="1"/>
  <c r="AE15" i="1"/>
  <c r="AD15" i="1"/>
  <c r="K15" i="1"/>
  <c r="AF13" i="1"/>
  <c r="E13" i="1" s="1"/>
  <c r="AF14" i="1"/>
  <c r="E14" i="1" s="1"/>
  <c r="CN12" i="1"/>
  <c r="CK12" i="1"/>
  <c r="CH12" i="1"/>
  <c r="CF12" i="1"/>
  <c r="CD12" i="1"/>
  <c r="CB12" i="1"/>
  <c r="BZ12" i="1"/>
  <c r="BX12" i="1"/>
  <c r="BT12" i="1"/>
  <c r="BR12" i="1"/>
  <c r="BQ12" i="1" s="1"/>
  <c r="BP12" i="1"/>
  <c r="BO12" i="1" s="1"/>
  <c r="BN12" i="1"/>
  <c r="BM12" i="1" s="1"/>
  <c r="BL12" i="1"/>
  <c r="BK12" i="1" s="1"/>
  <c r="BJ12" i="1"/>
  <c r="BI12" i="1" s="1"/>
  <c r="BH12" i="1"/>
  <c r="BF12" i="1"/>
  <c r="BE12" i="1" s="1"/>
  <c r="BD12" i="1"/>
  <c r="BC12" i="1" s="1"/>
  <c r="AT12" i="1"/>
  <c r="AS12" i="1"/>
  <c r="AR12" i="1"/>
  <c r="AQ12" i="1"/>
  <c r="AO12" i="1"/>
  <c r="AI12" i="1"/>
  <c r="AH12" i="1"/>
  <c r="AG12" i="1"/>
  <c r="AF12" i="1"/>
  <c r="E12" i="1" s="1"/>
  <c r="AE12" i="1"/>
  <c r="AD12" i="1"/>
  <c r="K12" i="1"/>
  <c r="H12" i="1"/>
  <c r="AT11" i="1"/>
  <c r="AS11" i="1"/>
  <c r="CQ25" i="1" l="1"/>
  <c r="BY23" i="1"/>
  <c r="CC19" i="1"/>
  <c r="BW20" i="1"/>
  <c r="AK16" i="1"/>
  <c r="BU16" i="1" s="1"/>
  <c r="BU13" i="1"/>
  <c r="CO13" i="1" s="1"/>
  <c r="BY20" i="1"/>
  <c r="BY15" i="1"/>
  <c r="BW19" i="1"/>
  <c r="CE23" i="1"/>
  <c r="CQ15" i="1"/>
  <c r="BY16" i="1"/>
  <c r="CQ12" i="1"/>
  <c r="BU17" i="1"/>
  <c r="AK15" i="1"/>
  <c r="BU15" i="1" s="1"/>
  <c r="BW16" i="1"/>
  <c r="CA19" i="1"/>
  <c r="CQ23" i="1"/>
  <c r="CO21" i="1"/>
  <c r="CR21" i="1" s="1"/>
  <c r="DH21" i="1" s="1"/>
  <c r="CO18" i="1"/>
  <c r="CR18" i="1" s="1"/>
  <c r="AK20" i="1"/>
  <c r="BU20" i="1" s="1"/>
  <c r="CO17" i="1"/>
  <c r="CR17" i="1" s="1"/>
  <c r="CZ17" i="1" s="1"/>
  <c r="AK19" i="1"/>
  <c r="BU19" i="1" s="1"/>
  <c r="BU25" i="1"/>
  <c r="CO25" i="1" s="1"/>
  <c r="CR25" i="1" s="1"/>
  <c r="DX25" i="1" s="1"/>
  <c r="BY19" i="1"/>
  <c r="BW23" i="1"/>
  <c r="BY12" i="1"/>
  <c r="CQ19" i="1"/>
  <c r="CO26" i="1"/>
  <c r="CR26" i="1" s="1"/>
  <c r="CQ24" i="1"/>
  <c r="CQ20" i="1"/>
  <c r="BY24" i="1"/>
  <c r="BG12" i="1"/>
  <c r="CZ18" i="1"/>
  <c r="AK24" i="1"/>
  <c r="BU24" i="1" s="1"/>
  <c r="CO22" i="1"/>
  <c r="CR22" i="1" s="1"/>
  <c r="CO14" i="1"/>
  <c r="CR14" i="1" s="1"/>
  <c r="CQ16" i="1"/>
  <c r="BS12" i="1"/>
  <c r="CC16" i="1"/>
  <c r="CC20" i="1"/>
  <c r="CG24" i="1"/>
  <c r="BC23" i="1"/>
  <c r="BC19" i="1"/>
  <c r="BC15" i="1"/>
  <c r="BW24" i="1"/>
  <c r="CQ26" i="1"/>
  <c r="CQ22" i="1"/>
  <c r="CQ18" i="1"/>
  <c r="CQ14" i="1"/>
  <c r="CA16" i="1"/>
  <c r="BS19" i="1"/>
  <c r="BS24" i="1"/>
  <c r="AV12" i="1"/>
  <c r="CA15" i="1"/>
  <c r="AU16" i="1"/>
  <c r="AX16" i="1" s="1"/>
  <c r="CE16" i="1"/>
  <c r="AU12" i="1"/>
  <c r="AX12" i="1" s="1"/>
  <c r="AU19" i="1"/>
  <c r="AX19" i="1" s="1"/>
  <c r="CG20" i="1"/>
  <c r="CA12" i="1"/>
  <c r="AV15" i="1"/>
  <c r="AK23" i="1"/>
  <c r="BU23" i="1" s="1"/>
  <c r="BS15" i="1"/>
  <c r="CG12" i="1"/>
  <c r="CG15" i="1"/>
  <c r="AU15" i="1"/>
  <c r="AX15" i="1" s="1"/>
  <c r="BS16" i="1"/>
  <c r="BS20" i="1"/>
  <c r="BS23" i="1"/>
  <c r="CA23" i="1"/>
  <c r="CE12" i="1"/>
  <c r="CE15" i="1"/>
  <c r="CG23" i="1"/>
  <c r="CC24" i="1"/>
  <c r="AU24" i="1"/>
  <c r="AX24" i="1" s="1"/>
  <c r="AK12" i="1"/>
  <c r="BU12" i="1" s="1"/>
  <c r="CA20" i="1"/>
  <c r="CC23" i="1"/>
  <c r="AU23" i="1"/>
  <c r="AX23" i="1" s="1"/>
  <c r="CC15" i="1"/>
  <c r="CE20" i="1"/>
  <c r="CA24" i="1"/>
  <c r="CE24" i="1"/>
  <c r="CG16" i="1"/>
  <c r="CE19" i="1"/>
  <c r="CG19" i="1"/>
  <c r="AU20" i="1"/>
  <c r="AX20" i="1" s="1"/>
  <c r="AV24" i="1"/>
  <c r="AV23" i="1"/>
  <c r="AV20" i="1"/>
  <c r="AV19" i="1"/>
  <c r="AV16" i="1"/>
  <c r="CC12" i="1"/>
  <c r="AM12" i="1"/>
  <c r="BW12" i="1" s="1"/>
  <c r="H11" i="1"/>
  <c r="K11" i="1"/>
  <c r="AD11" i="1"/>
  <c r="AE11" i="1"/>
  <c r="AF11" i="1"/>
  <c r="E11" i="1" s="1"/>
  <c r="AG11" i="1"/>
  <c r="AH11" i="1"/>
  <c r="AI11" i="1"/>
  <c r="AO11" i="1"/>
  <c r="AQ11" i="1"/>
  <c r="AR11" i="1"/>
  <c r="AM11" i="1" s="1"/>
  <c r="BD11" i="1"/>
  <c r="BC11" i="1" s="1"/>
  <c r="BF11" i="1"/>
  <c r="BE11" i="1" s="1"/>
  <c r="BH11" i="1"/>
  <c r="BG11" i="1" s="1"/>
  <c r="BJ11" i="1"/>
  <c r="BI11" i="1" s="1"/>
  <c r="BL11" i="1"/>
  <c r="BK11" i="1" s="1"/>
  <c r="BN11" i="1"/>
  <c r="BM11" i="1" s="1"/>
  <c r="BP11" i="1"/>
  <c r="BO11" i="1" s="1"/>
  <c r="BR11" i="1"/>
  <c r="BQ11" i="1" s="1"/>
  <c r="BT11" i="1"/>
  <c r="BV11" i="1"/>
  <c r="BX11" i="1"/>
  <c r="BZ11" i="1"/>
  <c r="CB11" i="1"/>
  <c r="CD11" i="1"/>
  <c r="CF11" i="1"/>
  <c r="CH11" i="1"/>
  <c r="CK11" i="1"/>
  <c r="CN11" i="1"/>
  <c r="DX17" i="1" l="1"/>
  <c r="DH17" i="1"/>
  <c r="DP17" i="1" s="1"/>
  <c r="CP17" i="1"/>
  <c r="CS17" i="1" s="1"/>
  <c r="CT17" i="1" s="1"/>
  <c r="CU17" i="1" s="1"/>
  <c r="CR13" i="1"/>
  <c r="CP13" i="1"/>
  <c r="CS13" i="1" s="1"/>
  <c r="CP25" i="1"/>
  <c r="CS25" i="1" s="1"/>
  <c r="CT25" i="1" s="1"/>
  <c r="CX25" i="1" s="1"/>
  <c r="DX21" i="1"/>
  <c r="CO20" i="1"/>
  <c r="CP20" i="1" s="1"/>
  <c r="CO16" i="1"/>
  <c r="CP16" i="1" s="1"/>
  <c r="CP14" i="1"/>
  <c r="CS14" i="1" s="1"/>
  <c r="DA14" i="1" s="1"/>
  <c r="DH25" i="1"/>
  <c r="DP25" i="1" s="1"/>
  <c r="CO24" i="1"/>
  <c r="CR24" i="1" s="1"/>
  <c r="CZ25" i="1"/>
  <c r="CP18" i="1"/>
  <c r="CS18" i="1" s="1"/>
  <c r="DI18" i="1" s="1"/>
  <c r="CP22" i="1"/>
  <c r="CS22" i="1" s="1"/>
  <c r="CT22" i="1" s="1"/>
  <c r="CY22" i="1" s="1"/>
  <c r="CZ21" i="1"/>
  <c r="CP26" i="1"/>
  <c r="CS26" i="1" s="1"/>
  <c r="DA26" i="1" s="1"/>
  <c r="CP21" i="1"/>
  <c r="CS21" i="1" s="1"/>
  <c r="DI21" i="1" s="1"/>
  <c r="DQ21" i="1" s="1"/>
  <c r="DY21" i="1" s="1"/>
  <c r="EG21" i="1" s="1"/>
  <c r="DX18" i="1"/>
  <c r="EF18" i="1" s="1"/>
  <c r="DH18" i="1"/>
  <c r="DP18" i="1" s="1"/>
  <c r="CO12" i="1"/>
  <c r="CP12" i="1" s="1"/>
  <c r="CZ22" i="1"/>
  <c r="DX22" i="1"/>
  <c r="DH22" i="1"/>
  <c r="DA17" i="1"/>
  <c r="DB17" i="1" s="1"/>
  <c r="DP21" i="1"/>
  <c r="CO19" i="1"/>
  <c r="CR19" i="1" s="1"/>
  <c r="DX14" i="1"/>
  <c r="DH14" i="1"/>
  <c r="CZ14" i="1"/>
  <c r="DI13" i="1"/>
  <c r="DQ13" i="1" s="1"/>
  <c r="DY13" i="1" s="1"/>
  <c r="EG13" i="1" s="1"/>
  <c r="DA13" i="1"/>
  <c r="DX26" i="1"/>
  <c r="DH26" i="1"/>
  <c r="CZ26" i="1"/>
  <c r="EF25" i="1"/>
  <c r="CO15" i="1"/>
  <c r="CP15" i="1" s="1"/>
  <c r="DA21" i="1"/>
  <c r="EF21" i="1"/>
  <c r="EF17" i="1"/>
  <c r="CO23" i="1"/>
  <c r="CP23" i="1" s="1"/>
  <c r="CR23" i="1"/>
  <c r="CR12" i="1"/>
  <c r="AW19" i="1"/>
  <c r="AW12" i="1"/>
  <c r="CS12" i="1" s="1"/>
  <c r="AW15" i="1"/>
  <c r="AW24" i="1"/>
  <c r="AW23" i="1"/>
  <c r="AW16" i="1"/>
  <c r="AW20" i="1"/>
  <c r="CQ11" i="1"/>
  <c r="CE11" i="1"/>
  <c r="CG11" i="1"/>
  <c r="BY11" i="1"/>
  <c r="CA11" i="1"/>
  <c r="CC11" i="1"/>
  <c r="BS11" i="1"/>
  <c r="AK11" i="1"/>
  <c r="BU11" i="1" s="1"/>
  <c r="AV11" i="1"/>
  <c r="BW11" i="1"/>
  <c r="AU11" i="1"/>
  <c r="AX11" i="1" s="1"/>
  <c r="DA22" i="1" l="1"/>
  <c r="DB22" i="1" s="1"/>
  <c r="DG22" i="1" s="1"/>
  <c r="DI17" i="1"/>
  <c r="DQ17" i="1" s="1"/>
  <c r="DY17" i="1" s="1"/>
  <c r="EG17" i="1" s="1"/>
  <c r="CT21" i="1"/>
  <c r="CY21" i="1" s="1"/>
  <c r="DI22" i="1"/>
  <c r="DQ22" i="1" s="1"/>
  <c r="DY22" i="1" s="1"/>
  <c r="EG22" i="1" s="1"/>
  <c r="CR20" i="1"/>
  <c r="DX20" i="1" s="1"/>
  <c r="DA25" i="1"/>
  <c r="CV22" i="1"/>
  <c r="DI25" i="1"/>
  <c r="DQ25" i="1" s="1"/>
  <c r="DY25" i="1" s="1"/>
  <c r="EG25" i="1" s="1"/>
  <c r="CU25" i="1"/>
  <c r="CS23" i="1"/>
  <c r="DI23" i="1" s="1"/>
  <c r="DQ23" i="1" s="1"/>
  <c r="DY23" i="1" s="1"/>
  <c r="EG23" i="1" s="1"/>
  <c r="CP24" i="1"/>
  <c r="CS24" i="1" s="1"/>
  <c r="CR16" i="1"/>
  <c r="DX16" i="1" s="1"/>
  <c r="CV26" i="1"/>
  <c r="CW14" i="1"/>
  <c r="CS15" i="1"/>
  <c r="DA15" i="1" s="1"/>
  <c r="CP19" i="1"/>
  <c r="CU26" i="1"/>
  <c r="CT14" i="1"/>
  <c r="CY14" i="1" s="1"/>
  <c r="CU22" i="1"/>
  <c r="CZ13" i="1"/>
  <c r="DX13" i="1"/>
  <c r="DH13" i="1"/>
  <c r="CT13" i="1"/>
  <c r="CX13" i="1" s="1"/>
  <c r="DI14" i="1"/>
  <c r="DQ14" i="1" s="1"/>
  <c r="DY14" i="1" s="1"/>
  <c r="EG14" i="1" s="1"/>
  <c r="CY26" i="1"/>
  <c r="CS19" i="1"/>
  <c r="DI26" i="1"/>
  <c r="DQ26" i="1" s="1"/>
  <c r="DY26" i="1" s="1"/>
  <c r="EG26" i="1" s="1"/>
  <c r="DD17" i="1"/>
  <c r="DG17" i="1"/>
  <c r="DC17" i="1"/>
  <c r="CY25" i="1"/>
  <c r="CV17" i="1"/>
  <c r="CV25" i="1"/>
  <c r="CU14" i="1"/>
  <c r="CX22" i="1"/>
  <c r="CV14" i="1"/>
  <c r="CS16" i="1"/>
  <c r="DI16" i="1" s="1"/>
  <c r="DQ16" i="1" s="1"/>
  <c r="DY16" i="1" s="1"/>
  <c r="EG16" i="1" s="1"/>
  <c r="CT18" i="1"/>
  <c r="CX18" i="1" s="1"/>
  <c r="CS20" i="1"/>
  <c r="DA18" i="1"/>
  <c r="DB18" i="1" s="1"/>
  <c r="CW26" i="1"/>
  <c r="DE17" i="1"/>
  <c r="CX26" i="1"/>
  <c r="DC18" i="1"/>
  <c r="DD18" i="1"/>
  <c r="CZ20" i="1"/>
  <c r="EF26" i="1"/>
  <c r="DQ18" i="1"/>
  <c r="DJ18" i="1"/>
  <c r="DN18" i="1" s="1"/>
  <c r="DO18" i="1"/>
  <c r="EH21" i="1"/>
  <c r="EL21" i="1" s="1"/>
  <c r="EK21" i="1"/>
  <c r="DJ26" i="1"/>
  <c r="DN26" i="1" s="1"/>
  <c r="DP26" i="1"/>
  <c r="DB14" i="1"/>
  <c r="DF14" i="1" s="1"/>
  <c r="DZ22" i="1"/>
  <c r="ED22" i="1" s="1"/>
  <c r="EF22" i="1"/>
  <c r="CV21" i="1"/>
  <c r="CW17" i="1"/>
  <c r="CR15" i="1"/>
  <c r="CW25" i="1"/>
  <c r="DB13" i="1"/>
  <c r="DD13" i="1" s="1"/>
  <c r="CU21" i="1"/>
  <c r="DJ21" i="1"/>
  <c r="DN21" i="1" s="1"/>
  <c r="DL21" i="1"/>
  <c r="DF17" i="1"/>
  <c r="DF18" i="1"/>
  <c r="DI20" i="1"/>
  <c r="DQ20" i="1" s="1"/>
  <c r="DY20" i="1" s="1"/>
  <c r="EG20" i="1" s="1"/>
  <c r="CT23" i="1"/>
  <c r="CX23" i="1" s="1"/>
  <c r="CW23" i="1"/>
  <c r="DX23" i="1"/>
  <c r="DH23" i="1"/>
  <c r="CZ23" i="1"/>
  <c r="DJ14" i="1"/>
  <c r="DO14" i="1" s="1"/>
  <c r="DP14" i="1"/>
  <c r="DX19" i="1"/>
  <c r="DH19" i="1"/>
  <c r="CZ19" i="1"/>
  <c r="DR21" i="1"/>
  <c r="DW21" i="1" s="1"/>
  <c r="DA23" i="1"/>
  <c r="DA19" i="1"/>
  <c r="CV18" i="1"/>
  <c r="DX12" i="1"/>
  <c r="DH12" i="1"/>
  <c r="CZ12" i="1"/>
  <c r="CT12" i="1"/>
  <c r="CV12" i="1" s="1"/>
  <c r="DB26" i="1"/>
  <c r="DC26" i="1" s="1"/>
  <c r="DJ22" i="1"/>
  <c r="DM22" i="1" s="1"/>
  <c r="DP22" i="1"/>
  <c r="DL22" i="1"/>
  <c r="CY17" i="1"/>
  <c r="DZ21" i="1"/>
  <c r="ED21" i="1" s="1"/>
  <c r="DB21" i="1"/>
  <c r="DF21" i="1" s="1"/>
  <c r="CX17" i="1"/>
  <c r="DO21" i="1"/>
  <c r="CW22" i="1"/>
  <c r="CX21" i="1"/>
  <c r="EH17" i="1"/>
  <c r="EL17" i="1" s="1"/>
  <c r="DI12" i="1"/>
  <c r="DQ12" i="1" s="1"/>
  <c r="DY12" i="1" s="1"/>
  <c r="EG12" i="1" s="1"/>
  <c r="DA12" i="1"/>
  <c r="DX24" i="1"/>
  <c r="DH24" i="1"/>
  <c r="CZ24" i="1"/>
  <c r="EH25" i="1"/>
  <c r="EJ25" i="1" s="1"/>
  <c r="DZ14" i="1"/>
  <c r="EA14" i="1" s="1"/>
  <c r="EF14" i="1"/>
  <c r="CW21" i="1"/>
  <c r="DB25" i="1"/>
  <c r="DC25" i="1" s="1"/>
  <c r="CO11" i="1"/>
  <c r="CP11" i="1" s="1"/>
  <c r="AW11" i="1"/>
  <c r="DZ17" i="1" l="1"/>
  <c r="EC17" i="1" s="1"/>
  <c r="DJ17" i="1"/>
  <c r="CT16" i="1"/>
  <c r="CU16" i="1" s="1"/>
  <c r="DR17" i="1"/>
  <c r="DT17" i="1" s="1"/>
  <c r="DL18" i="1"/>
  <c r="DH20" i="1"/>
  <c r="DP20" i="1" s="1"/>
  <c r="DA16" i="1"/>
  <c r="CZ16" i="1"/>
  <c r="DK18" i="1"/>
  <c r="CT20" i="1"/>
  <c r="DJ25" i="1"/>
  <c r="DN25" i="1" s="1"/>
  <c r="DM18" i="1"/>
  <c r="EK17" i="1"/>
  <c r="DE14" i="1"/>
  <c r="CU13" i="1"/>
  <c r="DZ25" i="1"/>
  <c r="DK25" i="1"/>
  <c r="CV13" i="1"/>
  <c r="DL25" i="1"/>
  <c r="DR25" i="1"/>
  <c r="DV25" i="1" s="1"/>
  <c r="CY13" i="1"/>
  <c r="CW13" i="1"/>
  <c r="DM26" i="1"/>
  <c r="DE18" i="1"/>
  <c r="DI24" i="1"/>
  <c r="DQ24" i="1" s="1"/>
  <c r="DY24" i="1" s="1"/>
  <c r="EG24" i="1" s="1"/>
  <c r="DA24" i="1"/>
  <c r="DB24" i="1" s="1"/>
  <c r="DC24" i="1" s="1"/>
  <c r="CT24" i="1"/>
  <c r="CW24" i="1" s="1"/>
  <c r="DI19" i="1"/>
  <c r="DQ19" i="1" s="1"/>
  <c r="DY19" i="1" s="1"/>
  <c r="EG19" i="1" s="1"/>
  <c r="DK22" i="1"/>
  <c r="CT19" i="1"/>
  <c r="DI15" i="1"/>
  <c r="DQ15" i="1" s="1"/>
  <c r="DY15" i="1" s="1"/>
  <c r="EG15" i="1" s="1"/>
  <c r="CX16" i="1"/>
  <c r="EL25" i="1"/>
  <c r="DH16" i="1"/>
  <c r="DN22" i="1"/>
  <c r="EB14" i="1"/>
  <c r="DO22" i="1"/>
  <c r="DA20" i="1"/>
  <c r="DB20" i="1" s="1"/>
  <c r="DZ26" i="1"/>
  <c r="EB26" i="1" s="1"/>
  <c r="DJ13" i="1"/>
  <c r="DM13" i="1" s="1"/>
  <c r="DP13" i="1"/>
  <c r="EF13" i="1"/>
  <c r="DZ13" i="1"/>
  <c r="DG18" i="1"/>
  <c r="CX14" i="1"/>
  <c r="CY20" i="1"/>
  <c r="CU20" i="1"/>
  <c r="CX20" i="1"/>
  <c r="DD22" i="1"/>
  <c r="EJ17" i="1"/>
  <c r="DM21" i="1"/>
  <c r="DE26" i="1"/>
  <c r="CX12" i="1"/>
  <c r="CW12" i="1"/>
  <c r="DU21" i="1"/>
  <c r="DK14" i="1"/>
  <c r="DD14" i="1"/>
  <c r="DO26" i="1"/>
  <c r="CU23" i="1"/>
  <c r="DF22" i="1"/>
  <c r="DF26" i="1"/>
  <c r="CU12" i="1"/>
  <c r="CW18" i="1"/>
  <c r="DT21" i="1"/>
  <c r="CV23" i="1"/>
  <c r="ED14" i="1"/>
  <c r="EI17" i="1"/>
  <c r="DC22" i="1"/>
  <c r="CY12" i="1"/>
  <c r="CY18" i="1"/>
  <c r="DV21" i="1"/>
  <c r="CU18" i="1"/>
  <c r="DC14" i="1"/>
  <c r="EM21" i="1"/>
  <c r="DK21" i="1"/>
  <c r="DF25" i="1"/>
  <c r="DS21" i="1"/>
  <c r="DG14" i="1"/>
  <c r="EI21" i="1"/>
  <c r="EM17" i="1"/>
  <c r="DO17" i="1"/>
  <c r="DM17" i="1"/>
  <c r="DK17" i="1"/>
  <c r="DP24" i="1"/>
  <c r="DG21" i="1"/>
  <c r="DE21" i="1"/>
  <c r="DC21" i="1"/>
  <c r="DR22" i="1"/>
  <c r="DV22" i="1" s="1"/>
  <c r="EF12" i="1"/>
  <c r="DZ12" i="1"/>
  <c r="EC12" i="1" s="1"/>
  <c r="EF19" i="1"/>
  <c r="DZ23" i="1"/>
  <c r="EC23" i="1" s="1"/>
  <c r="EF23" i="1"/>
  <c r="DY18" i="1"/>
  <c r="DR18" i="1"/>
  <c r="DU18" i="1" s="1"/>
  <c r="DW17" i="1"/>
  <c r="EI25" i="1"/>
  <c r="DW25" i="1"/>
  <c r="DL17" i="1"/>
  <c r="CV16" i="1"/>
  <c r="CW16" i="1"/>
  <c r="DL14" i="1"/>
  <c r="DN14" i="1"/>
  <c r="CY23" i="1"/>
  <c r="DU17" i="1"/>
  <c r="EC22" i="1"/>
  <c r="EE22" i="1"/>
  <c r="DL26" i="1"/>
  <c r="DK26" i="1"/>
  <c r="EJ21" i="1"/>
  <c r="CV20" i="1"/>
  <c r="CW20" i="1"/>
  <c r="DD25" i="1"/>
  <c r="EF24" i="1"/>
  <c r="EE21" i="1"/>
  <c r="EC21" i="1"/>
  <c r="EA21" i="1"/>
  <c r="EF16" i="1"/>
  <c r="DZ16" i="1"/>
  <c r="EC16" i="1" s="1"/>
  <c r="DP12" i="1"/>
  <c r="DJ12" i="1"/>
  <c r="DL12" i="1" s="1"/>
  <c r="DJ19" i="1"/>
  <c r="DM19" i="1" s="1"/>
  <c r="DP19" i="1"/>
  <c r="DJ23" i="1"/>
  <c r="DM23" i="1" s="1"/>
  <c r="DP23" i="1"/>
  <c r="DO23" i="1"/>
  <c r="CT15" i="1"/>
  <c r="CX15" i="1" s="1"/>
  <c r="DX15" i="1"/>
  <c r="DH15" i="1"/>
  <c r="CZ15" i="1"/>
  <c r="EH22" i="1"/>
  <c r="EK22" i="1" s="1"/>
  <c r="DR26" i="1"/>
  <c r="DV26" i="1" s="1"/>
  <c r="EF20" i="1"/>
  <c r="DZ20" i="1"/>
  <c r="EE20" i="1" s="1"/>
  <c r="EM25" i="1"/>
  <c r="DG26" i="1"/>
  <c r="CY16" i="1"/>
  <c r="EA22" i="1"/>
  <c r="DD21" i="1"/>
  <c r="DB16" i="1"/>
  <c r="DC16" i="1" s="1"/>
  <c r="DR14" i="1"/>
  <c r="DV14" i="1" s="1"/>
  <c r="DE25" i="1"/>
  <c r="DG25" i="1"/>
  <c r="EH14" i="1"/>
  <c r="EK14" i="1" s="1"/>
  <c r="DB12" i="1"/>
  <c r="DG12" i="1" s="1"/>
  <c r="DB19" i="1"/>
  <c r="DF19" i="1" s="1"/>
  <c r="DB23" i="1"/>
  <c r="DE23" i="1" s="1"/>
  <c r="DC13" i="1"/>
  <c r="DG13" i="1"/>
  <c r="DE13" i="1"/>
  <c r="DF13" i="1"/>
  <c r="EH26" i="1"/>
  <c r="EI26" i="1" s="1"/>
  <c r="EK25" i="1"/>
  <c r="EC14" i="1"/>
  <c r="EE14" i="1"/>
  <c r="DE22" i="1"/>
  <c r="EB21" i="1"/>
  <c r="DD26" i="1"/>
  <c r="DM14" i="1"/>
  <c r="DN17" i="1"/>
  <c r="EB22" i="1"/>
  <c r="CS11" i="1"/>
  <c r="DA11" i="1" s="1"/>
  <c r="CR11" i="1"/>
  <c r="CZ11" i="1" s="1"/>
  <c r="DP16" i="1" l="1"/>
  <c r="EE17" i="1"/>
  <c r="DJ16" i="1"/>
  <c r="DN16" i="1" s="1"/>
  <c r="DG23" i="1"/>
  <c r="DV17" i="1"/>
  <c r="EI22" i="1"/>
  <c r="DO19" i="1"/>
  <c r="DM25" i="1"/>
  <c r="EB17" i="1"/>
  <c r="EA17" i="1"/>
  <c r="DJ20" i="1"/>
  <c r="DL20" i="1" s="1"/>
  <c r="DF23" i="1"/>
  <c r="DS17" i="1"/>
  <c r="DZ19" i="1"/>
  <c r="ED19" i="1" s="1"/>
  <c r="CX24" i="1"/>
  <c r="DO25" i="1"/>
  <c r="ED17" i="1"/>
  <c r="EC20" i="1"/>
  <c r="ED25" i="1"/>
  <c r="EC25" i="1"/>
  <c r="EB25" i="1"/>
  <c r="EE25" i="1"/>
  <c r="DT25" i="1"/>
  <c r="DG19" i="1"/>
  <c r="DJ24" i="1"/>
  <c r="DM24" i="1" s="1"/>
  <c r="DE24" i="1"/>
  <c r="DU25" i="1"/>
  <c r="EE23" i="1"/>
  <c r="DS25" i="1"/>
  <c r="DZ24" i="1"/>
  <c r="EC24" i="1" s="1"/>
  <c r="EA25" i="1"/>
  <c r="DD20" i="1"/>
  <c r="DC20" i="1"/>
  <c r="DT26" i="1"/>
  <c r="DN19" i="1"/>
  <c r="EC26" i="1"/>
  <c r="DT14" i="1"/>
  <c r="CW19" i="1"/>
  <c r="CV19" i="1"/>
  <c r="CY19" i="1"/>
  <c r="CU19" i="1"/>
  <c r="EJ14" i="1"/>
  <c r="DC23" i="1"/>
  <c r="DF12" i="1"/>
  <c r="EM14" i="1"/>
  <c r="EL22" i="1"/>
  <c r="DN12" i="1"/>
  <c r="EB13" i="1"/>
  <c r="ED13" i="1"/>
  <c r="EE13" i="1"/>
  <c r="EC13" i="1"/>
  <c r="DC12" i="1"/>
  <c r="CY24" i="1"/>
  <c r="EH13" i="1"/>
  <c r="CU24" i="1"/>
  <c r="EE26" i="1"/>
  <c r="ED26" i="1"/>
  <c r="EA26" i="1"/>
  <c r="CV24" i="1"/>
  <c r="DD23" i="1"/>
  <c r="DE12" i="1"/>
  <c r="ED20" i="1"/>
  <c r="EJ22" i="1"/>
  <c r="DK12" i="1"/>
  <c r="DF20" i="1"/>
  <c r="ED23" i="1"/>
  <c r="DR13" i="1"/>
  <c r="CX19" i="1"/>
  <c r="DS18" i="1"/>
  <c r="EA20" i="1"/>
  <c r="EM22" i="1"/>
  <c r="DO12" i="1"/>
  <c r="DN13" i="1"/>
  <c r="DL13" i="1"/>
  <c r="DK13" i="1"/>
  <c r="DO13" i="1"/>
  <c r="EA13" i="1"/>
  <c r="DT22" i="1"/>
  <c r="DN20" i="1"/>
  <c r="EM26" i="1"/>
  <c r="EI14" i="1"/>
  <c r="DF16" i="1"/>
  <c r="CU15" i="1"/>
  <c r="EA23" i="1"/>
  <c r="DS22" i="1"/>
  <c r="EB23" i="1"/>
  <c r="EJ26" i="1"/>
  <c r="DK20" i="1"/>
  <c r="DE16" i="1"/>
  <c r="CV15" i="1"/>
  <c r="DO20" i="1"/>
  <c r="EL14" i="1"/>
  <c r="DL19" i="1"/>
  <c r="EB12" i="1"/>
  <c r="DM20" i="1"/>
  <c r="DM12" i="1"/>
  <c r="DT18" i="1"/>
  <c r="EL26" i="1"/>
  <c r="CW15" i="1"/>
  <c r="DU22" i="1"/>
  <c r="DB15" i="1"/>
  <c r="DE15" i="1" s="1"/>
  <c r="DR19" i="1"/>
  <c r="DW19" i="1" s="1"/>
  <c r="DU19" i="1"/>
  <c r="EH16" i="1"/>
  <c r="EL16" i="1" s="1"/>
  <c r="EH24" i="1"/>
  <c r="EL24" i="1" s="1"/>
  <c r="EG18" i="1"/>
  <c r="DZ18" i="1"/>
  <c r="ED18" i="1" s="1"/>
  <c r="EH23" i="1"/>
  <c r="EJ23" i="1" s="1"/>
  <c r="EH12" i="1"/>
  <c r="EI12" i="1" s="1"/>
  <c r="DR24" i="1"/>
  <c r="DU24" i="1" s="1"/>
  <c r="DT24" i="1"/>
  <c r="DL23" i="1"/>
  <c r="DN23" i="1"/>
  <c r="ED16" i="1"/>
  <c r="DG20" i="1"/>
  <c r="ED24" i="1"/>
  <c r="DV18" i="1"/>
  <c r="ED12" i="1"/>
  <c r="DZ15" i="1"/>
  <c r="ED15" i="1" s="1"/>
  <c r="EF15" i="1"/>
  <c r="EE15" i="1"/>
  <c r="DF24" i="1"/>
  <c r="DD16" i="1"/>
  <c r="EB16" i="1"/>
  <c r="DK16" i="1"/>
  <c r="DM16" i="1"/>
  <c r="DG24" i="1"/>
  <c r="DU14" i="1"/>
  <c r="DS14" i="1"/>
  <c r="DG16" i="1"/>
  <c r="EB20" i="1"/>
  <c r="DU26" i="1"/>
  <c r="DS26" i="1"/>
  <c r="DK23" i="1"/>
  <c r="EE16" i="1"/>
  <c r="DE20" i="1"/>
  <c r="EE24" i="1"/>
  <c r="DW18" i="1"/>
  <c r="EE12" i="1"/>
  <c r="DW22" i="1"/>
  <c r="EH20" i="1"/>
  <c r="EK20" i="1" s="1"/>
  <c r="EH19" i="1"/>
  <c r="EK19" i="1" s="1"/>
  <c r="DR20" i="1"/>
  <c r="DU20" i="1" s="1"/>
  <c r="DR16" i="1"/>
  <c r="DS16" i="1" s="1"/>
  <c r="DJ15" i="1"/>
  <c r="DN15" i="1" s="1"/>
  <c r="DP15" i="1"/>
  <c r="DR23" i="1"/>
  <c r="DW23" i="1" s="1"/>
  <c r="DR12" i="1"/>
  <c r="DW12" i="1" s="1"/>
  <c r="DE19" i="1"/>
  <c r="DO16" i="1"/>
  <c r="DD24" i="1"/>
  <c r="DD19" i="1"/>
  <c r="DD12" i="1"/>
  <c r="EK26" i="1"/>
  <c r="DC19" i="1"/>
  <c r="DW14" i="1"/>
  <c r="DW26" i="1"/>
  <c r="CY15" i="1"/>
  <c r="DK19" i="1"/>
  <c r="EA16" i="1"/>
  <c r="EA12" i="1"/>
  <c r="DI11" i="1"/>
  <c r="DQ11" i="1" s="1"/>
  <c r="DY11" i="1" s="1"/>
  <c r="EG11" i="1" s="1"/>
  <c r="CT11" i="1"/>
  <c r="CY11" i="1" s="1"/>
  <c r="DB11" i="1"/>
  <c r="DE11" i="1" s="1"/>
  <c r="DH11" i="1"/>
  <c r="DP11" i="1" s="1"/>
  <c r="DX11" i="1"/>
  <c r="EF11" i="1" s="1"/>
  <c r="EB24" i="1" l="1"/>
  <c r="EC19" i="1"/>
  <c r="EE19" i="1"/>
  <c r="EA19" i="1"/>
  <c r="EB19" i="1"/>
  <c r="DC15" i="1"/>
  <c r="DL16" i="1"/>
  <c r="DO24" i="1"/>
  <c r="DN24" i="1"/>
  <c r="DK24" i="1"/>
  <c r="DL24" i="1"/>
  <c r="CW11" i="1"/>
  <c r="EA24" i="1"/>
  <c r="EM13" i="1"/>
  <c r="EK13" i="1"/>
  <c r="EL13" i="1"/>
  <c r="EI13" i="1"/>
  <c r="DV13" i="1"/>
  <c r="DU13" i="1"/>
  <c r="DS13" i="1"/>
  <c r="EJ24" i="1"/>
  <c r="EB18" i="1"/>
  <c r="DW13" i="1"/>
  <c r="DV20" i="1"/>
  <c r="DF15" i="1"/>
  <c r="DW20" i="1"/>
  <c r="EI24" i="1"/>
  <c r="EC18" i="1"/>
  <c r="EK24" i="1"/>
  <c r="DK15" i="1"/>
  <c r="EA18" i="1"/>
  <c r="DT13" i="1"/>
  <c r="EJ13" i="1"/>
  <c r="DC11" i="1"/>
  <c r="DV12" i="1"/>
  <c r="EM19" i="1"/>
  <c r="DV24" i="1"/>
  <c r="EJ16" i="1"/>
  <c r="DT19" i="1"/>
  <c r="DW24" i="1"/>
  <c r="EM16" i="1"/>
  <c r="DU12" i="1"/>
  <c r="EI16" i="1"/>
  <c r="DG15" i="1"/>
  <c r="DV23" i="1"/>
  <c r="EM20" i="1"/>
  <c r="EM23" i="1"/>
  <c r="EK16" i="1"/>
  <c r="DD15" i="1"/>
  <c r="DS12" i="1"/>
  <c r="DS23" i="1"/>
  <c r="DT20" i="1"/>
  <c r="EL23" i="1"/>
  <c r="DS19" i="1"/>
  <c r="DT12" i="1"/>
  <c r="DT23" i="1"/>
  <c r="DU23" i="1"/>
  <c r="DV19" i="1"/>
  <c r="EH18" i="1"/>
  <c r="EI18" i="1" s="1"/>
  <c r="EL18" i="1"/>
  <c r="DV16" i="1"/>
  <c r="EL19" i="1"/>
  <c r="EL20" i="1"/>
  <c r="EM12" i="1"/>
  <c r="DO15" i="1"/>
  <c r="DM15" i="1"/>
  <c r="DT16" i="1"/>
  <c r="DU16" i="1"/>
  <c r="DS20" i="1"/>
  <c r="EI19" i="1"/>
  <c r="EJ19" i="1"/>
  <c r="EI20" i="1"/>
  <c r="EA15" i="1"/>
  <c r="EC15" i="1"/>
  <c r="DS24" i="1"/>
  <c r="EJ12" i="1"/>
  <c r="EK12" i="1"/>
  <c r="EK23" i="1"/>
  <c r="EE18" i="1"/>
  <c r="EM24" i="1"/>
  <c r="DR15" i="1"/>
  <c r="DT15" i="1" s="1"/>
  <c r="EH15" i="1"/>
  <c r="EK15" i="1" s="1"/>
  <c r="DW16" i="1"/>
  <c r="EL12" i="1"/>
  <c r="DL15" i="1"/>
  <c r="EJ20" i="1"/>
  <c r="EB15" i="1"/>
  <c r="EI23" i="1"/>
  <c r="EH11" i="1"/>
  <c r="EJ11" i="1" s="1"/>
  <c r="DG11" i="1"/>
  <c r="DD11" i="1"/>
  <c r="DR11" i="1"/>
  <c r="DT11" i="1" s="1"/>
  <c r="CX11" i="1"/>
  <c r="DF11" i="1"/>
  <c r="CU11" i="1"/>
  <c r="CV11" i="1"/>
  <c r="DJ11" i="1"/>
  <c r="DN11" i="1" s="1"/>
  <c r="DZ11" i="1"/>
  <c r="EC11" i="1" s="1"/>
  <c r="EL15" i="1" l="1"/>
  <c r="EJ18" i="1"/>
  <c r="DV15" i="1"/>
  <c r="EJ15" i="1"/>
  <c r="EM18" i="1"/>
  <c r="EK18" i="1"/>
  <c r="EM15" i="1"/>
  <c r="EI15" i="1"/>
  <c r="DW15" i="1"/>
  <c r="DU15" i="1"/>
  <c r="DS15" i="1"/>
  <c r="EL11" i="1"/>
  <c r="EK11" i="1"/>
  <c r="EI11" i="1"/>
  <c r="DW11" i="1"/>
  <c r="EM11" i="1"/>
  <c r="DU11" i="1"/>
  <c r="DV11" i="1"/>
  <c r="DS11" i="1"/>
  <c r="DK11" i="1"/>
  <c r="EE11" i="1"/>
  <c r="DL11" i="1"/>
  <c r="DO11" i="1"/>
  <c r="EA11" i="1"/>
  <c r="DM11" i="1"/>
  <c r="ED11" i="1"/>
  <c r="E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MCOLAK</author>
  </authors>
  <commentList>
    <comment ref="AD7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2"/>
          </rPr>
          <t>Yolcu ağırlığı</t>
        </r>
      </text>
    </comment>
    <comment ref="AK10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162"/>
          </rPr>
          <t>r66-02 ile değişecek.</t>
        </r>
      </text>
    </comment>
    <comment ref="AM10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162"/>
          </rPr>
          <t>r66-02 ile değişecek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AO10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162"/>
          </rPr>
          <t>r66-02 ile değişecek</t>
        </r>
      </text>
    </comment>
    <comment ref="AQ10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162"/>
          </rPr>
          <t>r66-02 ile değişecek</t>
        </r>
      </text>
    </comment>
  </commentList>
</comments>
</file>

<file path=xl/sharedStrings.xml><?xml version="1.0" encoding="utf-8"?>
<sst xmlns="http://schemas.openxmlformats.org/spreadsheetml/2006/main" count="284" uniqueCount="117">
  <si>
    <t>ARAÇ BOYU</t>
  </si>
  <si>
    <t>RAC</t>
  </si>
  <si>
    <t>WC</t>
  </si>
  <si>
    <t>MUTFAK</t>
  </si>
  <si>
    <t>BAGAJ</t>
  </si>
  <si>
    <t>LİFT</t>
  </si>
  <si>
    <t>ENGELLİ YOLCU SAYISI</t>
  </si>
  <si>
    <t>SINIF</t>
  </si>
  <si>
    <t>AYAKTA YOLCU SAYISI</t>
  </si>
  <si>
    <t>1. BÖLGE KOLTUKLARI</t>
  </si>
  <si>
    <t>RAC YE UZAKLIK</t>
  </si>
  <si>
    <t>2. BÖLGE KOLTUKLARI</t>
  </si>
  <si>
    <t>3. BÖLGE KOLTUKLARI</t>
  </si>
  <si>
    <t>4. BÖLGE KOLTUKLARI</t>
  </si>
  <si>
    <t>5. BÖLGE KOLTUKLARI</t>
  </si>
  <si>
    <t>6. BÖLGE KOLTUKLARI</t>
  </si>
  <si>
    <t>8. BÖLGE KOLTUKLARI</t>
  </si>
  <si>
    <t>AYAKTA YOLCU BÖLGESİNİN RAC YE UZAKLIĞI</t>
  </si>
  <si>
    <t>AYAKTA YOLCU BÖLGESİ ALANI</t>
  </si>
  <si>
    <t>YOK</t>
  </si>
  <si>
    <t>ANNEX NUMARASI</t>
  </si>
  <si>
    <t>ARAÇ TİPİ</t>
  </si>
  <si>
    <t>HD</t>
  </si>
  <si>
    <t>7. BÖLGE KOLTUKLARI (KAYAR KOLTUK)</t>
  </si>
  <si>
    <t>ANA  BÖLÜM</t>
  </si>
  <si>
    <t>GİRDİ BÖLÜMÜ</t>
  </si>
  <si>
    <t>KOLTUK ADEDİ</t>
  </si>
  <si>
    <t>TOPLAM YOLCU</t>
  </si>
  <si>
    <t>ORTA ŞASİ 1. BAGAJ BÖLGESİ</t>
  </si>
  <si>
    <t>ORTA ŞASİ 2. BAGAJ BÖLGESİ</t>
  </si>
  <si>
    <t>ORTA ŞASİ 3. BAGAJ BÖLGESİ</t>
  </si>
  <si>
    <t>WHEEL BASE</t>
  </si>
  <si>
    <t>KOLTUKSUZ ÖN AKS AĞIRLIĞI</t>
  </si>
  <si>
    <t>KOLTUKSUZ ARKA AKS AĞIRLIĞI</t>
  </si>
  <si>
    <t>KOLTUKSUZ TOPLAM AĞIRLIK</t>
  </si>
  <si>
    <t>KOLTUKLU ÖN AKS AĞIRLIĞI</t>
  </si>
  <si>
    <t>KOLTUKLU ARKA AKS AĞIRLIĞI</t>
  </si>
  <si>
    <t>KOLTUKLU TOPLAM AĞIRLIK</t>
  </si>
  <si>
    <t>ORTA ŞASİ 1. BAGAJ BÖLGESİ FİZİKİ HACİM</t>
  </si>
  <si>
    <t>ORTA ŞASİ 2. BAGAJ BÖLGESİ FİZİKİ HACİM</t>
  </si>
  <si>
    <t>ORTA ŞASİ 3. BAGAJ BÖLGESİ FİZİKİ HACİM</t>
  </si>
  <si>
    <t>GENEL ARAÇ BİLGİSİ</t>
  </si>
  <si>
    <t>KUVVET</t>
  </si>
  <si>
    <t>3. BÖLGE KOLTUKLARI MOMENTI</t>
  </si>
  <si>
    <t>2. BÖLGE KOLTUKLARI MOMENTI</t>
  </si>
  <si>
    <t>1. BÖLGE KOLTUKLARI MOMENTI</t>
  </si>
  <si>
    <t>4. BÖLGE KOLTUKLARI MOMENTI</t>
  </si>
  <si>
    <t>5. BÖLGE KOLTUKLARI MOMENTI</t>
  </si>
  <si>
    <t>6. BÖLGE KOLTUKLARI MOMENTI</t>
  </si>
  <si>
    <t>7. BÖLGE KOLTUKLARI (KAYAR KOLTUK) MOMENTI</t>
  </si>
  <si>
    <t>8. BÖLGE KOLTUKLARI MOMENTI</t>
  </si>
  <si>
    <t>KUVVET MOMENTI</t>
  </si>
  <si>
    <t>AYAKTA YOLCU BÖLGESİNİN RAC YE UZAKLIĞI MOMENTI</t>
  </si>
  <si>
    <t>WC MOMENTI</t>
  </si>
  <si>
    <t>MUTFAK MOMENTI</t>
  </si>
  <si>
    <t>MUTFAK KUVVET</t>
  </si>
  <si>
    <t>WC KUVVET</t>
  </si>
  <si>
    <t>HOSTES KUVVET</t>
  </si>
  <si>
    <t>HOSTES MOMENTI</t>
  </si>
  <si>
    <t>ORTA ŞASİ 1. BAGAJ BÖLGESİ MOMENTI</t>
  </si>
  <si>
    <t>ORTA ŞASİ 2. BAGAJ BÖLGESİ MOMENTI</t>
  </si>
  <si>
    <t>ORTA ŞASİ 3. BAGAJ BÖLGESİ MOMENTI</t>
  </si>
  <si>
    <t>WESTFALIA ON AKS AĞIRLIĞI</t>
  </si>
  <si>
    <t>WESTALIA ARKA AKS AĞIRLIĞI</t>
  </si>
  <si>
    <t>WESTFALIA TOPLAM AĞIRLIĞI</t>
  </si>
  <si>
    <t>ROCKINGER ON  AKS AĞIRLIĞI</t>
  </si>
  <si>
    <t>ROCKINGER ARKA AKS AĞIRLIĞI</t>
  </si>
  <si>
    <t>ROCKINGER TOPLAM AĞIRLIĞI</t>
  </si>
  <si>
    <t>MOMENTLERDEN DOLAYI ÖN AKS TOPLAM GELEN YÜKLER</t>
  </si>
  <si>
    <t>MOMENTLERDEN DOLAYI ARKA AKS TOPLAM GELEN YÜKLER</t>
  </si>
  <si>
    <t>MOMENTLERDEN DOLAYI TOPLAM GELEN YÜKLER</t>
  </si>
  <si>
    <t>MOMENT VE AĞIRLIK HESAP BÖLGESİ</t>
  </si>
  <si>
    <t>M</t>
  </si>
  <si>
    <t>K</t>
  </si>
  <si>
    <t>RAC TUVALET</t>
  </si>
  <si>
    <t>RAC MUTFAK</t>
  </si>
  <si>
    <t>RAC HOSTES KOLTUĞU</t>
  </si>
  <si>
    <t xml:space="preserve">ÖN AKS </t>
  </si>
  <si>
    <t>ARKA AKS</t>
  </si>
  <si>
    <t>TOPLAM</t>
  </si>
  <si>
    <t>ÖN AKS ALUMINYUM JANT</t>
  </si>
  <si>
    <t>ARKA AKS ALUMINYUM JANT</t>
  </si>
  <si>
    <t>TOPLAM ALUMINYUM JANT</t>
  </si>
  <si>
    <t>ÖN AKS ALUMINYUM JANT+WETFALIA</t>
  </si>
  <si>
    <t>ARKA AKS ALUMINYUM JANT+ WESTFALIA</t>
  </si>
  <si>
    <t>TOPLAM ALUMINYUM JANT+ WESTFALIA</t>
  </si>
  <si>
    <t>ÖN AKS + ROCKINGER</t>
  </si>
  <si>
    <t>ÖN AKS + WESTFALIA</t>
  </si>
  <si>
    <t>ARKA AKS + WESTFALIA</t>
  </si>
  <si>
    <t>TOPLAM + WESTALIA</t>
  </si>
  <si>
    <t>ARKA AKS + ROCKINGER</t>
  </si>
  <si>
    <t>TOPLAM + ROCKINGER</t>
  </si>
  <si>
    <t>ÖN AKS ALUMINYUM JANT + ROCKINGER</t>
  </si>
  <si>
    <t>ARKA AKS ALUMINYUM JANT + ROCKINGER</t>
  </si>
  <si>
    <t>TOPLAM ALUMINYUM JANT + ROCKINGER</t>
  </si>
  <si>
    <t>ÇEKİ KANCASI</t>
  </si>
  <si>
    <t>SONUÇLAR</t>
  </si>
  <si>
    <t>Türkiye</t>
  </si>
  <si>
    <t>Almanya</t>
  </si>
  <si>
    <t>İtalya</t>
  </si>
  <si>
    <t>Belçika</t>
  </si>
  <si>
    <t>Fransa</t>
  </si>
  <si>
    <t>ORTA ŞASİ 4. BAGAJ BÖLGESİ</t>
  </si>
  <si>
    <t>ORTA ŞASİ 4. BAGAJ BÖLGESİ FİZİKİ HACİM</t>
  </si>
  <si>
    <t>Elle giriş yapılmayacak</t>
  </si>
  <si>
    <t>Giriş yapılacak bölgeler</t>
  </si>
  <si>
    <t>Uzaklıklar negatif girilecek</t>
  </si>
  <si>
    <t>HOSTES KOLTUĞU ADEDİ</t>
  </si>
  <si>
    <t>COC ye yazılacak değerler</t>
  </si>
  <si>
    <t>Liftli araçta buraya giriş yapılacak.</t>
  </si>
  <si>
    <t>Koltuk Ağırlıkları</t>
  </si>
  <si>
    <t>OK</t>
  </si>
  <si>
    <t>N/OK</t>
  </si>
  <si>
    <t>VAR</t>
  </si>
  <si>
    <t>ANNEX-HD13-??</t>
  </si>
  <si>
    <t>III</t>
  </si>
  <si>
    <t>6 m^2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</si>
</sst>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70C0"/>
      <name val="Calibri"/>
      <family val="2"/>
      <charset val="162"/>
      <scheme val="minor"/>
    </font>
    <font>
      <b/>
      <sz val="14"/>
      <color theme="0"/>
      <name val="Calibri"/>
      <family val="2"/>
      <charset val="162"/>
      <scheme val="minor"/>
    </font>
    <font>
      <b/>
      <sz val="10"/>
      <name val="Arial"/>
      <family val="2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8"/>
      <color theme="0"/>
      <name val="Calibri"/>
      <family val="2"/>
      <charset val="162"/>
      <scheme val="minor"/>
    </font>
    <font>
      <sz val="10"/>
      <color theme="3" tint="-0.249977111117893"/>
      <name val="Arial"/>
      <family val="2"/>
      <charset val="162"/>
    </font>
    <font>
      <sz val="11"/>
      <color theme="3" tint="-0.249977111117893"/>
      <name val="Calibri"/>
      <family val="2"/>
      <charset val="162"/>
    </font>
  </fonts>
  <fills count="1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1" fillId="4" borderId="0" xfId="0" applyFont="1" applyFill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2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1" fontId="2" fillId="10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1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 textRotation="1" wrapText="1"/>
    </xf>
    <xf numFmtId="0" fontId="2" fillId="13" borderId="0" xfId="0" applyFont="1" applyFill="1" applyAlignment="1">
      <alignment vertical="center"/>
    </xf>
    <xf numFmtId="2" fontId="2" fillId="3" borderId="0" xfId="0" applyNumberFormat="1" applyFont="1" applyFill="1" applyAlignment="1">
      <alignment horizontal="center"/>
    </xf>
    <xf numFmtId="1" fontId="2" fillId="7" borderId="0" xfId="0" applyNumberFormat="1" applyFont="1" applyFill="1" applyAlignment="1">
      <alignment vertical="center"/>
    </xf>
    <xf numFmtId="2" fontId="1" fillId="4" borderId="0" xfId="0" applyNumberFormat="1" applyFont="1" applyFill="1" applyAlignment="1">
      <alignment horizontal="center" shrinkToFit="1"/>
    </xf>
    <xf numFmtId="0" fontId="1" fillId="14" borderId="0" xfId="0" applyFont="1" applyFill="1"/>
    <xf numFmtId="2" fontId="2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/>
    </xf>
    <xf numFmtId="2" fontId="9" fillId="3" borderId="0" xfId="0" applyNumberFormat="1" applyFont="1" applyFill="1" applyAlignment="1">
      <alignment horizontal="center" textRotation="90"/>
    </xf>
    <xf numFmtId="2" fontId="9" fillId="0" borderId="0" xfId="0" applyNumberFormat="1" applyFont="1" applyAlignment="1">
      <alignment horizontal="center" textRotation="90"/>
    </xf>
    <xf numFmtId="2" fontId="10" fillId="4" borderId="0" xfId="0" applyNumberFormat="1" applyFont="1" applyFill="1" applyAlignment="1">
      <alignment horizontal="center" textRotation="90"/>
    </xf>
    <xf numFmtId="2" fontId="9" fillId="8" borderId="0" xfId="0" applyNumberFormat="1" applyFont="1" applyFill="1" applyAlignment="1">
      <alignment horizontal="center" textRotation="90"/>
    </xf>
    <xf numFmtId="2" fontId="9" fillId="6" borderId="0" xfId="0" applyNumberFormat="1" applyFont="1" applyFill="1" applyAlignment="1">
      <alignment horizontal="center" textRotation="90"/>
    </xf>
    <xf numFmtId="2" fontId="9" fillId="11" borderId="0" xfId="0" applyNumberFormat="1" applyFont="1" applyFill="1" applyAlignment="1">
      <alignment horizontal="center" textRotation="90"/>
    </xf>
    <xf numFmtId="2" fontId="9" fillId="5" borderId="0" xfId="0" applyNumberFormat="1" applyFont="1" applyFill="1" applyAlignment="1">
      <alignment horizontal="center" textRotation="90" shrinkToFit="1"/>
    </xf>
    <xf numFmtId="2" fontId="10" fillId="4" borderId="0" xfId="0" applyNumberFormat="1" applyFont="1" applyFill="1" applyAlignment="1">
      <alignment horizontal="center" textRotation="90" shrinkToFit="1"/>
    </xf>
    <xf numFmtId="2" fontId="9" fillId="3" borderId="0" xfId="0" applyNumberFormat="1" applyFont="1" applyFill="1" applyAlignment="1">
      <alignment horizontal="center" textRotation="90" shrinkToFit="1"/>
    </xf>
    <xf numFmtId="2" fontId="9" fillId="0" borderId="0" xfId="0" applyNumberFormat="1" applyFont="1" applyAlignment="1">
      <alignment horizontal="center" textRotation="90" shrinkToFit="1"/>
    </xf>
    <xf numFmtId="2" fontId="9" fillId="8" borderId="0" xfId="0" applyNumberFormat="1" applyFont="1" applyFill="1" applyAlignment="1">
      <alignment horizontal="center" textRotation="90" shrinkToFit="1"/>
    </xf>
    <xf numFmtId="2" fontId="9" fillId="9" borderId="0" xfId="0" applyNumberFormat="1" applyFont="1" applyFill="1" applyAlignment="1">
      <alignment horizontal="center" textRotation="90" shrinkToFit="1"/>
    </xf>
    <xf numFmtId="0" fontId="11" fillId="16" borderId="0" xfId="0" applyFont="1" applyFill="1"/>
    <xf numFmtId="2" fontId="9" fillId="0" borderId="0" xfId="0" applyNumberFormat="1" applyFont="1" applyAlignment="1">
      <alignment horizontal="center" textRotation="90" wrapText="1"/>
    </xf>
    <xf numFmtId="2" fontId="9" fillId="0" borderId="0" xfId="0" applyNumberFormat="1" applyFont="1" applyAlignment="1">
      <alignment horizontal="center" wrapText="1"/>
    </xf>
    <xf numFmtId="0" fontId="12" fillId="0" borderId="0" xfId="0" applyFont="1"/>
    <xf numFmtId="0" fontId="4" fillId="1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M26"/>
  <sheetViews>
    <sheetView tabSelected="1" view="pageBreakPreview" topLeftCell="A9" zoomScale="85" zoomScaleNormal="85" zoomScaleSheetLayoutView="85" workbookViewId="0">
      <selection activeCell="D10" sqref="D1:D1048576"/>
    </sheetView>
  </sheetViews>
  <sheetFormatPr defaultColWidth="8.88671875" defaultRowHeight="16.2" customHeight="1" x14ac:dyDescent="0.3"/>
  <cols>
    <col min="1" max="1" width="15" style="9" bestFit="1" customWidth="1"/>
    <col min="2" max="2" width="4.33203125" style="9" customWidth="1"/>
    <col min="3" max="3" width="3.109375" style="9" bestFit="1" customWidth="1"/>
    <col min="4" max="4" width="12.33203125" style="9" hidden="1" customWidth="1"/>
    <col min="5" max="5" width="10.44140625" style="9" customWidth="1"/>
    <col min="6" max="7" width="4.6640625" style="9" bestFit="1" customWidth="1"/>
    <col min="8" max="8" width="3.109375" style="9" bestFit="1" customWidth="1"/>
    <col min="9" max="9" width="4.6640625" style="9" bestFit="1" customWidth="1"/>
    <col min="10" max="10" width="3.109375" style="9" customWidth="1"/>
    <col min="11" max="11" width="3.109375" style="9" bestFit="1" customWidth="1"/>
    <col min="12" max="12" width="3.6640625" style="9" customWidth="1"/>
    <col min="13" max="13" width="3.109375" style="9" bestFit="1" customWidth="1"/>
    <col min="14" max="14" width="3.5546875" style="9" hidden="1" customWidth="1"/>
    <col min="15" max="15" width="5.6640625" style="9" hidden="1" customWidth="1"/>
    <col min="16" max="16" width="5" style="9" hidden="1" customWidth="1"/>
    <col min="17" max="17" width="5.6640625" style="9" hidden="1" customWidth="1"/>
    <col min="18" max="20" width="5" style="9" hidden="1" customWidth="1"/>
    <col min="21" max="21" width="5.6640625" style="9" hidden="1" customWidth="1"/>
    <col min="22" max="22" width="5" style="9" hidden="1" customWidth="1"/>
    <col min="23" max="23" width="5.109375" style="9" hidden="1" customWidth="1"/>
    <col min="24" max="26" width="5" style="9" hidden="1" customWidth="1"/>
    <col min="27" max="27" width="3.5546875" style="9" hidden="1" customWidth="1"/>
    <col min="28" max="28" width="5" style="9" hidden="1" customWidth="1"/>
    <col min="29" max="29" width="3.5546875" style="9" hidden="1" customWidth="1"/>
    <col min="30" max="30" width="5.109375" style="9" hidden="1" customWidth="1"/>
    <col min="31" max="31" width="7.6640625" style="9" hidden="1" customWidth="1"/>
    <col min="32" max="32" width="3.5546875" style="9" hidden="1" customWidth="1"/>
    <col min="33" max="35" width="5" style="9" hidden="1" customWidth="1"/>
    <col min="36" max="36" width="3.5546875" style="9" hidden="1" customWidth="1"/>
    <col min="37" max="37" width="7.33203125" style="9" hidden="1" customWidth="1"/>
    <col min="38" max="38" width="3.5546875" style="9" hidden="1" customWidth="1"/>
    <col min="39" max="39" width="7.33203125" style="9" hidden="1" customWidth="1"/>
    <col min="40" max="40" width="3.5546875" style="9" hidden="1" customWidth="1"/>
    <col min="41" max="41" width="8.44140625" style="9" hidden="1" customWidth="1"/>
    <col min="42" max="42" width="3.5546875" style="9" hidden="1" customWidth="1"/>
    <col min="43" max="43" width="8.109375" style="9" hidden="1" customWidth="1"/>
    <col min="44" max="44" width="5.109375" style="9" hidden="1" customWidth="1"/>
    <col min="45" max="45" width="7" style="9" hidden="1" customWidth="1"/>
    <col min="46" max="46" width="5.109375" style="9" hidden="1" customWidth="1"/>
    <col min="47" max="47" width="6.109375" style="9" hidden="1" customWidth="1"/>
    <col min="48" max="48" width="5" style="9" hidden="1" customWidth="1"/>
    <col min="49" max="49" width="6" style="9" hidden="1" customWidth="1"/>
    <col min="50" max="50" width="8.33203125" style="9" hidden="1" customWidth="1"/>
    <col min="51" max="54" width="3.5546875" style="9" hidden="1" customWidth="1"/>
    <col min="55" max="55" width="8.6640625" style="9" hidden="1" customWidth="1"/>
    <col min="56" max="56" width="7" style="9" hidden="1" customWidth="1"/>
    <col min="57" max="57" width="7.6640625" style="9" hidden="1" customWidth="1"/>
    <col min="58" max="58" width="4" style="9" hidden="1" customWidth="1"/>
    <col min="59" max="59" width="8" style="9" hidden="1" customWidth="1"/>
    <col min="60" max="60" width="5" style="9" hidden="1" customWidth="1"/>
    <col min="61" max="61" width="7.6640625" style="9" hidden="1" customWidth="1"/>
    <col min="62" max="62" width="4" style="9" hidden="1" customWidth="1"/>
    <col min="63" max="63" width="7" style="9" hidden="1" customWidth="1"/>
    <col min="64" max="64" width="4" style="9" hidden="1" customWidth="1"/>
    <col min="65" max="65" width="8" style="9" hidden="1" customWidth="1"/>
    <col min="66" max="66" width="8.33203125" style="9" hidden="1" customWidth="1"/>
    <col min="67" max="70" width="3.6640625" style="9" hidden="1" customWidth="1"/>
    <col min="71" max="72" width="8.44140625" style="9" hidden="1" customWidth="1"/>
    <col min="73" max="76" width="8.33203125" style="9" hidden="1" customWidth="1"/>
    <col min="77" max="77" width="7.33203125" style="9" hidden="1" customWidth="1"/>
    <col min="78" max="78" width="3.6640625" style="9" hidden="1" customWidth="1"/>
    <col min="79" max="79" width="7.33203125" style="9" hidden="1" customWidth="1"/>
    <col min="80" max="80" width="3.6640625" style="9" hidden="1" customWidth="1"/>
    <col min="81" max="81" width="7.33203125" style="9" hidden="1" customWidth="1"/>
    <col min="82" max="82" width="4" style="9" hidden="1" customWidth="1"/>
    <col min="83" max="83" width="7.33203125" style="9" hidden="1" customWidth="1"/>
    <col min="84" max="84" width="3.88671875" style="9" hidden="1" customWidth="1"/>
    <col min="85" max="85" width="7.33203125" style="9" hidden="1" customWidth="1"/>
    <col min="86" max="86" width="8.88671875" style="9" hidden="1" customWidth="1"/>
    <col min="87" max="87" width="4.6640625" style="9" hidden="1" customWidth="1"/>
    <col min="88" max="89" width="3.6640625" style="9" hidden="1" customWidth="1"/>
    <col min="90" max="90" width="4.6640625" style="9" hidden="1" customWidth="1"/>
    <col min="91" max="92" width="3.6640625" style="9" hidden="1" customWidth="1"/>
    <col min="93" max="95" width="5" style="9" hidden="1" customWidth="1"/>
    <col min="96" max="98" width="6.6640625" style="9" customWidth="1"/>
    <col min="99" max="102" width="5.6640625" style="9" bestFit="1" customWidth="1"/>
    <col min="103" max="103" width="3.6640625" style="9" customWidth="1"/>
    <col min="104" max="104" width="5.6640625" style="9" bestFit="1" customWidth="1"/>
    <col min="105" max="106" width="6.109375" style="9" bestFit="1" customWidth="1"/>
    <col min="107" max="111" width="5.6640625" style="9" bestFit="1" customWidth="1"/>
    <col min="112" max="112" width="5.109375" style="9" bestFit="1" customWidth="1"/>
    <col min="113" max="114" width="6.109375" style="9" bestFit="1" customWidth="1"/>
    <col min="115" max="119" width="5.6640625" style="9" bestFit="1" customWidth="1"/>
    <col min="120" max="120" width="5.109375" style="9" bestFit="1" customWidth="1"/>
    <col min="121" max="122" width="6.109375" style="9" bestFit="1" customWidth="1"/>
    <col min="123" max="127" width="5.6640625" style="9" bestFit="1" customWidth="1"/>
    <col min="128" max="128" width="5.109375" style="9" bestFit="1" customWidth="1"/>
    <col min="129" max="130" width="6.109375" style="9" bestFit="1" customWidth="1"/>
    <col min="131" max="135" width="5.6640625" style="9" bestFit="1" customWidth="1"/>
    <col min="136" max="136" width="5.109375" style="9" bestFit="1" customWidth="1"/>
    <col min="137" max="138" width="6.109375" style="9" bestFit="1" customWidth="1"/>
    <col min="139" max="143" width="5.6640625" style="9" bestFit="1" customWidth="1"/>
    <col min="144" max="16384" width="8.88671875" style="9"/>
  </cols>
  <sheetData>
    <row r="1" spans="1:143" ht="16.2" hidden="1" customHeight="1" x14ac:dyDescent="0.3">
      <c r="E1" s="8" t="s">
        <v>104</v>
      </c>
    </row>
    <row r="2" spans="1:143" ht="16.2" hidden="1" customHeight="1" x14ac:dyDescent="0.3">
      <c r="E2" s="12" t="s">
        <v>105</v>
      </c>
    </row>
    <row r="3" spans="1:143" ht="16.2" hidden="1" customHeight="1" x14ac:dyDescent="0.3">
      <c r="E3" s="13" t="s">
        <v>106</v>
      </c>
    </row>
    <row r="4" spans="1:143" ht="16.2" hidden="1" customHeight="1" x14ac:dyDescent="0.3">
      <c r="E4" s="15" t="s">
        <v>109</v>
      </c>
      <c r="CG4" s="18" t="s">
        <v>111</v>
      </c>
      <c r="CH4" s="18" t="s">
        <v>112</v>
      </c>
    </row>
    <row r="5" spans="1:143" ht="16.2" hidden="1" customHeight="1" x14ac:dyDescent="0.3">
      <c r="E5" s="14" t="s">
        <v>108</v>
      </c>
    </row>
    <row r="6" spans="1:143" ht="16.2" hidden="1" customHeight="1" x14ac:dyDescent="0.3"/>
    <row r="7" spans="1:143" s="1" customFormat="1" ht="14.4" hidden="1" x14ac:dyDescent="0.3">
      <c r="L7" s="16" t="s">
        <v>110</v>
      </c>
      <c r="M7" s="16"/>
      <c r="N7" s="16">
        <v>11</v>
      </c>
      <c r="O7" s="16"/>
      <c r="P7" s="16">
        <v>14.5</v>
      </c>
      <c r="Q7" s="16"/>
      <c r="R7" s="16">
        <v>14.5</v>
      </c>
      <c r="S7" s="16"/>
      <c r="T7" s="16">
        <v>14.5</v>
      </c>
      <c r="U7" s="16"/>
      <c r="V7" s="16">
        <v>14.5</v>
      </c>
      <c r="W7" s="16"/>
      <c r="X7" s="16">
        <v>14.5</v>
      </c>
      <c r="Y7" s="16"/>
      <c r="Z7" s="16">
        <v>17.5</v>
      </c>
      <c r="AA7" s="16"/>
      <c r="AB7" s="16">
        <v>14.5</v>
      </c>
      <c r="AD7" s="3">
        <v>71</v>
      </c>
    </row>
    <row r="8" spans="1:143" s="1" customFormat="1" ht="14.4" hidden="1" x14ac:dyDescent="0.3">
      <c r="Z8" s="2"/>
      <c r="BC8" s="4" t="s">
        <v>72</v>
      </c>
      <c r="BD8" s="1" t="s">
        <v>73</v>
      </c>
      <c r="BE8" s="4" t="s">
        <v>72</v>
      </c>
      <c r="BF8" s="1" t="s">
        <v>73</v>
      </c>
      <c r="BG8" s="4" t="s">
        <v>72</v>
      </c>
      <c r="BH8" s="1" t="s">
        <v>73</v>
      </c>
      <c r="BI8" s="4" t="s">
        <v>72</v>
      </c>
      <c r="BJ8" s="1" t="s">
        <v>73</v>
      </c>
      <c r="BK8" s="4" t="s">
        <v>72</v>
      </c>
      <c r="BL8" s="1" t="s">
        <v>73</v>
      </c>
      <c r="BM8" s="4" t="s">
        <v>72</v>
      </c>
      <c r="BN8" s="1" t="s">
        <v>73</v>
      </c>
      <c r="BO8" s="4" t="s">
        <v>72</v>
      </c>
      <c r="BP8" s="1" t="s">
        <v>73</v>
      </c>
      <c r="BQ8" s="4" t="s">
        <v>72</v>
      </c>
      <c r="BR8" s="1" t="s">
        <v>73</v>
      </c>
      <c r="BS8" s="4" t="s">
        <v>72</v>
      </c>
      <c r="BT8" s="1" t="s">
        <v>73</v>
      </c>
      <c r="BU8" s="4" t="s">
        <v>72</v>
      </c>
      <c r="BV8" s="1" t="s">
        <v>73</v>
      </c>
      <c r="BW8" s="4" t="s">
        <v>72</v>
      </c>
      <c r="BX8" s="1" t="s">
        <v>73</v>
      </c>
      <c r="BY8" s="4" t="s">
        <v>72</v>
      </c>
      <c r="BZ8" s="1" t="s">
        <v>73</v>
      </c>
      <c r="CA8" s="4" t="s">
        <v>72</v>
      </c>
      <c r="CB8" s="1" t="s">
        <v>73</v>
      </c>
      <c r="CC8" s="4" t="s">
        <v>72</v>
      </c>
      <c r="CD8" s="1" t="s">
        <v>73</v>
      </c>
      <c r="CE8" s="4" t="s">
        <v>72</v>
      </c>
      <c r="CF8" s="1" t="s">
        <v>73</v>
      </c>
      <c r="CG8" s="4" t="s">
        <v>72</v>
      </c>
      <c r="CI8" s="36" t="s">
        <v>95</v>
      </c>
      <c r="CJ8" s="36"/>
      <c r="CK8" s="36"/>
      <c r="CL8" s="36"/>
      <c r="CM8" s="36"/>
      <c r="CN8" s="36"/>
    </row>
    <row r="9" spans="1:143" s="5" customFormat="1" ht="18" x14ac:dyDescent="0.35">
      <c r="A9" s="38" t="s">
        <v>24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40" t="s">
        <v>25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1"/>
      <c r="AQ9" s="41"/>
      <c r="AR9" s="37" t="s">
        <v>41</v>
      </c>
      <c r="AS9" s="37"/>
      <c r="AT9" s="37"/>
      <c r="AU9" s="37"/>
      <c r="AV9" s="37"/>
      <c r="AW9" s="37"/>
      <c r="AX9" s="37"/>
      <c r="AY9" s="37"/>
      <c r="AZ9" s="37"/>
      <c r="BA9" s="37"/>
      <c r="BB9" s="35"/>
      <c r="BC9" s="39" t="s">
        <v>71</v>
      </c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7" t="s">
        <v>96</v>
      </c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</row>
    <row r="10" spans="1:143" s="33" customFormat="1" ht="150" customHeight="1" x14ac:dyDescent="0.2">
      <c r="A10" s="32" t="s">
        <v>20</v>
      </c>
      <c r="B10" s="32" t="s">
        <v>21</v>
      </c>
      <c r="C10" s="32" t="s">
        <v>0</v>
      </c>
      <c r="D10" s="32" t="s">
        <v>1</v>
      </c>
      <c r="E10" s="32" t="s">
        <v>26</v>
      </c>
      <c r="F10" s="32" t="s">
        <v>2</v>
      </c>
      <c r="G10" s="32" t="s">
        <v>3</v>
      </c>
      <c r="H10" s="32" t="s">
        <v>4</v>
      </c>
      <c r="I10" s="32" t="s">
        <v>5</v>
      </c>
      <c r="J10" s="32" t="s">
        <v>6</v>
      </c>
      <c r="K10" s="32" t="s">
        <v>7</v>
      </c>
      <c r="L10" s="32" t="s">
        <v>8</v>
      </c>
      <c r="M10" s="32" t="s">
        <v>107</v>
      </c>
      <c r="N10" s="19" t="s">
        <v>9</v>
      </c>
      <c r="O10" s="19" t="s">
        <v>10</v>
      </c>
      <c r="P10" s="19" t="s">
        <v>11</v>
      </c>
      <c r="Q10" s="19" t="s">
        <v>10</v>
      </c>
      <c r="R10" s="20" t="s">
        <v>12</v>
      </c>
      <c r="S10" s="20" t="s">
        <v>10</v>
      </c>
      <c r="T10" s="19" t="s">
        <v>13</v>
      </c>
      <c r="U10" s="19" t="s">
        <v>10</v>
      </c>
      <c r="V10" s="20" t="s">
        <v>14</v>
      </c>
      <c r="W10" s="20" t="s">
        <v>10</v>
      </c>
      <c r="X10" s="20" t="s">
        <v>15</v>
      </c>
      <c r="Y10" s="20" t="s">
        <v>10</v>
      </c>
      <c r="Z10" s="21" t="s">
        <v>23</v>
      </c>
      <c r="AA10" s="21" t="s">
        <v>10</v>
      </c>
      <c r="AB10" s="21" t="s">
        <v>16</v>
      </c>
      <c r="AC10" s="21" t="s">
        <v>10</v>
      </c>
      <c r="AD10" s="20" t="s">
        <v>17</v>
      </c>
      <c r="AE10" s="20" t="s">
        <v>18</v>
      </c>
      <c r="AF10" s="20" t="s">
        <v>27</v>
      </c>
      <c r="AG10" s="20" t="s">
        <v>74</v>
      </c>
      <c r="AH10" s="20" t="s">
        <v>75</v>
      </c>
      <c r="AI10" s="20" t="s">
        <v>76</v>
      </c>
      <c r="AJ10" s="22" t="s">
        <v>28</v>
      </c>
      <c r="AK10" s="22" t="s">
        <v>10</v>
      </c>
      <c r="AL10" s="22" t="s">
        <v>29</v>
      </c>
      <c r="AM10" s="22" t="s">
        <v>10</v>
      </c>
      <c r="AN10" s="22" t="s">
        <v>30</v>
      </c>
      <c r="AO10" s="22" t="s">
        <v>10</v>
      </c>
      <c r="AP10" s="22" t="s">
        <v>102</v>
      </c>
      <c r="AQ10" s="22" t="s">
        <v>10</v>
      </c>
      <c r="AR10" s="20" t="s">
        <v>31</v>
      </c>
      <c r="AS10" s="20" t="s">
        <v>32</v>
      </c>
      <c r="AT10" s="20" t="s">
        <v>33</v>
      </c>
      <c r="AU10" s="20" t="s">
        <v>34</v>
      </c>
      <c r="AV10" s="20" t="s">
        <v>35</v>
      </c>
      <c r="AW10" s="20" t="s">
        <v>36</v>
      </c>
      <c r="AX10" s="20" t="s">
        <v>37</v>
      </c>
      <c r="AY10" s="23" t="s">
        <v>38</v>
      </c>
      <c r="AZ10" s="23" t="s">
        <v>39</v>
      </c>
      <c r="BA10" s="23" t="s">
        <v>40</v>
      </c>
      <c r="BB10" s="23" t="s">
        <v>103</v>
      </c>
      <c r="BC10" s="27" t="s">
        <v>45</v>
      </c>
      <c r="BD10" s="27" t="s">
        <v>42</v>
      </c>
      <c r="BE10" s="27" t="s">
        <v>44</v>
      </c>
      <c r="BF10" s="27" t="s">
        <v>42</v>
      </c>
      <c r="BG10" s="28" t="s">
        <v>43</v>
      </c>
      <c r="BH10" s="28" t="s">
        <v>42</v>
      </c>
      <c r="BI10" s="27" t="s">
        <v>46</v>
      </c>
      <c r="BJ10" s="27" t="s">
        <v>42</v>
      </c>
      <c r="BK10" s="28" t="s">
        <v>47</v>
      </c>
      <c r="BL10" s="28" t="s">
        <v>42</v>
      </c>
      <c r="BM10" s="28" t="s">
        <v>48</v>
      </c>
      <c r="BN10" s="28" t="s">
        <v>42</v>
      </c>
      <c r="BO10" s="26" t="s">
        <v>49</v>
      </c>
      <c r="BP10" s="26" t="s">
        <v>42</v>
      </c>
      <c r="BQ10" s="28" t="s">
        <v>50</v>
      </c>
      <c r="BR10" s="28" t="s">
        <v>51</v>
      </c>
      <c r="BS10" s="28" t="s">
        <v>52</v>
      </c>
      <c r="BT10" s="28" t="s">
        <v>42</v>
      </c>
      <c r="BU10" s="29" t="s">
        <v>59</v>
      </c>
      <c r="BV10" s="29" t="s">
        <v>42</v>
      </c>
      <c r="BW10" s="29" t="s">
        <v>60</v>
      </c>
      <c r="BX10" s="29" t="s">
        <v>42</v>
      </c>
      <c r="BY10" s="29" t="s">
        <v>61</v>
      </c>
      <c r="BZ10" s="29" t="s">
        <v>42</v>
      </c>
      <c r="CA10" s="29" t="s">
        <v>61</v>
      </c>
      <c r="CB10" s="29" t="s">
        <v>42</v>
      </c>
      <c r="CC10" s="28" t="s">
        <v>53</v>
      </c>
      <c r="CD10" s="28" t="s">
        <v>56</v>
      </c>
      <c r="CE10" s="28" t="s">
        <v>54</v>
      </c>
      <c r="CF10" s="28" t="s">
        <v>55</v>
      </c>
      <c r="CG10" s="28" t="s">
        <v>58</v>
      </c>
      <c r="CH10" s="28" t="s">
        <v>57</v>
      </c>
      <c r="CI10" s="30" t="s">
        <v>62</v>
      </c>
      <c r="CJ10" s="30" t="s">
        <v>63</v>
      </c>
      <c r="CK10" s="30" t="s">
        <v>64</v>
      </c>
      <c r="CL10" s="30" t="s">
        <v>65</v>
      </c>
      <c r="CM10" s="30" t="s">
        <v>66</v>
      </c>
      <c r="CN10" s="30" t="s">
        <v>67</v>
      </c>
      <c r="CO10" s="25" t="s">
        <v>68</v>
      </c>
      <c r="CP10" s="25" t="s">
        <v>69</v>
      </c>
      <c r="CQ10" s="25" t="s">
        <v>70</v>
      </c>
      <c r="CR10" s="24" t="s">
        <v>77</v>
      </c>
      <c r="CS10" s="24" t="s">
        <v>78</v>
      </c>
      <c r="CT10" s="24" t="s">
        <v>79</v>
      </c>
      <c r="CU10" s="24" t="s">
        <v>97</v>
      </c>
      <c r="CV10" s="24" t="s">
        <v>98</v>
      </c>
      <c r="CW10" s="24" t="s">
        <v>99</v>
      </c>
      <c r="CX10" s="24" t="s">
        <v>100</v>
      </c>
      <c r="CY10" s="24" t="s">
        <v>101</v>
      </c>
      <c r="CZ10" s="20" t="s">
        <v>80</v>
      </c>
      <c r="DA10" s="20" t="s">
        <v>81</v>
      </c>
      <c r="DB10" s="20" t="s">
        <v>82</v>
      </c>
      <c r="DC10" s="20" t="s">
        <v>97</v>
      </c>
      <c r="DD10" s="20" t="s">
        <v>98</v>
      </c>
      <c r="DE10" s="20" t="s">
        <v>99</v>
      </c>
      <c r="DF10" s="20" t="s">
        <v>100</v>
      </c>
      <c r="DG10" s="20" t="s">
        <v>101</v>
      </c>
      <c r="DH10" s="24" t="s">
        <v>87</v>
      </c>
      <c r="DI10" s="24" t="s">
        <v>88</v>
      </c>
      <c r="DJ10" s="24" t="s">
        <v>89</v>
      </c>
      <c r="DK10" s="24" t="s">
        <v>97</v>
      </c>
      <c r="DL10" s="24" t="s">
        <v>98</v>
      </c>
      <c r="DM10" s="24" t="s">
        <v>99</v>
      </c>
      <c r="DN10" s="24" t="s">
        <v>100</v>
      </c>
      <c r="DO10" s="24" t="s">
        <v>101</v>
      </c>
      <c r="DP10" s="20" t="s">
        <v>83</v>
      </c>
      <c r="DQ10" s="20" t="s">
        <v>84</v>
      </c>
      <c r="DR10" s="20" t="s">
        <v>85</v>
      </c>
      <c r="DS10" s="20" t="s">
        <v>97</v>
      </c>
      <c r="DT10" s="20" t="s">
        <v>98</v>
      </c>
      <c r="DU10" s="20" t="s">
        <v>99</v>
      </c>
      <c r="DV10" s="20" t="s">
        <v>100</v>
      </c>
      <c r="DW10" s="20" t="s">
        <v>101</v>
      </c>
      <c r="DX10" s="24" t="s">
        <v>86</v>
      </c>
      <c r="DY10" s="24" t="s">
        <v>90</v>
      </c>
      <c r="DZ10" s="24" t="s">
        <v>91</v>
      </c>
      <c r="EA10" s="24" t="s">
        <v>97</v>
      </c>
      <c r="EB10" s="24" t="s">
        <v>98</v>
      </c>
      <c r="EC10" s="24" t="s">
        <v>99</v>
      </c>
      <c r="ED10" s="24" t="s">
        <v>100</v>
      </c>
      <c r="EE10" s="24" t="s">
        <v>101</v>
      </c>
      <c r="EF10" s="20" t="s">
        <v>92</v>
      </c>
      <c r="EG10" s="20" t="s">
        <v>93</v>
      </c>
      <c r="EH10" s="20" t="s">
        <v>94</v>
      </c>
      <c r="EI10" s="20" t="s">
        <v>97</v>
      </c>
      <c r="EJ10" s="20" t="s">
        <v>98</v>
      </c>
      <c r="EK10" s="20" t="s">
        <v>99</v>
      </c>
      <c r="EL10" s="20" t="s">
        <v>100</v>
      </c>
      <c r="EM10" s="20" t="s">
        <v>101</v>
      </c>
    </row>
    <row r="11" spans="1:143" s="17" customFormat="1" ht="14.4" x14ac:dyDescent="0.3">
      <c r="A11" s="34" t="s">
        <v>114</v>
      </c>
      <c r="B11" s="12" t="s">
        <v>22</v>
      </c>
      <c r="C11" s="12">
        <v>13</v>
      </c>
      <c r="D11" s="31">
        <v>2192</v>
      </c>
      <c r="E11" s="8" t="str">
        <f t="shared" ref="E11:E26" si="0">""&amp;AF11&amp;"+1+1"</f>
        <v>61+1+1</v>
      </c>
      <c r="F11" s="31" t="s">
        <v>113</v>
      </c>
      <c r="G11" s="31" t="s">
        <v>19</v>
      </c>
      <c r="H11" s="8">
        <f t="shared" ref="H11" si="1">AJ11+AL11+AN11+AP11</f>
        <v>0</v>
      </c>
      <c r="I11" s="12" t="s">
        <v>19</v>
      </c>
      <c r="J11" s="12">
        <v>0</v>
      </c>
      <c r="K11" s="12" t="str">
        <f t="shared" ref="K11" si="2">IF(L11=0,"III","II")</f>
        <v>III</v>
      </c>
      <c r="L11" s="12">
        <v>0</v>
      </c>
      <c r="M11" s="12">
        <v>1</v>
      </c>
      <c r="N11" s="31">
        <v>5</v>
      </c>
      <c r="O11" s="31">
        <v>-2857</v>
      </c>
      <c r="P11" s="31">
        <v>8</v>
      </c>
      <c r="Q11" s="31">
        <v>-1115</v>
      </c>
      <c r="R11" s="31">
        <v>22</v>
      </c>
      <c r="S11" s="31">
        <v>4065</v>
      </c>
      <c r="T11" s="31">
        <v>6</v>
      </c>
      <c r="U11" s="31">
        <v>-1379</v>
      </c>
      <c r="V11" s="31">
        <v>6</v>
      </c>
      <c r="W11" s="31">
        <v>816</v>
      </c>
      <c r="X11" s="31">
        <v>14</v>
      </c>
      <c r="Y11" s="31">
        <v>5613</v>
      </c>
      <c r="Z11" s="12">
        <v>0</v>
      </c>
      <c r="AA11" s="12">
        <v>0</v>
      </c>
      <c r="AB11" s="12">
        <v>0</v>
      </c>
      <c r="AC11" s="12">
        <v>0</v>
      </c>
      <c r="AD11" s="8">
        <f t="shared" ref="AD11" si="3">IF(C11=12,2718,3115)</f>
        <v>3115</v>
      </c>
      <c r="AE11" s="8" t="str">
        <f t="shared" ref="AE11" si="4">IF(C11=12,"5,4 m^2","6 m^2")</f>
        <v>6 m^2</v>
      </c>
      <c r="AF11" s="8">
        <f t="shared" ref="AF11" si="5">N11+P11+R11+T11+V11+X11+Z11+AB11</f>
        <v>61</v>
      </c>
      <c r="AG11" s="8">
        <f t="shared" ref="AG11" si="6">D11+1200</f>
        <v>3392</v>
      </c>
      <c r="AH11" s="8">
        <f t="shared" ref="AH11" si="7">D11-26</f>
        <v>2166</v>
      </c>
      <c r="AI11" s="8">
        <f t="shared" ref="AI11" si="8">IF(C11=13,8547,7747)</f>
        <v>8547</v>
      </c>
      <c r="AJ11" s="12">
        <v>0</v>
      </c>
      <c r="AK11" s="8">
        <f>IF(C11=12,(AR11-700-1313/2),(AR11-700-1313/2))</f>
        <v>5543.5</v>
      </c>
      <c r="AL11" s="12">
        <v>0</v>
      </c>
      <c r="AM11" s="8">
        <f>IF(C11=12,(900+D11+((AR11-D11-700-1313-900)/2)),(900+D11+((AR11-D11-700-1313-900)/2)))</f>
        <v>3989.5</v>
      </c>
      <c r="AN11" s="12">
        <v>0</v>
      </c>
      <c r="AO11" s="8">
        <f t="shared" ref="AO11" si="9">D11+450</f>
        <v>2642</v>
      </c>
      <c r="AP11" s="12">
        <v>0</v>
      </c>
      <c r="AQ11" s="8">
        <f t="shared" ref="AQ11" si="10">990+(D11-990)/2</f>
        <v>1591</v>
      </c>
      <c r="AR11" s="14">
        <f t="shared" ref="AR11" si="11">IF(C11=12,6100,6900)</f>
        <v>6900</v>
      </c>
      <c r="AS11" s="14">
        <f t="shared" ref="AS11" si="12">IF(C11=12,(IF(I11="YOK",4065,4358)),(IF(I11="YOK",4276,4536)))</f>
        <v>4276</v>
      </c>
      <c r="AT11" s="14">
        <f t="shared" ref="AT11" si="13">IF(C11=12,(IF(I11="YOK",8523,8558)),(IF(I11="YOK",8587,8655)))</f>
        <v>8587</v>
      </c>
      <c r="AU11" s="14">
        <f t="shared" ref="AU11" si="14">AS11+AT11</f>
        <v>12863</v>
      </c>
      <c r="AV11" s="14">
        <f t="shared" ref="AV11" si="15">AS11+(N11*O11*N$7+P11*Q11*P$7+R11*S11*R$7+T11*U11*T$7+V11*W11*V$7+X11*Y11*X$7+Z11*AA11*Z$7*AB11*AC11*AB$7)/AR11</f>
        <v>4580.4518840579713</v>
      </c>
      <c r="AW11" s="14">
        <f t="shared" ref="AW11" si="16">AX11-AV11</f>
        <v>9149.5481159420287</v>
      </c>
      <c r="AX11" s="14">
        <f t="shared" ref="AX11" si="17">AU11+(N11*N$7+P11*P$7+R11*R$7+T11*T$7+V11*V$7+X11*X$7+Z11*Z$7+AB11*AB$7)</f>
        <v>13730</v>
      </c>
      <c r="AY11" s="7"/>
      <c r="AZ11" s="7"/>
      <c r="BA11" s="7"/>
      <c r="BB11" s="7"/>
      <c r="BC11" s="6">
        <f t="shared" ref="BC11:BC26" si="18">O11*BD11</f>
        <v>-1014235</v>
      </c>
      <c r="BD11" s="6">
        <f t="shared" ref="BD11" si="19">N11*$AD$7</f>
        <v>355</v>
      </c>
      <c r="BE11" s="6">
        <f t="shared" ref="BE11:BE26" si="20">Q11*BF11</f>
        <v>-633320</v>
      </c>
      <c r="BF11" s="6">
        <f t="shared" ref="BF11" si="21">P11*$AD$7</f>
        <v>568</v>
      </c>
      <c r="BG11" s="6">
        <f t="shared" ref="BG11:BG26" si="22">S11*BH11</f>
        <v>6349530</v>
      </c>
      <c r="BH11" s="6">
        <f t="shared" ref="BH11" si="23">R11*$AD$7</f>
        <v>1562</v>
      </c>
      <c r="BI11" s="6">
        <f t="shared" ref="BI11:BI26" si="24">U11*BJ11</f>
        <v>-587454</v>
      </c>
      <c r="BJ11" s="6">
        <f t="shared" ref="BJ11" si="25">T11*$AD$7</f>
        <v>426</v>
      </c>
      <c r="BK11" s="6">
        <f t="shared" ref="BK11:BK26" si="26">W11*BL11</f>
        <v>347616</v>
      </c>
      <c r="BL11" s="6">
        <f t="shared" ref="BL11" si="27">V11*$AD$7</f>
        <v>426</v>
      </c>
      <c r="BM11" s="6">
        <f t="shared" ref="BM11:BM26" si="28">Y11*BN11</f>
        <v>5579322</v>
      </c>
      <c r="BN11" s="6">
        <f t="shared" ref="BN11" si="29">X11*$AD$7</f>
        <v>994</v>
      </c>
      <c r="BO11" s="6">
        <f t="shared" ref="BO11" si="30">AA11*BP11</f>
        <v>0</v>
      </c>
      <c r="BP11" s="6">
        <f t="shared" ref="BP11" si="31">Z11*$AD$7</f>
        <v>0</v>
      </c>
      <c r="BQ11" s="6">
        <f t="shared" ref="BQ11" si="32">AC11*BR11</f>
        <v>0</v>
      </c>
      <c r="BR11" s="6">
        <f t="shared" ref="BR11" si="33">AB11*$AD$7</f>
        <v>0</v>
      </c>
      <c r="BS11" s="6">
        <f t="shared" ref="BS11" si="34">AD11*BT11</f>
        <v>0</v>
      </c>
      <c r="BT11" s="6">
        <f t="shared" ref="BT11" si="35">L11*$AD$7</f>
        <v>0</v>
      </c>
      <c r="BU11" s="6">
        <f t="shared" ref="BU11:BU26" si="36">AK11*BV11</f>
        <v>0</v>
      </c>
      <c r="BV11" s="6">
        <f t="shared" ref="BV11:BV26" si="37">AJ11*100</f>
        <v>0</v>
      </c>
      <c r="BW11" s="6">
        <f t="shared" ref="BW11:BW26" si="38">AM11*BX11</f>
        <v>0</v>
      </c>
      <c r="BX11" s="6">
        <f t="shared" ref="BX11" si="39">AL11*100</f>
        <v>0</v>
      </c>
      <c r="BY11" s="6">
        <f t="shared" ref="BY11:BY26" si="40">AO11*BZ11</f>
        <v>0</v>
      </c>
      <c r="BZ11" s="6">
        <f t="shared" ref="BZ11" si="41">AN11*100</f>
        <v>0</v>
      </c>
      <c r="CA11" s="6">
        <f t="shared" ref="CA11" si="42">AQ11*CB11</f>
        <v>0</v>
      </c>
      <c r="CB11" s="6">
        <f t="shared" ref="CB11" si="43">AP11*100</f>
        <v>0</v>
      </c>
      <c r="CC11" s="6">
        <f t="shared" ref="CC11" si="44">AG11*CD11</f>
        <v>373120</v>
      </c>
      <c r="CD11" s="6">
        <f t="shared" ref="CD11" si="45">IF(F11="VAR",110,0)</f>
        <v>110</v>
      </c>
      <c r="CE11" s="6">
        <f t="shared" ref="CE11" si="46">CF11*AH11</f>
        <v>0</v>
      </c>
      <c r="CF11" s="6">
        <f t="shared" ref="CF11" si="47">IF(G11="VAR",64,0)</f>
        <v>0</v>
      </c>
      <c r="CG11" s="6">
        <f t="shared" ref="CG11" si="48">AI11*CH11</f>
        <v>641025</v>
      </c>
      <c r="CH11" s="6">
        <f t="shared" ref="CH11" si="49">M11*75</f>
        <v>75</v>
      </c>
      <c r="CI11" s="6">
        <v>-101</v>
      </c>
      <c r="CJ11" s="6">
        <v>301</v>
      </c>
      <c r="CK11" s="6">
        <f t="shared" ref="CK11" si="50">CI11+CJ11</f>
        <v>200</v>
      </c>
      <c r="CL11" s="6">
        <v>-151</v>
      </c>
      <c r="CM11" s="6">
        <v>451</v>
      </c>
      <c r="CN11" s="6">
        <f t="shared" ref="CN11" si="51">CL11+CM11</f>
        <v>300</v>
      </c>
      <c r="CO11" s="10">
        <f t="shared" ref="CO11:CO26" si="52">(BC11+BE11+BG11+BI11+BK11+BM11+BO11+BQ11+BS11+BU11+BW11+BY11+CA11+CC11+CC11+CE11+CG11)/AR11</f>
        <v>1656.3368115942028</v>
      </c>
      <c r="CP11" s="10">
        <f t="shared" ref="CP11:CP26" si="53">CQ11-CO11</f>
        <v>2690.663188405797</v>
      </c>
      <c r="CQ11" s="10">
        <f>BD11+BF11+BH11+BJ11+BL11+BN11+BP11+BR11+BT11+BV11+BX11+BZ11+CB11+CD11+CF11-94</f>
        <v>4347</v>
      </c>
      <c r="CR11" s="10">
        <f t="shared" ref="CR11:CR26" si="54">AV11+CO11</f>
        <v>6236.7886956521743</v>
      </c>
      <c r="CS11" s="10">
        <f t="shared" ref="CS11:CS26" si="55">AW11+CP11</f>
        <v>11840.211304347826</v>
      </c>
      <c r="CT11" s="10">
        <f t="shared" ref="CT11:CT25" si="56">CR11+CS11</f>
        <v>18077</v>
      </c>
      <c r="CU11" s="11" t="str">
        <f t="shared" ref="CU11:CU26" si="57">IF(AND($CR11 &lt;=7100,$CS11 &lt;=11500, $CT11 &lt;=18000),"OK","N/OK")</f>
        <v>N/OK</v>
      </c>
      <c r="CV11" s="11" t="str">
        <f t="shared" ref="CV11:CV26" si="58">IF(AND($CR11 &lt;=7100,$CS11 &lt;=11500, $CT11 &lt;=19500),"OK","N/OK")</f>
        <v>N/OK</v>
      </c>
      <c r="CW11" s="11" t="str">
        <f t="shared" ref="CW11:CW26" si="59">IF(AND($CR11 &lt;=7100,$CS11 &lt;=12000, $CT11 &lt;=18000),"OK","N/OK")</f>
        <v>N/OK</v>
      </c>
      <c r="CX11" s="11" t="str">
        <f t="shared" ref="CX11:CX26" si="60">IF(AND($CR11 &lt;=7100,$CS11 &lt;=12000, $CT11 &lt;=19000),"OK","N/OK")</f>
        <v>OK</v>
      </c>
      <c r="CY11" s="11" t="str">
        <f t="shared" ref="CY11:CY26" si="61">IF(AND($CR11 &lt;=7100,$CS11 &lt;=12300, $CT11 &lt;=19000),"OK","N/OK")</f>
        <v>OK</v>
      </c>
      <c r="CZ11" s="10">
        <f t="shared" ref="CZ11:CZ26" si="62">CR11-44</f>
        <v>6192.7886956521743</v>
      </c>
      <c r="DA11" s="10">
        <f t="shared" ref="DA11:DA26" si="63">CS11-88</f>
        <v>11752.211304347826</v>
      </c>
      <c r="DB11" s="10">
        <f t="shared" ref="DB11:DB26" si="64">CZ11+DA11</f>
        <v>17945</v>
      </c>
      <c r="DC11" s="11" t="str">
        <f t="shared" ref="DC11:DD26" si="65">IF(AND($CZ11 &lt;=7100,$DA11 &lt;=11500, $DB11 &lt;=18000),"OK","N/OK")</f>
        <v>N/OK</v>
      </c>
      <c r="DD11" s="11" t="str">
        <f t="shared" si="65"/>
        <v>N/OK</v>
      </c>
      <c r="DE11" s="11" t="str">
        <f t="shared" ref="DE11:DE26" si="66">IF(AND($CZ11 &lt;=7100,$DA11 &lt;=12000, $DB11 &lt;=18000),"OK","N/OK")</f>
        <v>OK</v>
      </c>
      <c r="DF11" s="11" t="str">
        <f t="shared" ref="DF11:DF26" si="67">IF(AND($CZ11 &lt;=7100,$DA11 &lt;=12000, $DB11 &lt;=19000),"OK","N/OK")</f>
        <v>OK</v>
      </c>
      <c r="DG11" s="11" t="str">
        <f t="shared" ref="DG11:DG26" si="68">IF(AND($CZ11 &lt;=7100,$DA11 &lt;=12300, $DB11 &lt;=19000),"OK","N/OK")</f>
        <v>OK</v>
      </c>
      <c r="DH11" s="10">
        <f t="shared" ref="DH11:DH26" si="69">CR11+CI11</f>
        <v>6135.7886956521743</v>
      </c>
      <c r="DI11" s="10">
        <f t="shared" ref="DI11:DI26" si="70">CS11+CJ11</f>
        <v>12141.211304347826</v>
      </c>
      <c r="DJ11" s="10">
        <f t="shared" ref="DJ11:DJ26" si="71">DH11+DI11</f>
        <v>18277</v>
      </c>
      <c r="DK11" s="11" t="str">
        <f t="shared" ref="DK11:DK26" si="72">IF(AND($DH11 &lt;=7100,$DI11 &lt;=11500, $DJ11 &lt;=18000),"OK","N/OK")</f>
        <v>N/OK</v>
      </c>
      <c r="DL11" s="11" t="str">
        <f t="shared" ref="DL11:DL26" si="73">IF(AND($DH11 &lt;=7100,$DI11 &lt;=11500, $DJ11 &lt;=19500),"OK","N/OK")</f>
        <v>N/OK</v>
      </c>
      <c r="DM11" s="11" t="str">
        <f t="shared" ref="DM11:DM26" si="74">IF(AND($DH11 &lt;=7100,$DI11 &lt;=12000, $DJ11 &lt;=18000),"OK","N/OK")</f>
        <v>N/OK</v>
      </c>
      <c r="DN11" s="11" t="str">
        <f t="shared" ref="DN11:DN26" si="75">IF(AND($DH11 &lt;=7100,$DI11 &lt;=12000, $DJ11 &lt;=19000),"OK","N/OK")</f>
        <v>N/OK</v>
      </c>
      <c r="DO11" s="11" t="str">
        <f t="shared" ref="DO11:DO26" si="76">IF(AND($DH11 &lt;=7100,$DI11 &lt;=12300, $DJ11 &lt;=19000),"OK","N/OK")</f>
        <v>OK</v>
      </c>
      <c r="DP11" s="10">
        <f t="shared" ref="DP11:DP26" si="77">DH11-44</f>
        <v>6091.7886956521743</v>
      </c>
      <c r="DQ11" s="10">
        <f t="shared" ref="DQ11:DQ26" si="78">DI11-88</f>
        <v>12053.211304347826</v>
      </c>
      <c r="DR11" s="10">
        <f t="shared" ref="DR11:DR26" si="79">DP11+DQ11</f>
        <v>18145</v>
      </c>
      <c r="DS11" s="11" t="str">
        <f t="shared" ref="DS11:DS26" si="80">IF(AND($DP11 &lt;=7100,$DQ11 &lt;=11500, $DR11 &lt;=18000),"OK","N/OK")</f>
        <v>N/OK</v>
      </c>
      <c r="DT11" s="11" t="str">
        <f t="shared" ref="DT11:DT26" si="81">IF(AND($DP11 &lt;=7100,$DQ11 &lt;=11500, $DR11 &lt;=19500),"OK","N/OK")</f>
        <v>N/OK</v>
      </c>
      <c r="DU11" s="11" t="str">
        <f t="shared" ref="DU11:DU26" si="82">IF(AND($DP11 &lt;=7100,$DQ11 &lt;=12000, $DR11 &lt;=18000),"OK","N/OK")</f>
        <v>N/OK</v>
      </c>
      <c r="DV11" s="11" t="str">
        <f t="shared" ref="DV11:DV26" si="83">IF(AND($DP11 &lt;=7100,$DQ11 &lt;=12000, $DR11 &lt;=19000),"OK","N/OK")</f>
        <v>N/OK</v>
      </c>
      <c r="DW11" s="11" t="str">
        <f t="shared" ref="DW11:DW26" si="84">IF(AND($DP11 &lt;=7100,$DQ11 &lt;=12300, $DR11 &lt;=19000),"OK","N/OK")</f>
        <v>OK</v>
      </c>
      <c r="DX11" s="10">
        <f t="shared" ref="DX11:DX26" si="85">CR11+CL11</f>
        <v>6085.7886956521743</v>
      </c>
      <c r="DY11" s="10">
        <f t="shared" ref="DY11:DY26" si="86">DQ11+CM11</f>
        <v>12504.211304347826</v>
      </c>
      <c r="DZ11" s="10">
        <f t="shared" ref="DZ11:DZ26" si="87">DX11+DY11</f>
        <v>18590</v>
      </c>
      <c r="EA11" s="11" t="str">
        <f t="shared" ref="EA11:EA26" si="88">IF(AND($DX11 &lt;=7100,$DY11 &lt;=11500, $DZ11 &lt;=18000),"OK","N/OK")</f>
        <v>N/OK</v>
      </c>
      <c r="EB11" s="11" t="str">
        <f t="shared" ref="EB11:EB26" si="89">IF(AND($DX11 &lt;=7100,$DY11 &lt;=11500, $DZ11 &lt;=19500),"OK","N/OK")</f>
        <v>N/OK</v>
      </c>
      <c r="EC11" s="11" t="str">
        <f t="shared" ref="EC11:EC26" si="90">IF(AND($DX11 &lt;=7100,$DY11 &lt;=12000, $DZ11 &lt;=18000),"OK","N/OK")</f>
        <v>N/OK</v>
      </c>
      <c r="ED11" s="11" t="str">
        <f t="shared" ref="ED11:ED26" si="91">IF(AND($DX11 &lt;=7100,$DY11 &lt;=12000, $DZ11 &lt;=19000),"OK","N/OK")</f>
        <v>N/OK</v>
      </c>
      <c r="EE11" s="11" t="str">
        <f t="shared" ref="EE11:EE26" si="92">IF(AND($DX11 &lt;=7100,$DY11 &lt;=12300, $DZ11 &lt;=19000),"OK","N/OK")</f>
        <v>N/OK</v>
      </c>
      <c r="EF11" s="10">
        <f t="shared" ref="EF11:EF26" si="93">DX11-44</f>
        <v>6041.7886956521743</v>
      </c>
      <c r="EG11" s="10">
        <f t="shared" ref="EG11:EG26" si="94">DY11-88</f>
        <v>12416.211304347826</v>
      </c>
      <c r="EH11" s="10">
        <f t="shared" ref="EH11:EH26" si="95">EF11+EG11</f>
        <v>18458</v>
      </c>
      <c r="EI11" s="11" t="str">
        <f t="shared" ref="EI11:EI26" si="96">IF(AND($EF11 &lt;=7100,$EG11 &lt;=11500, $EH11 &lt;=18000),"OK","N/OK")</f>
        <v>N/OK</v>
      </c>
      <c r="EJ11" s="11" t="str">
        <f t="shared" ref="EJ11:EJ26" si="97">IF(AND($EF11 &lt;=7100,$EG11 &lt;=11500, $EH11 &lt;=19500),"OK","N/OK")</f>
        <v>N/OK</v>
      </c>
      <c r="EK11" s="11" t="str">
        <f t="shared" ref="EK11:EK26" si="98">IF(AND($EF11 &lt;=7100,$EG11 &lt;=12000, $EH11 &lt;=18000),"OK","N/OK")</f>
        <v>N/OK</v>
      </c>
      <c r="EL11" s="11" t="str">
        <f t="shared" ref="EL11:EL26" si="99">IF(AND($EF11 &lt;=7100,$EG11 &lt;=12000, $EH11 &lt;=19000),"OK","N/OK")</f>
        <v>N/OK</v>
      </c>
      <c r="EM11" s="11" t="str">
        <f t="shared" ref="EM11:EM26" si="100">IF(AND($EF11 &lt;=7100,$EG11 &lt;=12300, $EH11 &lt;=19000),"OK","N/OK")</f>
        <v>N/OK</v>
      </c>
    </row>
    <row r="12" spans="1:143" s="17" customFormat="1" ht="14.4" hidden="1" x14ac:dyDescent="0.3">
      <c r="A12" s="34" t="s">
        <v>114</v>
      </c>
      <c r="B12" s="12" t="s">
        <v>22</v>
      </c>
      <c r="C12" s="12">
        <v>13</v>
      </c>
      <c r="D12" s="31">
        <v>2192</v>
      </c>
      <c r="E12" s="8" t="str">
        <f t="shared" si="0"/>
        <v>61+1+1</v>
      </c>
      <c r="F12" s="31" t="s">
        <v>19</v>
      </c>
      <c r="G12" s="31" t="s">
        <v>19</v>
      </c>
      <c r="H12" s="8">
        <f t="shared" ref="H12:H26" si="101">AJ12+AL12+AN12+AP12</f>
        <v>0</v>
      </c>
      <c r="I12" s="12" t="s">
        <v>19</v>
      </c>
      <c r="J12" s="12">
        <v>0</v>
      </c>
      <c r="K12" s="12" t="str">
        <f t="shared" ref="K12" si="102">IF(L12=0,"III","II")</f>
        <v>III</v>
      </c>
      <c r="L12" s="12">
        <v>0</v>
      </c>
      <c r="M12" s="12">
        <v>1</v>
      </c>
      <c r="N12" s="31">
        <v>5</v>
      </c>
      <c r="O12" s="31">
        <v>-2857</v>
      </c>
      <c r="P12" s="31">
        <v>8</v>
      </c>
      <c r="Q12" s="31">
        <v>-1115</v>
      </c>
      <c r="R12" s="31">
        <v>22</v>
      </c>
      <c r="S12" s="31">
        <v>4065</v>
      </c>
      <c r="T12" s="31">
        <v>6</v>
      </c>
      <c r="U12" s="31">
        <v>-1379</v>
      </c>
      <c r="V12" s="31">
        <v>6</v>
      </c>
      <c r="W12" s="31">
        <v>816</v>
      </c>
      <c r="X12" s="31">
        <v>14</v>
      </c>
      <c r="Y12" s="31">
        <v>5613</v>
      </c>
      <c r="Z12" s="12">
        <v>0</v>
      </c>
      <c r="AA12" s="12">
        <v>0</v>
      </c>
      <c r="AB12" s="12">
        <v>0</v>
      </c>
      <c r="AC12" s="12">
        <v>0</v>
      </c>
      <c r="AD12" s="8">
        <f t="shared" ref="AD12" si="103">IF(C12=12,2718,3115)</f>
        <v>3115</v>
      </c>
      <c r="AE12" s="8" t="str">
        <f t="shared" ref="AE12" si="104">IF(C12=12,"5,4 m^2","6 m^2")</f>
        <v>6 m^2</v>
      </c>
      <c r="AF12" s="8">
        <f t="shared" ref="AF12:AF15" si="105">N12+P12+R12+T12+V12+X12+Z12+AB12</f>
        <v>61</v>
      </c>
      <c r="AG12" s="8">
        <f t="shared" ref="AG12" si="106">D12+1200</f>
        <v>3392</v>
      </c>
      <c r="AH12" s="8">
        <f t="shared" ref="AH12" si="107">D12-26</f>
        <v>2166</v>
      </c>
      <c r="AI12" s="8">
        <f t="shared" ref="AI12" si="108">IF(C12=13,8547,7747)</f>
        <v>8547</v>
      </c>
      <c r="AJ12" s="12">
        <v>0</v>
      </c>
      <c r="AK12" s="8">
        <f>IF(C12=12,(AR12-700-1313/2),(AR12-700-1313/2))</f>
        <v>5543.5</v>
      </c>
      <c r="AL12" s="12">
        <v>0</v>
      </c>
      <c r="AM12" s="8">
        <f>IF(C12=12,(900+D12+((AR12-D12-700-1313-900)/2)),(900+D12+((AR12-D12-700-1313-900)/2)))</f>
        <v>3989.5</v>
      </c>
      <c r="AN12" s="12">
        <v>0</v>
      </c>
      <c r="AO12" s="8">
        <f t="shared" ref="AO12" si="109">D12+450</f>
        <v>2642</v>
      </c>
      <c r="AP12" s="12">
        <v>0</v>
      </c>
      <c r="AQ12" s="8">
        <f t="shared" ref="AQ12" si="110">990+(D12-990)/2</f>
        <v>1591</v>
      </c>
      <c r="AR12" s="14">
        <f t="shared" ref="AR12" si="111">IF(C12=12,6100,6900)</f>
        <v>6900</v>
      </c>
      <c r="AS12" s="14">
        <f t="shared" ref="AS12" si="112">IF(C12=12,(IF(I12="YOK",4065,4358)),(IF(I12="YOK",4276,4536)))</f>
        <v>4276</v>
      </c>
      <c r="AT12" s="14">
        <f t="shared" ref="AT12" si="113">IF(C12=12,(IF(I12="YOK",8523,8558)),(IF(I12="YOK",8587,8655)))</f>
        <v>8587</v>
      </c>
      <c r="AU12" s="14">
        <f t="shared" ref="AU12" si="114">AS12+AT12</f>
        <v>12863</v>
      </c>
      <c r="AV12" s="14">
        <f t="shared" ref="AV12" si="115">AS12+(N12*O12*N$7+P12*Q12*P$7+R12*S12*R$7+T12*U12*T$7+V12*W12*V$7+X12*Y12*X$7+Z12*AA12*Z$7*AB12*AC12*AB$7)/AR12</f>
        <v>4580.4518840579713</v>
      </c>
      <c r="AW12" s="14">
        <f t="shared" ref="AW12" si="116">AX12-AV12</f>
        <v>9149.5481159420287</v>
      </c>
      <c r="AX12" s="14">
        <f t="shared" ref="AX12" si="117">AU12+(N12*N$7+P12*P$7+R12*R$7+T12*T$7+V12*V$7+X12*X$7+Z12*Z$7+AB12*AB$7)</f>
        <v>13730</v>
      </c>
      <c r="AY12" s="7"/>
      <c r="AZ12" s="7"/>
      <c r="BA12" s="7"/>
      <c r="BB12" s="7"/>
      <c r="BC12" s="6">
        <f t="shared" si="18"/>
        <v>-1014235</v>
      </c>
      <c r="BD12" s="6">
        <f t="shared" ref="BD12" si="118">N12*$AD$7</f>
        <v>355</v>
      </c>
      <c r="BE12" s="6">
        <f t="shared" si="20"/>
        <v>-633320</v>
      </c>
      <c r="BF12" s="6">
        <f t="shared" ref="BF12" si="119">P12*$AD$7</f>
        <v>568</v>
      </c>
      <c r="BG12" s="6">
        <f t="shared" si="22"/>
        <v>6349530</v>
      </c>
      <c r="BH12" s="6">
        <f t="shared" ref="BH12" si="120">R12*$AD$7</f>
        <v>1562</v>
      </c>
      <c r="BI12" s="6">
        <f t="shared" si="24"/>
        <v>-587454</v>
      </c>
      <c r="BJ12" s="6">
        <f t="shared" ref="BJ12" si="121">T12*$AD$7</f>
        <v>426</v>
      </c>
      <c r="BK12" s="6">
        <f t="shared" si="26"/>
        <v>347616</v>
      </c>
      <c r="BL12" s="6">
        <f t="shared" ref="BL12" si="122">V12*$AD$7</f>
        <v>426</v>
      </c>
      <c r="BM12" s="6">
        <f t="shared" si="28"/>
        <v>5579322</v>
      </c>
      <c r="BN12" s="6">
        <f t="shared" ref="BN12" si="123">X12*$AD$7</f>
        <v>994</v>
      </c>
      <c r="BO12" s="6">
        <f t="shared" ref="BO12" si="124">AA12*BP12</f>
        <v>0</v>
      </c>
      <c r="BP12" s="6">
        <f t="shared" ref="BP12" si="125">Z12*$AD$7</f>
        <v>0</v>
      </c>
      <c r="BQ12" s="6">
        <f t="shared" ref="BQ12" si="126">AC12*BR12</f>
        <v>0</v>
      </c>
      <c r="BR12" s="6">
        <f t="shared" ref="BR12" si="127">AB12*$AD$7</f>
        <v>0</v>
      </c>
      <c r="BS12" s="6">
        <f t="shared" ref="BS12" si="128">AD12*BT12</f>
        <v>0</v>
      </c>
      <c r="BT12" s="6">
        <f t="shared" ref="BT12" si="129">L12*$AD$7</f>
        <v>0</v>
      </c>
      <c r="BU12" s="6">
        <f t="shared" si="36"/>
        <v>0</v>
      </c>
      <c r="BV12" s="6">
        <f t="shared" si="37"/>
        <v>0</v>
      </c>
      <c r="BW12" s="6">
        <f t="shared" si="38"/>
        <v>0</v>
      </c>
      <c r="BX12" s="6">
        <f t="shared" ref="BX12" si="130">AL12*100</f>
        <v>0</v>
      </c>
      <c r="BY12" s="6">
        <f t="shared" si="40"/>
        <v>0</v>
      </c>
      <c r="BZ12" s="6">
        <f t="shared" ref="BZ12" si="131">AN12*100</f>
        <v>0</v>
      </c>
      <c r="CA12" s="6">
        <f t="shared" ref="CA12" si="132">AQ12*CB12</f>
        <v>0</v>
      </c>
      <c r="CB12" s="6">
        <f t="shared" ref="CB12" si="133">AP12*100</f>
        <v>0</v>
      </c>
      <c r="CC12" s="6">
        <f t="shared" ref="CC12" si="134">AG12*CD12</f>
        <v>0</v>
      </c>
      <c r="CD12" s="6">
        <f t="shared" ref="CD12" si="135">IF(F12="VAR",110,0)</f>
        <v>0</v>
      </c>
      <c r="CE12" s="6">
        <f t="shared" ref="CE12" si="136">CF12*AH12</f>
        <v>0</v>
      </c>
      <c r="CF12" s="6">
        <f t="shared" ref="CF12" si="137">IF(G12="VAR",64,0)</f>
        <v>0</v>
      </c>
      <c r="CG12" s="6">
        <f t="shared" ref="CG12" si="138">AI12*CH12</f>
        <v>641025</v>
      </c>
      <c r="CH12" s="6">
        <f t="shared" ref="CH12" si="139">M12*75</f>
        <v>75</v>
      </c>
      <c r="CI12" s="6">
        <v>-101</v>
      </c>
      <c r="CJ12" s="6">
        <v>301</v>
      </c>
      <c r="CK12" s="6">
        <f t="shared" ref="CK12" si="140">CI12+CJ12</f>
        <v>200</v>
      </c>
      <c r="CL12" s="6">
        <v>-151</v>
      </c>
      <c r="CM12" s="6">
        <v>451</v>
      </c>
      <c r="CN12" s="6">
        <f t="shared" ref="CN12" si="141">CL12+CM12</f>
        <v>300</v>
      </c>
      <c r="CO12" s="10">
        <f t="shared" si="52"/>
        <v>1548.1860869565216</v>
      </c>
      <c r="CP12" s="10">
        <f t="shared" si="53"/>
        <v>2688.8139130434784</v>
      </c>
      <c r="CQ12" s="10">
        <f t="shared" ref="CQ12:CQ26" si="142">BD12+BF12+BH12+BJ12+BL12+BN12+BP12+BR12+BT12+BV12+BX12+BZ12+CB12+CD12+CF12-94</f>
        <v>4237</v>
      </c>
      <c r="CR12" s="10">
        <f t="shared" si="54"/>
        <v>6128.6379710144929</v>
      </c>
      <c r="CS12" s="10">
        <f t="shared" si="55"/>
        <v>11838.362028985506</v>
      </c>
      <c r="CT12" s="10">
        <f t="shared" si="56"/>
        <v>17967</v>
      </c>
      <c r="CU12" s="11" t="str">
        <f t="shared" si="57"/>
        <v>N/OK</v>
      </c>
      <c r="CV12" s="11" t="str">
        <f t="shared" si="58"/>
        <v>N/OK</v>
      </c>
      <c r="CW12" s="11" t="str">
        <f t="shared" si="59"/>
        <v>OK</v>
      </c>
      <c r="CX12" s="11" t="str">
        <f t="shared" si="60"/>
        <v>OK</v>
      </c>
      <c r="CY12" s="11" t="str">
        <f t="shared" si="61"/>
        <v>OK</v>
      </c>
      <c r="CZ12" s="10">
        <f t="shared" si="62"/>
        <v>6084.6379710144929</v>
      </c>
      <c r="DA12" s="10">
        <f t="shared" si="63"/>
        <v>11750.362028985506</v>
      </c>
      <c r="DB12" s="10">
        <f t="shared" si="64"/>
        <v>17835</v>
      </c>
      <c r="DC12" s="11" t="str">
        <f t="shared" si="65"/>
        <v>N/OK</v>
      </c>
      <c r="DD12" s="11" t="str">
        <f t="shared" si="65"/>
        <v>N/OK</v>
      </c>
      <c r="DE12" s="11" t="str">
        <f t="shared" si="66"/>
        <v>OK</v>
      </c>
      <c r="DF12" s="11" t="str">
        <f t="shared" si="67"/>
        <v>OK</v>
      </c>
      <c r="DG12" s="11" t="str">
        <f t="shared" si="68"/>
        <v>OK</v>
      </c>
      <c r="DH12" s="10">
        <f t="shared" si="69"/>
        <v>6027.6379710144929</v>
      </c>
      <c r="DI12" s="10">
        <f t="shared" si="70"/>
        <v>12139.362028985506</v>
      </c>
      <c r="DJ12" s="10">
        <f t="shared" si="71"/>
        <v>18167</v>
      </c>
      <c r="DK12" s="11" t="str">
        <f t="shared" si="72"/>
        <v>N/OK</v>
      </c>
      <c r="DL12" s="11" t="str">
        <f t="shared" si="73"/>
        <v>N/OK</v>
      </c>
      <c r="DM12" s="11" t="str">
        <f t="shared" si="74"/>
        <v>N/OK</v>
      </c>
      <c r="DN12" s="11" t="str">
        <f t="shared" si="75"/>
        <v>N/OK</v>
      </c>
      <c r="DO12" s="11" t="str">
        <f t="shared" si="76"/>
        <v>OK</v>
      </c>
      <c r="DP12" s="10">
        <f t="shared" si="77"/>
        <v>5983.6379710144929</v>
      </c>
      <c r="DQ12" s="10">
        <f t="shared" si="78"/>
        <v>12051.362028985506</v>
      </c>
      <c r="DR12" s="10">
        <f t="shared" si="79"/>
        <v>18035</v>
      </c>
      <c r="DS12" s="11" t="str">
        <f t="shared" si="80"/>
        <v>N/OK</v>
      </c>
      <c r="DT12" s="11" t="str">
        <f t="shared" si="81"/>
        <v>N/OK</v>
      </c>
      <c r="DU12" s="11" t="str">
        <f t="shared" si="82"/>
        <v>N/OK</v>
      </c>
      <c r="DV12" s="11" t="str">
        <f t="shared" si="83"/>
        <v>N/OK</v>
      </c>
      <c r="DW12" s="11" t="str">
        <f t="shared" si="84"/>
        <v>OK</v>
      </c>
      <c r="DX12" s="10">
        <f t="shared" si="85"/>
        <v>5977.6379710144929</v>
      </c>
      <c r="DY12" s="10">
        <f t="shared" si="86"/>
        <v>12502.362028985506</v>
      </c>
      <c r="DZ12" s="10">
        <f t="shared" si="87"/>
        <v>18480</v>
      </c>
      <c r="EA12" s="11" t="str">
        <f t="shared" si="88"/>
        <v>N/OK</v>
      </c>
      <c r="EB12" s="11" t="str">
        <f t="shared" si="89"/>
        <v>N/OK</v>
      </c>
      <c r="EC12" s="11" t="str">
        <f t="shared" si="90"/>
        <v>N/OK</v>
      </c>
      <c r="ED12" s="11" t="str">
        <f t="shared" si="91"/>
        <v>N/OK</v>
      </c>
      <c r="EE12" s="11" t="str">
        <f t="shared" si="92"/>
        <v>N/OK</v>
      </c>
      <c r="EF12" s="10">
        <f t="shared" si="93"/>
        <v>5933.6379710144929</v>
      </c>
      <c r="EG12" s="10">
        <f t="shared" si="94"/>
        <v>12414.362028985506</v>
      </c>
      <c r="EH12" s="10">
        <f t="shared" si="95"/>
        <v>18348</v>
      </c>
      <c r="EI12" s="11" t="str">
        <f t="shared" si="96"/>
        <v>N/OK</v>
      </c>
      <c r="EJ12" s="11" t="str">
        <f t="shared" si="97"/>
        <v>N/OK</v>
      </c>
      <c r="EK12" s="11" t="str">
        <f t="shared" si="98"/>
        <v>N/OK</v>
      </c>
      <c r="EL12" s="11" t="str">
        <f t="shared" si="99"/>
        <v>N/OK</v>
      </c>
      <c r="EM12" s="11" t="str">
        <f t="shared" si="100"/>
        <v>N/OK</v>
      </c>
    </row>
    <row r="13" spans="1:143" s="17" customFormat="1" ht="14.4" hidden="1" x14ac:dyDescent="0.3">
      <c r="A13" s="34" t="s">
        <v>114</v>
      </c>
      <c r="B13" s="12" t="s">
        <v>22</v>
      </c>
      <c r="C13" s="12">
        <v>13</v>
      </c>
      <c r="D13" s="31">
        <v>2192</v>
      </c>
      <c r="E13" s="8" t="str">
        <f t="shared" si="0"/>
        <v>60+1+1</v>
      </c>
      <c r="F13" s="31" t="s">
        <v>113</v>
      </c>
      <c r="G13" s="31" t="s">
        <v>19</v>
      </c>
      <c r="H13" s="8">
        <f t="shared" si="101"/>
        <v>0</v>
      </c>
      <c r="I13" s="12" t="s">
        <v>19</v>
      </c>
      <c r="J13" s="12">
        <v>0</v>
      </c>
      <c r="K13" s="12" t="s">
        <v>115</v>
      </c>
      <c r="L13" s="12">
        <v>0</v>
      </c>
      <c r="M13" s="12">
        <v>1</v>
      </c>
      <c r="N13" s="31">
        <v>4</v>
      </c>
      <c r="O13" s="31">
        <v>-2857</v>
      </c>
      <c r="P13" s="31">
        <v>8</v>
      </c>
      <c r="Q13" s="31">
        <v>-1115</v>
      </c>
      <c r="R13" s="31">
        <v>22</v>
      </c>
      <c r="S13" s="31">
        <v>4065</v>
      </c>
      <c r="T13" s="31">
        <v>6</v>
      </c>
      <c r="U13" s="31">
        <v>-1379</v>
      </c>
      <c r="V13" s="31">
        <v>6</v>
      </c>
      <c r="W13" s="31">
        <v>816</v>
      </c>
      <c r="X13" s="31">
        <v>14</v>
      </c>
      <c r="Y13" s="31">
        <v>5613</v>
      </c>
      <c r="Z13" s="12">
        <v>0</v>
      </c>
      <c r="AA13" s="12">
        <v>0</v>
      </c>
      <c r="AB13" s="12">
        <v>0</v>
      </c>
      <c r="AC13" s="12">
        <v>0</v>
      </c>
      <c r="AD13" s="8">
        <v>3115</v>
      </c>
      <c r="AE13" s="8" t="s">
        <v>116</v>
      </c>
      <c r="AF13" s="8">
        <f t="shared" si="105"/>
        <v>60</v>
      </c>
      <c r="AG13" s="8">
        <v>3392</v>
      </c>
      <c r="AH13" s="8">
        <v>2166</v>
      </c>
      <c r="AI13" s="8">
        <v>8547</v>
      </c>
      <c r="AJ13" s="12">
        <v>0</v>
      </c>
      <c r="AK13" s="8">
        <v>5543.5</v>
      </c>
      <c r="AL13" s="12">
        <v>0</v>
      </c>
      <c r="AM13" s="8">
        <v>3989.5</v>
      </c>
      <c r="AN13" s="12">
        <v>0</v>
      </c>
      <c r="AO13" s="8">
        <v>2642</v>
      </c>
      <c r="AP13" s="12">
        <v>0</v>
      </c>
      <c r="AQ13" s="8">
        <v>1591</v>
      </c>
      <c r="AR13" s="14">
        <v>6900</v>
      </c>
      <c r="AS13" s="14">
        <v>4276</v>
      </c>
      <c r="AT13" s="14">
        <v>8587</v>
      </c>
      <c r="AU13" s="14">
        <v>12863</v>
      </c>
      <c r="AV13" s="14">
        <v>4580.4518840579713</v>
      </c>
      <c r="AW13" s="14">
        <v>9149.5481159420287</v>
      </c>
      <c r="AX13" s="14">
        <v>13730</v>
      </c>
      <c r="AY13" s="7"/>
      <c r="AZ13" s="7"/>
      <c r="BA13" s="7"/>
      <c r="BB13" s="7"/>
      <c r="BC13" s="6">
        <f t="shared" si="18"/>
        <v>-1014235</v>
      </c>
      <c r="BD13" s="6">
        <v>355</v>
      </c>
      <c r="BE13" s="6">
        <f t="shared" si="20"/>
        <v>-633320</v>
      </c>
      <c r="BF13" s="6">
        <v>568</v>
      </c>
      <c r="BG13" s="6">
        <f t="shared" si="22"/>
        <v>6349530</v>
      </c>
      <c r="BH13" s="6">
        <v>1562</v>
      </c>
      <c r="BI13" s="6">
        <f t="shared" si="24"/>
        <v>-587454</v>
      </c>
      <c r="BJ13" s="6">
        <v>426</v>
      </c>
      <c r="BK13" s="6">
        <f t="shared" si="26"/>
        <v>347616</v>
      </c>
      <c r="BL13" s="6">
        <v>426</v>
      </c>
      <c r="BM13" s="6">
        <f t="shared" si="28"/>
        <v>5579322</v>
      </c>
      <c r="BN13" s="6">
        <v>994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f t="shared" si="36"/>
        <v>0</v>
      </c>
      <c r="BV13" s="6">
        <f t="shared" si="37"/>
        <v>0</v>
      </c>
      <c r="BW13" s="6">
        <f t="shared" si="38"/>
        <v>0</v>
      </c>
      <c r="BX13" s="6">
        <v>0</v>
      </c>
      <c r="BY13" s="6">
        <f t="shared" si="40"/>
        <v>0</v>
      </c>
      <c r="BZ13" s="6">
        <v>0</v>
      </c>
      <c r="CA13" s="6">
        <v>0</v>
      </c>
      <c r="CB13" s="6">
        <v>0</v>
      </c>
      <c r="CC13" s="6">
        <v>373120</v>
      </c>
      <c r="CD13" s="6">
        <v>110</v>
      </c>
      <c r="CE13" s="6">
        <v>0</v>
      </c>
      <c r="CF13" s="6">
        <v>0</v>
      </c>
      <c r="CG13" s="6">
        <v>641025</v>
      </c>
      <c r="CH13" s="6">
        <v>75</v>
      </c>
      <c r="CI13" s="6">
        <v>-101</v>
      </c>
      <c r="CJ13" s="6">
        <v>301</v>
      </c>
      <c r="CK13" s="6">
        <v>200</v>
      </c>
      <c r="CL13" s="6">
        <v>-151</v>
      </c>
      <c r="CM13" s="6">
        <v>451</v>
      </c>
      <c r="CN13" s="6">
        <v>300</v>
      </c>
      <c r="CO13" s="10">
        <f t="shared" si="52"/>
        <v>1656.3368115942028</v>
      </c>
      <c r="CP13" s="10">
        <f t="shared" si="53"/>
        <v>2690.663188405797</v>
      </c>
      <c r="CQ13" s="10">
        <f t="shared" si="142"/>
        <v>4347</v>
      </c>
      <c r="CR13" s="10">
        <f t="shared" si="54"/>
        <v>6236.7886956521743</v>
      </c>
      <c r="CS13" s="10">
        <f t="shared" si="55"/>
        <v>11840.211304347826</v>
      </c>
      <c r="CT13" s="10">
        <f t="shared" si="56"/>
        <v>18077</v>
      </c>
      <c r="CU13" s="11" t="str">
        <f t="shared" si="57"/>
        <v>N/OK</v>
      </c>
      <c r="CV13" s="11" t="str">
        <f t="shared" si="58"/>
        <v>N/OK</v>
      </c>
      <c r="CW13" s="11" t="str">
        <f t="shared" si="59"/>
        <v>N/OK</v>
      </c>
      <c r="CX13" s="11" t="str">
        <f t="shared" si="60"/>
        <v>OK</v>
      </c>
      <c r="CY13" s="11" t="str">
        <f t="shared" si="61"/>
        <v>OK</v>
      </c>
      <c r="CZ13" s="10">
        <f t="shared" si="62"/>
        <v>6192.7886956521743</v>
      </c>
      <c r="DA13" s="10">
        <f t="shared" si="63"/>
        <v>11752.211304347826</v>
      </c>
      <c r="DB13" s="10">
        <f t="shared" si="64"/>
        <v>17945</v>
      </c>
      <c r="DC13" s="11" t="str">
        <f t="shared" si="65"/>
        <v>N/OK</v>
      </c>
      <c r="DD13" s="11" t="str">
        <f t="shared" si="65"/>
        <v>N/OK</v>
      </c>
      <c r="DE13" s="11" t="str">
        <f t="shared" si="66"/>
        <v>OK</v>
      </c>
      <c r="DF13" s="11" t="str">
        <f t="shared" si="67"/>
        <v>OK</v>
      </c>
      <c r="DG13" s="11" t="str">
        <f t="shared" si="68"/>
        <v>OK</v>
      </c>
      <c r="DH13" s="10">
        <f t="shared" si="69"/>
        <v>6135.7886956521743</v>
      </c>
      <c r="DI13" s="10">
        <f t="shared" si="70"/>
        <v>12141.211304347826</v>
      </c>
      <c r="DJ13" s="10">
        <f t="shared" si="71"/>
        <v>18277</v>
      </c>
      <c r="DK13" s="11" t="str">
        <f t="shared" si="72"/>
        <v>N/OK</v>
      </c>
      <c r="DL13" s="11" t="str">
        <f t="shared" si="73"/>
        <v>N/OK</v>
      </c>
      <c r="DM13" s="11" t="str">
        <f t="shared" si="74"/>
        <v>N/OK</v>
      </c>
      <c r="DN13" s="11" t="str">
        <f t="shared" si="75"/>
        <v>N/OK</v>
      </c>
      <c r="DO13" s="11" t="str">
        <f t="shared" si="76"/>
        <v>OK</v>
      </c>
      <c r="DP13" s="10">
        <f t="shared" si="77"/>
        <v>6091.7886956521743</v>
      </c>
      <c r="DQ13" s="10">
        <f t="shared" si="78"/>
        <v>12053.211304347826</v>
      </c>
      <c r="DR13" s="10">
        <f t="shared" si="79"/>
        <v>18145</v>
      </c>
      <c r="DS13" s="11" t="str">
        <f t="shared" si="80"/>
        <v>N/OK</v>
      </c>
      <c r="DT13" s="11" t="str">
        <f t="shared" si="81"/>
        <v>N/OK</v>
      </c>
      <c r="DU13" s="11" t="str">
        <f t="shared" si="82"/>
        <v>N/OK</v>
      </c>
      <c r="DV13" s="11" t="str">
        <f t="shared" si="83"/>
        <v>N/OK</v>
      </c>
      <c r="DW13" s="11" t="str">
        <f t="shared" si="84"/>
        <v>OK</v>
      </c>
      <c r="DX13" s="10">
        <f t="shared" si="85"/>
        <v>6085.7886956521743</v>
      </c>
      <c r="DY13" s="10">
        <f t="shared" si="86"/>
        <v>12504.211304347826</v>
      </c>
      <c r="DZ13" s="10">
        <f t="shared" si="87"/>
        <v>18590</v>
      </c>
      <c r="EA13" s="11" t="str">
        <f t="shared" si="88"/>
        <v>N/OK</v>
      </c>
      <c r="EB13" s="11" t="str">
        <f t="shared" si="89"/>
        <v>N/OK</v>
      </c>
      <c r="EC13" s="11" t="str">
        <f t="shared" si="90"/>
        <v>N/OK</v>
      </c>
      <c r="ED13" s="11" t="str">
        <f t="shared" si="91"/>
        <v>N/OK</v>
      </c>
      <c r="EE13" s="11" t="str">
        <f t="shared" si="92"/>
        <v>N/OK</v>
      </c>
      <c r="EF13" s="10">
        <f t="shared" si="93"/>
        <v>6041.7886956521743</v>
      </c>
      <c r="EG13" s="10">
        <f t="shared" si="94"/>
        <v>12416.211304347826</v>
      </c>
      <c r="EH13" s="10">
        <f t="shared" si="95"/>
        <v>18458</v>
      </c>
      <c r="EI13" s="11" t="str">
        <f t="shared" si="96"/>
        <v>N/OK</v>
      </c>
      <c r="EJ13" s="11" t="str">
        <f t="shared" si="97"/>
        <v>N/OK</v>
      </c>
      <c r="EK13" s="11" t="str">
        <f t="shared" si="98"/>
        <v>N/OK</v>
      </c>
      <c r="EL13" s="11" t="str">
        <f t="shared" si="99"/>
        <v>N/OK</v>
      </c>
      <c r="EM13" s="11" t="str">
        <f t="shared" si="100"/>
        <v>N/OK</v>
      </c>
    </row>
    <row r="14" spans="1:143" s="17" customFormat="1" ht="14.4" hidden="1" x14ac:dyDescent="0.3">
      <c r="A14" s="34" t="s">
        <v>114</v>
      </c>
      <c r="B14" s="12" t="s">
        <v>22</v>
      </c>
      <c r="C14" s="12">
        <v>13</v>
      </c>
      <c r="D14" s="31">
        <v>2192</v>
      </c>
      <c r="E14" s="8" t="str">
        <f t="shared" si="0"/>
        <v>60+1+1</v>
      </c>
      <c r="F14" s="31" t="s">
        <v>19</v>
      </c>
      <c r="G14" s="31" t="s">
        <v>19</v>
      </c>
      <c r="H14" s="8">
        <f t="shared" si="101"/>
        <v>0</v>
      </c>
      <c r="I14" s="12" t="s">
        <v>19</v>
      </c>
      <c r="J14" s="12">
        <v>0</v>
      </c>
      <c r="K14" s="12" t="s">
        <v>115</v>
      </c>
      <c r="L14" s="12">
        <v>0</v>
      </c>
      <c r="M14" s="12">
        <v>1</v>
      </c>
      <c r="N14" s="31">
        <v>4</v>
      </c>
      <c r="O14" s="31">
        <v>-2857</v>
      </c>
      <c r="P14" s="31">
        <v>8</v>
      </c>
      <c r="Q14" s="31">
        <v>-1115</v>
      </c>
      <c r="R14" s="31">
        <v>22</v>
      </c>
      <c r="S14" s="31">
        <v>4065</v>
      </c>
      <c r="T14" s="31">
        <v>6</v>
      </c>
      <c r="U14" s="31">
        <v>-1379</v>
      </c>
      <c r="V14" s="31">
        <v>6</v>
      </c>
      <c r="W14" s="31">
        <v>816</v>
      </c>
      <c r="X14" s="31">
        <v>14</v>
      </c>
      <c r="Y14" s="31">
        <v>5613</v>
      </c>
      <c r="Z14" s="12">
        <v>0</v>
      </c>
      <c r="AA14" s="12">
        <v>0</v>
      </c>
      <c r="AB14" s="12">
        <v>0</v>
      </c>
      <c r="AC14" s="12">
        <v>0</v>
      </c>
      <c r="AD14" s="8">
        <v>3115</v>
      </c>
      <c r="AE14" s="8" t="s">
        <v>116</v>
      </c>
      <c r="AF14" s="8">
        <f t="shared" si="105"/>
        <v>60</v>
      </c>
      <c r="AG14" s="8">
        <v>3392</v>
      </c>
      <c r="AH14" s="8">
        <v>2166</v>
      </c>
      <c r="AI14" s="8">
        <v>8547</v>
      </c>
      <c r="AJ14" s="12">
        <v>0</v>
      </c>
      <c r="AK14" s="8">
        <v>5543.5</v>
      </c>
      <c r="AL14" s="12">
        <v>0</v>
      </c>
      <c r="AM14" s="8">
        <v>3989.5</v>
      </c>
      <c r="AN14" s="12">
        <v>0</v>
      </c>
      <c r="AO14" s="8">
        <v>2642</v>
      </c>
      <c r="AP14" s="12">
        <v>0</v>
      </c>
      <c r="AQ14" s="8">
        <v>1591</v>
      </c>
      <c r="AR14" s="14">
        <v>6900</v>
      </c>
      <c r="AS14" s="14">
        <v>4276</v>
      </c>
      <c r="AT14" s="14">
        <v>8587</v>
      </c>
      <c r="AU14" s="14">
        <v>12863</v>
      </c>
      <c r="AV14" s="14">
        <v>4580.4518840579713</v>
      </c>
      <c r="AW14" s="14">
        <v>9149.5481159420287</v>
      </c>
      <c r="AX14" s="14">
        <v>13730</v>
      </c>
      <c r="AY14" s="7"/>
      <c r="AZ14" s="7"/>
      <c r="BA14" s="7"/>
      <c r="BB14" s="7"/>
      <c r="BC14" s="6">
        <f t="shared" si="18"/>
        <v>-1014235</v>
      </c>
      <c r="BD14" s="6">
        <v>355</v>
      </c>
      <c r="BE14" s="6">
        <f t="shared" si="20"/>
        <v>-633320</v>
      </c>
      <c r="BF14" s="6">
        <v>568</v>
      </c>
      <c r="BG14" s="6">
        <f t="shared" si="22"/>
        <v>6349530</v>
      </c>
      <c r="BH14" s="6">
        <v>1562</v>
      </c>
      <c r="BI14" s="6">
        <f t="shared" si="24"/>
        <v>-587454</v>
      </c>
      <c r="BJ14" s="6">
        <v>426</v>
      </c>
      <c r="BK14" s="6">
        <f t="shared" si="26"/>
        <v>347616</v>
      </c>
      <c r="BL14" s="6">
        <v>426</v>
      </c>
      <c r="BM14" s="6">
        <f t="shared" si="28"/>
        <v>5579322</v>
      </c>
      <c r="BN14" s="6">
        <v>994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f t="shared" si="36"/>
        <v>0</v>
      </c>
      <c r="BV14" s="6">
        <f t="shared" si="37"/>
        <v>0</v>
      </c>
      <c r="BW14" s="6">
        <f t="shared" si="38"/>
        <v>0</v>
      </c>
      <c r="BX14" s="6">
        <v>0</v>
      </c>
      <c r="BY14" s="6">
        <f t="shared" si="40"/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641025</v>
      </c>
      <c r="CH14" s="6">
        <v>75</v>
      </c>
      <c r="CI14" s="6">
        <v>-101</v>
      </c>
      <c r="CJ14" s="6">
        <v>301</v>
      </c>
      <c r="CK14" s="6">
        <v>200</v>
      </c>
      <c r="CL14" s="6">
        <v>-151</v>
      </c>
      <c r="CM14" s="6">
        <v>451</v>
      </c>
      <c r="CN14" s="6">
        <v>300</v>
      </c>
      <c r="CO14" s="10">
        <f t="shared" si="52"/>
        <v>1548.1860869565216</v>
      </c>
      <c r="CP14" s="10">
        <f t="shared" si="53"/>
        <v>2688.8139130434784</v>
      </c>
      <c r="CQ14" s="10">
        <f t="shared" si="142"/>
        <v>4237</v>
      </c>
      <c r="CR14" s="10">
        <f t="shared" si="54"/>
        <v>6128.6379710144929</v>
      </c>
      <c r="CS14" s="10">
        <f t="shared" si="55"/>
        <v>11838.362028985506</v>
      </c>
      <c r="CT14" s="10">
        <f t="shared" si="56"/>
        <v>17967</v>
      </c>
      <c r="CU14" s="11" t="str">
        <f t="shared" si="57"/>
        <v>N/OK</v>
      </c>
      <c r="CV14" s="11" t="str">
        <f t="shared" si="58"/>
        <v>N/OK</v>
      </c>
      <c r="CW14" s="11" t="str">
        <f t="shared" si="59"/>
        <v>OK</v>
      </c>
      <c r="CX14" s="11" t="str">
        <f t="shared" si="60"/>
        <v>OK</v>
      </c>
      <c r="CY14" s="11" t="str">
        <f t="shared" si="61"/>
        <v>OK</v>
      </c>
      <c r="CZ14" s="10">
        <f t="shared" si="62"/>
        <v>6084.6379710144929</v>
      </c>
      <c r="DA14" s="10">
        <f t="shared" si="63"/>
        <v>11750.362028985506</v>
      </c>
      <c r="DB14" s="10">
        <f t="shared" si="64"/>
        <v>17835</v>
      </c>
      <c r="DC14" s="11" t="str">
        <f t="shared" si="65"/>
        <v>N/OK</v>
      </c>
      <c r="DD14" s="11" t="str">
        <f t="shared" si="65"/>
        <v>N/OK</v>
      </c>
      <c r="DE14" s="11" t="str">
        <f t="shared" si="66"/>
        <v>OK</v>
      </c>
      <c r="DF14" s="11" t="str">
        <f t="shared" si="67"/>
        <v>OK</v>
      </c>
      <c r="DG14" s="11" t="str">
        <f t="shared" si="68"/>
        <v>OK</v>
      </c>
      <c r="DH14" s="10">
        <f t="shared" si="69"/>
        <v>6027.6379710144929</v>
      </c>
      <c r="DI14" s="10">
        <f t="shared" si="70"/>
        <v>12139.362028985506</v>
      </c>
      <c r="DJ14" s="10">
        <f t="shared" si="71"/>
        <v>18167</v>
      </c>
      <c r="DK14" s="11" t="str">
        <f t="shared" si="72"/>
        <v>N/OK</v>
      </c>
      <c r="DL14" s="11" t="str">
        <f t="shared" si="73"/>
        <v>N/OK</v>
      </c>
      <c r="DM14" s="11" t="str">
        <f t="shared" si="74"/>
        <v>N/OK</v>
      </c>
      <c r="DN14" s="11" t="str">
        <f t="shared" si="75"/>
        <v>N/OK</v>
      </c>
      <c r="DO14" s="11" t="str">
        <f t="shared" si="76"/>
        <v>OK</v>
      </c>
      <c r="DP14" s="10">
        <f t="shared" si="77"/>
        <v>5983.6379710144929</v>
      </c>
      <c r="DQ14" s="10">
        <f t="shared" si="78"/>
        <v>12051.362028985506</v>
      </c>
      <c r="DR14" s="10">
        <f t="shared" si="79"/>
        <v>18035</v>
      </c>
      <c r="DS14" s="11" t="str">
        <f t="shared" si="80"/>
        <v>N/OK</v>
      </c>
      <c r="DT14" s="11" t="str">
        <f t="shared" si="81"/>
        <v>N/OK</v>
      </c>
      <c r="DU14" s="11" t="str">
        <f t="shared" si="82"/>
        <v>N/OK</v>
      </c>
      <c r="DV14" s="11" t="str">
        <f t="shared" si="83"/>
        <v>N/OK</v>
      </c>
      <c r="DW14" s="11" t="str">
        <f t="shared" si="84"/>
        <v>OK</v>
      </c>
      <c r="DX14" s="10">
        <f t="shared" si="85"/>
        <v>5977.6379710144929</v>
      </c>
      <c r="DY14" s="10">
        <f t="shared" si="86"/>
        <v>12502.362028985506</v>
      </c>
      <c r="DZ14" s="10">
        <f t="shared" si="87"/>
        <v>18480</v>
      </c>
      <c r="EA14" s="11" t="str">
        <f t="shared" si="88"/>
        <v>N/OK</v>
      </c>
      <c r="EB14" s="11" t="str">
        <f t="shared" si="89"/>
        <v>N/OK</v>
      </c>
      <c r="EC14" s="11" t="str">
        <f t="shared" si="90"/>
        <v>N/OK</v>
      </c>
      <c r="ED14" s="11" t="str">
        <f t="shared" si="91"/>
        <v>N/OK</v>
      </c>
      <c r="EE14" s="11" t="str">
        <f t="shared" si="92"/>
        <v>N/OK</v>
      </c>
      <c r="EF14" s="10">
        <f t="shared" si="93"/>
        <v>5933.6379710144929</v>
      </c>
      <c r="EG14" s="10">
        <f t="shared" si="94"/>
        <v>12414.362028985506</v>
      </c>
      <c r="EH14" s="10">
        <f t="shared" si="95"/>
        <v>18348</v>
      </c>
      <c r="EI14" s="11" t="str">
        <f t="shared" si="96"/>
        <v>N/OK</v>
      </c>
      <c r="EJ14" s="11" t="str">
        <f t="shared" si="97"/>
        <v>N/OK</v>
      </c>
      <c r="EK14" s="11" t="str">
        <f t="shared" si="98"/>
        <v>N/OK</v>
      </c>
      <c r="EL14" s="11" t="str">
        <f t="shared" si="99"/>
        <v>N/OK</v>
      </c>
      <c r="EM14" s="11" t="str">
        <f t="shared" si="100"/>
        <v>N/OK</v>
      </c>
    </row>
    <row r="15" spans="1:143" s="17" customFormat="1" ht="14.4" x14ac:dyDescent="0.3">
      <c r="A15" s="34" t="s">
        <v>114</v>
      </c>
      <c r="B15" s="12" t="s">
        <v>22</v>
      </c>
      <c r="C15" s="12">
        <v>13</v>
      </c>
      <c r="D15" s="31">
        <v>2192</v>
      </c>
      <c r="E15" s="8" t="str">
        <f t="shared" si="0"/>
        <v>61+1+1</v>
      </c>
      <c r="F15" s="31" t="s">
        <v>113</v>
      </c>
      <c r="G15" s="31" t="s">
        <v>19</v>
      </c>
      <c r="H15" s="8">
        <f t="shared" si="101"/>
        <v>2</v>
      </c>
      <c r="I15" s="12" t="s">
        <v>19</v>
      </c>
      <c r="J15" s="12">
        <v>0</v>
      </c>
      <c r="K15" s="12" t="str">
        <f t="shared" ref="K15:K16" si="143">IF(L15=0,"III","II")</f>
        <v>III</v>
      </c>
      <c r="L15" s="12">
        <v>0</v>
      </c>
      <c r="M15" s="12">
        <v>1</v>
      </c>
      <c r="N15" s="31">
        <v>5</v>
      </c>
      <c r="O15" s="31">
        <v>-2857</v>
      </c>
      <c r="P15" s="31">
        <v>8</v>
      </c>
      <c r="Q15" s="31">
        <v>-1115</v>
      </c>
      <c r="R15" s="31">
        <v>22</v>
      </c>
      <c r="S15" s="31">
        <v>4065</v>
      </c>
      <c r="T15" s="31">
        <v>6</v>
      </c>
      <c r="U15" s="31">
        <v>-1379</v>
      </c>
      <c r="V15" s="31">
        <v>6</v>
      </c>
      <c r="W15" s="31">
        <v>816</v>
      </c>
      <c r="X15" s="31">
        <v>14</v>
      </c>
      <c r="Y15" s="31">
        <v>5613</v>
      </c>
      <c r="Z15" s="12">
        <v>0</v>
      </c>
      <c r="AA15" s="12">
        <v>0</v>
      </c>
      <c r="AB15" s="12">
        <v>0</v>
      </c>
      <c r="AC15" s="12">
        <v>0</v>
      </c>
      <c r="AD15" s="8">
        <f t="shared" ref="AD15:AD16" si="144">IF(C15=12,2718,3115)</f>
        <v>3115</v>
      </c>
      <c r="AE15" s="8" t="str">
        <f t="shared" ref="AE15:AE16" si="145">IF(C15=12,"5,4 m^2","6 m^2")</f>
        <v>6 m^2</v>
      </c>
      <c r="AF15" s="8">
        <f t="shared" si="105"/>
        <v>61</v>
      </c>
      <c r="AG15" s="8">
        <f t="shared" ref="AG15:AG16" si="146">D15+1200</f>
        <v>3392</v>
      </c>
      <c r="AH15" s="8">
        <f t="shared" ref="AH15:AH16" si="147">D15-26</f>
        <v>2166</v>
      </c>
      <c r="AI15" s="8">
        <f t="shared" ref="AI15:AI16" si="148">IF(C15=13,8547,7747)</f>
        <v>8547</v>
      </c>
      <c r="AJ15" s="12">
        <v>2</v>
      </c>
      <c r="AK15" s="8">
        <f>IF(C15=12,(AR15-700-1313/2),(AR15-700-1313/2))</f>
        <v>5543.5</v>
      </c>
      <c r="AL15" s="12">
        <v>0</v>
      </c>
      <c r="AM15" s="8">
        <f>IF(C15=12,(900+D15+((AR15-D15-700-1313-900)/2)),(900+D15+((AR15-D15-700-1313-900)/2)))</f>
        <v>3989.5</v>
      </c>
      <c r="AN15" s="12">
        <v>0</v>
      </c>
      <c r="AO15" s="8">
        <f t="shared" ref="AO15:AO16" si="149">D15+450</f>
        <v>2642</v>
      </c>
      <c r="AP15" s="12">
        <v>0</v>
      </c>
      <c r="AQ15" s="8">
        <f t="shared" ref="AQ15:AQ16" si="150">990+(D15-990)/2</f>
        <v>1591</v>
      </c>
      <c r="AR15" s="14">
        <f t="shared" ref="AR15:AR16" si="151">IF(C15=12,6100,6900)</f>
        <v>6900</v>
      </c>
      <c r="AS15" s="14">
        <f t="shared" ref="AS15:AS16" si="152">IF(C15=12,(IF(I15="YOK",4065,4358)),(IF(I15="YOK",4276,4536)))</f>
        <v>4276</v>
      </c>
      <c r="AT15" s="14">
        <f t="shared" ref="AT15:AT16" si="153">IF(C15=12,(IF(I15="YOK",8523,8558)),(IF(I15="YOK",8587,8655)))</f>
        <v>8587</v>
      </c>
      <c r="AU15" s="14">
        <f t="shared" ref="AU15:AU16" si="154">AS15+AT15</f>
        <v>12863</v>
      </c>
      <c r="AV15" s="14">
        <f t="shared" ref="AV15:AV16" si="155">AS15+(N15*O15*N$7+P15*Q15*P$7+R15*S15*R$7+T15*U15*T$7+V15*W15*V$7+X15*Y15*X$7+Z15*AA15*Z$7*AB15*AC15*AB$7)/AR15</f>
        <v>4580.4518840579713</v>
      </c>
      <c r="AW15" s="14">
        <f t="shared" ref="AW15:AW16" si="156">AX15-AV15</f>
        <v>9149.5481159420287</v>
      </c>
      <c r="AX15" s="14">
        <f t="shared" ref="AX15:AX16" si="157">AU15+(N15*N$7+P15*P$7+R15*R$7+T15*T$7+V15*V$7+X15*X$7+Z15*Z$7+AB15*AB$7)</f>
        <v>13730</v>
      </c>
      <c r="AY15" s="7"/>
      <c r="AZ15" s="7"/>
      <c r="BA15" s="7"/>
      <c r="BB15" s="7"/>
      <c r="BC15" s="6">
        <f t="shared" si="18"/>
        <v>-1014235</v>
      </c>
      <c r="BD15" s="6">
        <f t="shared" ref="BD15:BD16" si="158">N15*$AD$7</f>
        <v>355</v>
      </c>
      <c r="BE15" s="6">
        <f t="shared" si="20"/>
        <v>-633320</v>
      </c>
      <c r="BF15" s="6">
        <f t="shared" ref="BF15:BF16" si="159">P15*$AD$7</f>
        <v>568</v>
      </c>
      <c r="BG15" s="6">
        <f t="shared" si="22"/>
        <v>6349530</v>
      </c>
      <c r="BH15" s="6">
        <f t="shared" ref="BH15:BH16" si="160">R15*$AD$7</f>
        <v>1562</v>
      </c>
      <c r="BI15" s="6">
        <f t="shared" si="24"/>
        <v>-587454</v>
      </c>
      <c r="BJ15" s="6">
        <f t="shared" ref="BJ15:BJ16" si="161">T15*$AD$7</f>
        <v>426</v>
      </c>
      <c r="BK15" s="6">
        <f t="shared" si="26"/>
        <v>347616</v>
      </c>
      <c r="BL15" s="6">
        <f t="shared" ref="BL15:BL16" si="162">V15*$AD$7</f>
        <v>426</v>
      </c>
      <c r="BM15" s="6">
        <f t="shared" si="28"/>
        <v>5579322</v>
      </c>
      <c r="BN15" s="6">
        <f t="shared" ref="BN15:BN16" si="163">X15*$AD$7</f>
        <v>994</v>
      </c>
      <c r="BO15" s="6">
        <f t="shared" ref="BO15:BO16" si="164">AA15*BP15</f>
        <v>0</v>
      </c>
      <c r="BP15" s="6">
        <f t="shared" ref="BP15:BP16" si="165">Z15*$AD$7</f>
        <v>0</v>
      </c>
      <c r="BQ15" s="6">
        <f t="shared" ref="BQ15:BQ16" si="166">AC15*BR15</f>
        <v>0</v>
      </c>
      <c r="BR15" s="6">
        <f t="shared" ref="BR15:BR16" si="167">AB15*$AD$7</f>
        <v>0</v>
      </c>
      <c r="BS15" s="6">
        <f t="shared" ref="BS15:BS16" si="168">AD15*BT15</f>
        <v>0</v>
      </c>
      <c r="BT15" s="6">
        <f t="shared" ref="BT15:BT16" si="169">L15*$AD$7</f>
        <v>0</v>
      </c>
      <c r="BU15" s="6">
        <f t="shared" si="36"/>
        <v>1108700</v>
      </c>
      <c r="BV15" s="6">
        <f t="shared" si="37"/>
        <v>200</v>
      </c>
      <c r="BW15" s="6">
        <f t="shared" si="38"/>
        <v>0</v>
      </c>
      <c r="BX15" s="6">
        <f t="shared" ref="BX15:BX16" si="170">AL15*100</f>
        <v>0</v>
      </c>
      <c r="BY15" s="6">
        <f t="shared" si="40"/>
        <v>0</v>
      </c>
      <c r="BZ15" s="6">
        <f t="shared" ref="BZ15:BZ16" si="171">AN15*100</f>
        <v>0</v>
      </c>
      <c r="CA15" s="6">
        <f t="shared" ref="CA15:CA16" si="172">AQ15*CB15</f>
        <v>0</v>
      </c>
      <c r="CB15" s="6">
        <f t="shared" ref="CB15:CB16" si="173">AP15*100</f>
        <v>0</v>
      </c>
      <c r="CC15" s="6">
        <f t="shared" ref="CC15:CC16" si="174">AG15*CD15</f>
        <v>373120</v>
      </c>
      <c r="CD15" s="6">
        <f t="shared" ref="CD15:CD16" si="175">IF(F15="VAR",110,0)</f>
        <v>110</v>
      </c>
      <c r="CE15" s="6">
        <f t="shared" ref="CE15:CE16" si="176">CF15*AH15</f>
        <v>0</v>
      </c>
      <c r="CF15" s="6">
        <f t="shared" ref="CF15:CF16" si="177">IF(G15="VAR",64,0)</f>
        <v>0</v>
      </c>
      <c r="CG15" s="6">
        <f t="shared" ref="CG15:CG16" si="178">AI15*CH15</f>
        <v>641025</v>
      </c>
      <c r="CH15" s="6">
        <f t="shared" ref="CH15:CH16" si="179">M15*75</f>
        <v>75</v>
      </c>
      <c r="CI15" s="6">
        <v>-101</v>
      </c>
      <c r="CJ15" s="6">
        <v>301</v>
      </c>
      <c r="CK15" s="6">
        <f t="shared" ref="CK15:CK16" si="180">CI15+CJ15</f>
        <v>200</v>
      </c>
      <c r="CL15" s="6">
        <v>-151</v>
      </c>
      <c r="CM15" s="6">
        <v>451</v>
      </c>
      <c r="CN15" s="6">
        <f t="shared" ref="CN15:CN16" si="181">CL15+CM15</f>
        <v>300</v>
      </c>
      <c r="CO15" s="10">
        <f t="shared" si="52"/>
        <v>1817.0179710144928</v>
      </c>
      <c r="CP15" s="10">
        <f t="shared" si="53"/>
        <v>2729.982028985507</v>
      </c>
      <c r="CQ15" s="10">
        <f t="shared" si="142"/>
        <v>4547</v>
      </c>
      <c r="CR15" s="10">
        <f t="shared" si="54"/>
        <v>6397.4698550724643</v>
      </c>
      <c r="CS15" s="10">
        <f t="shared" si="55"/>
        <v>11879.530144927536</v>
      </c>
      <c r="CT15" s="10">
        <f t="shared" si="56"/>
        <v>18277</v>
      </c>
      <c r="CU15" s="11" t="str">
        <f t="shared" si="57"/>
        <v>N/OK</v>
      </c>
      <c r="CV15" s="11" t="str">
        <f t="shared" si="58"/>
        <v>N/OK</v>
      </c>
      <c r="CW15" s="11" t="str">
        <f t="shared" si="59"/>
        <v>N/OK</v>
      </c>
      <c r="CX15" s="11" t="str">
        <f t="shared" si="60"/>
        <v>OK</v>
      </c>
      <c r="CY15" s="11" t="str">
        <f t="shared" si="61"/>
        <v>OK</v>
      </c>
      <c r="CZ15" s="10">
        <f t="shared" si="62"/>
        <v>6353.4698550724643</v>
      </c>
      <c r="DA15" s="10">
        <f t="shared" si="63"/>
        <v>11791.530144927536</v>
      </c>
      <c r="DB15" s="10">
        <f t="shared" si="64"/>
        <v>18145</v>
      </c>
      <c r="DC15" s="11" t="str">
        <f t="shared" si="65"/>
        <v>N/OK</v>
      </c>
      <c r="DD15" s="11" t="str">
        <f t="shared" si="65"/>
        <v>N/OK</v>
      </c>
      <c r="DE15" s="11" t="str">
        <f t="shared" si="66"/>
        <v>N/OK</v>
      </c>
      <c r="DF15" s="11" t="str">
        <f t="shared" si="67"/>
        <v>OK</v>
      </c>
      <c r="DG15" s="11" t="str">
        <f t="shared" si="68"/>
        <v>OK</v>
      </c>
      <c r="DH15" s="10">
        <f t="shared" si="69"/>
        <v>6296.4698550724643</v>
      </c>
      <c r="DI15" s="10">
        <f t="shared" si="70"/>
        <v>12180.530144927536</v>
      </c>
      <c r="DJ15" s="10">
        <f t="shared" si="71"/>
        <v>18477</v>
      </c>
      <c r="DK15" s="11" t="str">
        <f t="shared" si="72"/>
        <v>N/OK</v>
      </c>
      <c r="DL15" s="11" t="str">
        <f t="shared" si="73"/>
        <v>N/OK</v>
      </c>
      <c r="DM15" s="11" t="str">
        <f t="shared" si="74"/>
        <v>N/OK</v>
      </c>
      <c r="DN15" s="11" t="str">
        <f t="shared" si="75"/>
        <v>N/OK</v>
      </c>
      <c r="DO15" s="11" t="str">
        <f t="shared" si="76"/>
        <v>OK</v>
      </c>
      <c r="DP15" s="10">
        <f t="shared" si="77"/>
        <v>6252.4698550724643</v>
      </c>
      <c r="DQ15" s="10">
        <f t="shared" si="78"/>
        <v>12092.530144927536</v>
      </c>
      <c r="DR15" s="10">
        <f t="shared" si="79"/>
        <v>18345</v>
      </c>
      <c r="DS15" s="11" t="str">
        <f t="shared" si="80"/>
        <v>N/OK</v>
      </c>
      <c r="DT15" s="11" t="str">
        <f t="shared" si="81"/>
        <v>N/OK</v>
      </c>
      <c r="DU15" s="11" t="str">
        <f t="shared" si="82"/>
        <v>N/OK</v>
      </c>
      <c r="DV15" s="11" t="str">
        <f t="shared" si="83"/>
        <v>N/OK</v>
      </c>
      <c r="DW15" s="11" t="str">
        <f t="shared" si="84"/>
        <v>OK</v>
      </c>
      <c r="DX15" s="10">
        <f t="shared" si="85"/>
        <v>6246.4698550724643</v>
      </c>
      <c r="DY15" s="10">
        <f t="shared" si="86"/>
        <v>12543.530144927536</v>
      </c>
      <c r="DZ15" s="10">
        <f t="shared" si="87"/>
        <v>18790</v>
      </c>
      <c r="EA15" s="11" t="str">
        <f t="shared" si="88"/>
        <v>N/OK</v>
      </c>
      <c r="EB15" s="11" t="str">
        <f t="shared" si="89"/>
        <v>N/OK</v>
      </c>
      <c r="EC15" s="11" t="str">
        <f t="shared" si="90"/>
        <v>N/OK</v>
      </c>
      <c r="ED15" s="11" t="str">
        <f t="shared" si="91"/>
        <v>N/OK</v>
      </c>
      <c r="EE15" s="11" t="str">
        <f t="shared" si="92"/>
        <v>N/OK</v>
      </c>
      <c r="EF15" s="10">
        <f t="shared" si="93"/>
        <v>6202.4698550724643</v>
      </c>
      <c r="EG15" s="10">
        <f t="shared" si="94"/>
        <v>12455.530144927536</v>
      </c>
      <c r="EH15" s="10">
        <f t="shared" si="95"/>
        <v>18658</v>
      </c>
      <c r="EI15" s="11" t="str">
        <f t="shared" si="96"/>
        <v>N/OK</v>
      </c>
      <c r="EJ15" s="11" t="str">
        <f t="shared" si="97"/>
        <v>N/OK</v>
      </c>
      <c r="EK15" s="11" t="str">
        <f t="shared" si="98"/>
        <v>N/OK</v>
      </c>
      <c r="EL15" s="11" t="str">
        <f t="shared" si="99"/>
        <v>N/OK</v>
      </c>
      <c r="EM15" s="11" t="str">
        <f t="shared" si="100"/>
        <v>N/OK</v>
      </c>
    </row>
    <row r="16" spans="1:143" s="17" customFormat="1" ht="14.4" hidden="1" x14ac:dyDescent="0.3">
      <c r="A16" s="34" t="s">
        <v>114</v>
      </c>
      <c r="B16" s="12" t="s">
        <v>22</v>
      </c>
      <c r="C16" s="12">
        <v>13</v>
      </c>
      <c r="D16" s="31">
        <v>2192</v>
      </c>
      <c r="E16" s="8" t="str">
        <f t="shared" si="0"/>
        <v>61+1+1</v>
      </c>
      <c r="F16" s="31" t="s">
        <v>19</v>
      </c>
      <c r="G16" s="31" t="s">
        <v>19</v>
      </c>
      <c r="H16" s="8">
        <f t="shared" si="101"/>
        <v>2</v>
      </c>
      <c r="I16" s="12" t="s">
        <v>19</v>
      </c>
      <c r="J16" s="12">
        <v>0</v>
      </c>
      <c r="K16" s="12" t="str">
        <f t="shared" si="143"/>
        <v>III</v>
      </c>
      <c r="L16" s="12">
        <v>0</v>
      </c>
      <c r="M16" s="12">
        <v>1</v>
      </c>
      <c r="N16" s="31">
        <v>5</v>
      </c>
      <c r="O16" s="31">
        <v>-2857</v>
      </c>
      <c r="P16" s="31">
        <v>8</v>
      </c>
      <c r="Q16" s="31">
        <v>-1115</v>
      </c>
      <c r="R16" s="31">
        <v>22</v>
      </c>
      <c r="S16" s="31">
        <v>4065</v>
      </c>
      <c r="T16" s="31">
        <v>6</v>
      </c>
      <c r="U16" s="31">
        <v>-1379</v>
      </c>
      <c r="V16" s="31">
        <v>6</v>
      </c>
      <c r="W16" s="31">
        <v>816</v>
      </c>
      <c r="X16" s="31">
        <v>14</v>
      </c>
      <c r="Y16" s="31">
        <v>5613</v>
      </c>
      <c r="Z16" s="12">
        <v>0</v>
      </c>
      <c r="AA16" s="12">
        <v>0</v>
      </c>
      <c r="AB16" s="12">
        <v>0</v>
      </c>
      <c r="AC16" s="12">
        <v>0</v>
      </c>
      <c r="AD16" s="8">
        <f t="shared" si="144"/>
        <v>3115</v>
      </c>
      <c r="AE16" s="8" t="str">
        <f t="shared" si="145"/>
        <v>6 m^2</v>
      </c>
      <c r="AF16" s="8">
        <f t="shared" ref="AF16:AF19" si="182">N16+P16+R16+T16+V16+X16+Z16+AB16</f>
        <v>61</v>
      </c>
      <c r="AG16" s="8">
        <f t="shared" si="146"/>
        <v>3392</v>
      </c>
      <c r="AH16" s="8">
        <f t="shared" si="147"/>
        <v>2166</v>
      </c>
      <c r="AI16" s="8">
        <f t="shared" si="148"/>
        <v>8547</v>
      </c>
      <c r="AJ16" s="12">
        <v>2</v>
      </c>
      <c r="AK16" s="8">
        <f>IF(C16=12,(AR16-700-1313/2),(AR16-700-1313/2))</f>
        <v>5543.5</v>
      </c>
      <c r="AL16" s="12">
        <v>0</v>
      </c>
      <c r="AM16" s="8">
        <f>IF(C16=12,(900+D16+((AR16-D16-700-1313-900)/2)),(900+D16+((AR16-D16-700-1313-900)/2)))</f>
        <v>3989.5</v>
      </c>
      <c r="AN16" s="12">
        <v>0</v>
      </c>
      <c r="AO16" s="8">
        <f t="shared" si="149"/>
        <v>2642</v>
      </c>
      <c r="AP16" s="12">
        <v>0</v>
      </c>
      <c r="AQ16" s="8">
        <f t="shared" si="150"/>
        <v>1591</v>
      </c>
      <c r="AR16" s="14">
        <f t="shared" si="151"/>
        <v>6900</v>
      </c>
      <c r="AS16" s="14">
        <f t="shared" si="152"/>
        <v>4276</v>
      </c>
      <c r="AT16" s="14">
        <f t="shared" si="153"/>
        <v>8587</v>
      </c>
      <c r="AU16" s="14">
        <f t="shared" si="154"/>
        <v>12863</v>
      </c>
      <c r="AV16" s="14">
        <f t="shared" si="155"/>
        <v>4580.4518840579713</v>
      </c>
      <c r="AW16" s="14">
        <f t="shared" si="156"/>
        <v>9149.5481159420287</v>
      </c>
      <c r="AX16" s="14">
        <f t="shared" si="157"/>
        <v>13730</v>
      </c>
      <c r="AY16" s="7"/>
      <c r="AZ16" s="7"/>
      <c r="BA16" s="7"/>
      <c r="BB16" s="7"/>
      <c r="BC16" s="6">
        <f t="shared" si="18"/>
        <v>-1014235</v>
      </c>
      <c r="BD16" s="6">
        <f t="shared" si="158"/>
        <v>355</v>
      </c>
      <c r="BE16" s="6">
        <f t="shared" si="20"/>
        <v>-633320</v>
      </c>
      <c r="BF16" s="6">
        <f t="shared" si="159"/>
        <v>568</v>
      </c>
      <c r="BG16" s="6">
        <f t="shared" si="22"/>
        <v>6349530</v>
      </c>
      <c r="BH16" s="6">
        <f t="shared" si="160"/>
        <v>1562</v>
      </c>
      <c r="BI16" s="6">
        <f t="shared" si="24"/>
        <v>-587454</v>
      </c>
      <c r="BJ16" s="6">
        <f t="shared" si="161"/>
        <v>426</v>
      </c>
      <c r="BK16" s="6">
        <f t="shared" si="26"/>
        <v>347616</v>
      </c>
      <c r="BL16" s="6">
        <f t="shared" si="162"/>
        <v>426</v>
      </c>
      <c r="BM16" s="6">
        <f t="shared" si="28"/>
        <v>5579322</v>
      </c>
      <c r="BN16" s="6">
        <f t="shared" si="163"/>
        <v>994</v>
      </c>
      <c r="BO16" s="6">
        <f t="shared" si="164"/>
        <v>0</v>
      </c>
      <c r="BP16" s="6">
        <f t="shared" si="165"/>
        <v>0</v>
      </c>
      <c r="BQ16" s="6">
        <f t="shared" si="166"/>
        <v>0</v>
      </c>
      <c r="BR16" s="6">
        <f t="shared" si="167"/>
        <v>0</v>
      </c>
      <c r="BS16" s="6">
        <f t="shared" si="168"/>
        <v>0</v>
      </c>
      <c r="BT16" s="6">
        <f t="shared" si="169"/>
        <v>0</v>
      </c>
      <c r="BU16" s="6">
        <f t="shared" si="36"/>
        <v>1108700</v>
      </c>
      <c r="BV16" s="6">
        <f t="shared" si="37"/>
        <v>200</v>
      </c>
      <c r="BW16" s="6">
        <f t="shared" si="38"/>
        <v>0</v>
      </c>
      <c r="BX16" s="6">
        <f t="shared" si="170"/>
        <v>0</v>
      </c>
      <c r="BY16" s="6">
        <f t="shared" si="40"/>
        <v>0</v>
      </c>
      <c r="BZ16" s="6">
        <f t="shared" si="171"/>
        <v>0</v>
      </c>
      <c r="CA16" s="6">
        <f t="shared" si="172"/>
        <v>0</v>
      </c>
      <c r="CB16" s="6">
        <f t="shared" si="173"/>
        <v>0</v>
      </c>
      <c r="CC16" s="6">
        <f t="shared" si="174"/>
        <v>0</v>
      </c>
      <c r="CD16" s="6">
        <f t="shared" si="175"/>
        <v>0</v>
      </c>
      <c r="CE16" s="6">
        <f t="shared" si="176"/>
        <v>0</v>
      </c>
      <c r="CF16" s="6">
        <f t="shared" si="177"/>
        <v>0</v>
      </c>
      <c r="CG16" s="6">
        <f t="shared" si="178"/>
        <v>641025</v>
      </c>
      <c r="CH16" s="6">
        <f t="shared" si="179"/>
        <v>75</v>
      </c>
      <c r="CI16" s="6">
        <v>-101</v>
      </c>
      <c r="CJ16" s="6">
        <v>301</v>
      </c>
      <c r="CK16" s="6">
        <f t="shared" si="180"/>
        <v>200</v>
      </c>
      <c r="CL16" s="6">
        <v>-151</v>
      </c>
      <c r="CM16" s="6">
        <v>451</v>
      </c>
      <c r="CN16" s="6">
        <f t="shared" si="181"/>
        <v>300</v>
      </c>
      <c r="CO16" s="10">
        <f t="shared" si="52"/>
        <v>1708.8672463768116</v>
      </c>
      <c r="CP16" s="10">
        <f t="shared" si="53"/>
        <v>2728.1327536231884</v>
      </c>
      <c r="CQ16" s="10">
        <f t="shared" si="142"/>
        <v>4437</v>
      </c>
      <c r="CR16" s="10">
        <f t="shared" si="54"/>
        <v>6289.3191304347829</v>
      </c>
      <c r="CS16" s="10">
        <f t="shared" si="55"/>
        <v>11877.680869565218</v>
      </c>
      <c r="CT16" s="10">
        <f t="shared" si="56"/>
        <v>18167</v>
      </c>
      <c r="CU16" s="11" t="str">
        <f t="shared" si="57"/>
        <v>N/OK</v>
      </c>
      <c r="CV16" s="11" t="str">
        <f t="shared" si="58"/>
        <v>N/OK</v>
      </c>
      <c r="CW16" s="11" t="str">
        <f t="shared" si="59"/>
        <v>N/OK</v>
      </c>
      <c r="CX16" s="11" t="str">
        <f t="shared" si="60"/>
        <v>OK</v>
      </c>
      <c r="CY16" s="11" t="str">
        <f t="shared" si="61"/>
        <v>OK</v>
      </c>
      <c r="CZ16" s="10">
        <f t="shared" si="62"/>
        <v>6245.3191304347829</v>
      </c>
      <c r="DA16" s="10">
        <f t="shared" si="63"/>
        <v>11789.680869565218</v>
      </c>
      <c r="DB16" s="10">
        <f t="shared" si="64"/>
        <v>18035</v>
      </c>
      <c r="DC16" s="11" t="str">
        <f t="shared" si="65"/>
        <v>N/OK</v>
      </c>
      <c r="DD16" s="11" t="str">
        <f t="shared" si="65"/>
        <v>N/OK</v>
      </c>
      <c r="DE16" s="11" t="str">
        <f t="shared" si="66"/>
        <v>N/OK</v>
      </c>
      <c r="DF16" s="11" t="str">
        <f t="shared" si="67"/>
        <v>OK</v>
      </c>
      <c r="DG16" s="11" t="str">
        <f t="shared" si="68"/>
        <v>OK</v>
      </c>
      <c r="DH16" s="10">
        <f t="shared" si="69"/>
        <v>6188.3191304347829</v>
      </c>
      <c r="DI16" s="10">
        <f t="shared" si="70"/>
        <v>12178.680869565218</v>
      </c>
      <c r="DJ16" s="10">
        <f t="shared" si="71"/>
        <v>18367</v>
      </c>
      <c r="DK16" s="11" t="str">
        <f t="shared" si="72"/>
        <v>N/OK</v>
      </c>
      <c r="DL16" s="11" t="str">
        <f t="shared" si="73"/>
        <v>N/OK</v>
      </c>
      <c r="DM16" s="11" t="str">
        <f t="shared" si="74"/>
        <v>N/OK</v>
      </c>
      <c r="DN16" s="11" t="str">
        <f t="shared" si="75"/>
        <v>N/OK</v>
      </c>
      <c r="DO16" s="11" t="str">
        <f t="shared" si="76"/>
        <v>OK</v>
      </c>
      <c r="DP16" s="10">
        <f t="shared" si="77"/>
        <v>6144.3191304347829</v>
      </c>
      <c r="DQ16" s="10">
        <f t="shared" si="78"/>
        <v>12090.680869565218</v>
      </c>
      <c r="DR16" s="10">
        <f t="shared" si="79"/>
        <v>18235</v>
      </c>
      <c r="DS16" s="11" t="str">
        <f t="shared" si="80"/>
        <v>N/OK</v>
      </c>
      <c r="DT16" s="11" t="str">
        <f t="shared" si="81"/>
        <v>N/OK</v>
      </c>
      <c r="DU16" s="11" t="str">
        <f t="shared" si="82"/>
        <v>N/OK</v>
      </c>
      <c r="DV16" s="11" t="str">
        <f t="shared" si="83"/>
        <v>N/OK</v>
      </c>
      <c r="DW16" s="11" t="str">
        <f t="shared" si="84"/>
        <v>OK</v>
      </c>
      <c r="DX16" s="10">
        <f t="shared" si="85"/>
        <v>6138.3191304347829</v>
      </c>
      <c r="DY16" s="10">
        <f t="shared" si="86"/>
        <v>12541.680869565218</v>
      </c>
      <c r="DZ16" s="10">
        <f t="shared" si="87"/>
        <v>18680</v>
      </c>
      <c r="EA16" s="11" t="str">
        <f t="shared" si="88"/>
        <v>N/OK</v>
      </c>
      <c r="EB16" s="11" t="str">
        <f t="shared" si="89"/>
        <v>N/OK</v>
      </c>
      <c r="EC16" s="11" t="str">
        <f t="shared" si="90"/>
        <v>N/OK</v>
      </c>
      <c r="ED16" s="11" t="str">
        <f t="shared" si="91"/>
        <v>N/OK</v>
      </c>
      <c r="EE16" s="11" t="str">
        <f t="shared" si="92"/>
        <v>N/OK</v>
      </c>
      <c r="EF16" s="10">
        <f t="shared" si="93"/>
        <v>6094.3191304347829</v>
      </c>
      <c r="EG16" s="10">
        <f t="shared" si="94"/>
        <v>12453.680869565218</v>
      </c>
      <c r="EH16" s="10">
        <f t="shared" si="95"/>
        <v>18548</v>
      </c>
      <c r="EI16" s="11" t="str">
        <f t="shared" si="96"/>
        <v>N/OK</v>
      </c>
      <c r="EJ16" s="11" t="str">
        <f t="shared" si="97"/>
        <v>N/OK</v>
      </c>
      <c r="EK16" s="11" t="str">
        <f t="shared" si="98"/>
        <v>N/OK</v>
      </c>
      <c r="EL16" s="11" t="str">
        <f t="shared" si="99"/>
        <v>N/OK</v>
      </c>
      <c r="EM16" s="11" t="str">
        <f t="shared" si="100"/>
        <v>N/OK</v>
      </c>
    </row>
    <row r="17" spans="1:143" s="17" customFormat="1" ht="14.4" hidden="1" x14ac:dyDescent="0.3">
      <c r="A17" s="34" t="s">
        <v>114</v>
      </c>
      <c r="B17" s="12" t="s">
        <v>22</v>
      </c>
      <c r="C17" s="12">
        <v>13</v>
      </c>
      <c r="D17" s="31">
        <v>2192</v>
      </c>
      <c r="E17" s="8" t="str">
        <f t="shared" si="0"/>
        <v>60+1+1</v>
      </c>
      <c r="F17" s="31" t="s">
        <v>113</v>
      </c>
      <c r="G17" s="31" t="s">
        <v>19</v>
      </c>
      <c r="H17" s="8">
        <f t="shared" si="101"/>
        <v>2</v>
      </c>
      <c r="I17" s="12" t="s">
        <v>19</v>
      </c>
      <c r="J17" s="12">
        <v>0</v>
      </c>
      <c r="K17" s="12" t="s">
        <v>115</v>
      </c>
      <c r="L17" s="12">
        <v>0</v>
      </c>
      <c r="M17" s="12">
        <v>1</v>
      </c>
      <c r="N17" s="31">
        <v>4</v>
      </c>
      <c r="O17" s="31">
        <v>-2857</v>
      </c>
      <c r="P17" s="31">
        <v>8</v>
      </c>
      <c r="Q17" s="31">
        <v>-1115</v>
      </c>
      <c r="R17" s="31">
        <v>22</v>
      </c>
      <c r="S17" s="31">
        <v>4065</v>
      </c>
      <c r="T17" s="31">
        <v>6</v>
      </c>
      <c r="U17" s="31">
        <v>-1379</v>
      </c>
      <c r="V17" s="31">
        <v>6</v>
      </c>
      <c r="W17" s="31">
        <v>816</v>
      </c>
      <c r="X17" s="31">
        <v>14</v>
      </c>
      <c r="Y17" s="31">
        <v>5613</v>
      </c>
      <c r="Z17" s="12">
        <v>0</v>
      </c>
      <c r="AA17" s="12">
        <v>0</v>
      </c>
      <c r="AB17" s="12">
        <v>0</v>
      </c>
      <c r="AC17" s="12">
        <v>0</v>
      </c>
      <c r="AD17" s="8">
        <v>3115</v>
      </c>
      <c r="AE17" s="8" t="s">
        <v>116</v>
      </c>
      <c r="AF17" s="8">
        <f t="shared" si="182"/>
        <v>60</v>
      </c>
      <c r="AG17" s="8">
        <v>3392</v>
      </c>
      <c r="AH17" s="8">
        <v>2166</v>
      </c>
      <c r="AI17" s="8">
        <v>8547</v>
      </c>
      <c r="AJ17" s="12">
        <v>2</v>
      </c>
      <c r="AK17" s="8">
        <v>5543.5</v>
      </c>
      <c r="AL17" s="12">
        <v>0</v>
      </c>
      <c r="AM17" s="8">
        <v>3989.5</v>
      </c>
      <c r="AN17" s="12">
        <v>0</v>
      </c>
      <c r="AO17" s="8">
        <v>2642</v>
      </c>
      <c r="AP17" s="12">
        <v>0</v>
      </c>
      <c r="AQ17" s="8">
        <v>1591</v>
      </c>
      <c r="AR17" s="14">
        <v>6900</v>
      </c>
      <c r="AS17" s="14">
        <v>4276</v>
      </c>
      <c r="AT17" s="14">
        <v>8587</v>
      </c>
      <c r="AU17" s="14">
        <v>12863</v>
      </c>
      <c r="AV17" s="14">
        <v>4580.4518840579713</v>
      </c>
      <c r="AW17" s="14">
        <v>9149.5481159420287</v>
      </c>
      <c r="AX17" s="14">
        <v>13730</v>
      </c>
      <c r="AY17" s="7"/>
      <c r="AZ17" s="7"/>
      <c r="BA17" s="7"/>
      <c r="BB17" s="7"/>
      <c r="BC17" s="6">
        <f t="shared" si="18"/>
        <v>-1014235</v>
      </c>
      <c r="BD17" s="6">
        <v>355</v>
      </c>
      <c r="BE17" s="6">
        <f t="shared" si="20"/>
        <v>-633320</v>
      </c>
      <c r="BF17" s="6">
        <v>568</v>
      </c>
      <c r="BG17" s="6">
        <f t="shared" si="22"/>
        <v>6349530</v>
      </c>
      <c r="BH17" s="6">
        <v>1562</v>
      </c>
      <c r="BI17" s="6">
        <f t="shared" si="24"/>
        <v>-587454</v>
      </c>
      <c r="BJ17" s="6">
        <v>426</v>
      </c>
      <c r="BK17" s="6">
        <f t="shared" si="26"/>
        <v>347616</v>
      </c>
      <c r="BL17" s="6">
        <v>426</v>
      </c>
      <c r="BM17" s="6">
        <f t="shared" si="28"/>
        <v>5579322</v>
      </c>
      <c r="BN17" s="6">
        <v>994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f t="shared" si="36"/>
        <v>1108700</v>
      </c>
      <c r="BV17" s="6">
        <f t="shared" si="37"/>
        <v>200</v>
      </c>
      <c r="BW17" s="6">
        <f t="shared" si="38"/>
        <v>0</v>
      </c>
      <c r="BX17" s="6">
        <v>0</v>
      </c>
      <c r="BY17" s="6">
        <f t="shared" si="40"/>
        <v>0</v>
      </c>
      <c r="BZ17" s="6">
        <v>0</v>
      </c>
      <c r="CA17" s="6">
        <v>0</v>
      </c>
      <c r="CB17" s="6">
        <v>0</v>
      </c>
      <c r="CC17" s="6">
        <v>373120</v>
      </c>
      <c r="CD17" s="6">
        <v>110</v>
      </c>
      <c r="CE17" s="6">
        <v>0</v>
      </c>
      <c r="CF17" s="6">
        <v>0</v>
      </c>
      <c r="CG17" s="6">
        <v>641025</v>
      </c>
      <c r="CH17" s="6">
        <v>75</v>
      </c>
      <c r="CI17" s="6">
        <v>-101</v>
      </c>
      <c r="CJ17" s="6">
        <v>301</v>
      </c>
      <c r="CK17" s="6">
        <v>200</v>
      </c>
      <c r="CL17" s="6">
        <v>-151</v>
      </c>
      <c r="CM17" s="6">
        <v>451</v>
      </c>
      <c r="CN17" s="6">
        <v>300</v>
      </c>
      <c r="CO17" s="10">
        <f t="shared" si="52"/>
        <v>1817.0179710144928</v>
      </c>
      <c r="CP17" s="10">
        <f t="shared" si="53"/>
        <v>2729.982028985507</v>
      </c>
      <c r="CQ17" s="10">
        <f t="shared" si="142"/>
        <v>4547</v>
      </c>
      <c r="CR17" s="10">
        <f t="shared" si="54"/>
        <v>6397.4698550724643</v>
      </c>
      <c r="CS17" s="10">
        <f t="shared" si="55"/>
        <v>11879.530144927536</v>
      </c>
      <c r="CT17" s="10">
        <f t="shared" si="56"/>
        <v>18277</v>
      </c>
      <c r="CU17" s="11" t="str">
        <f t="shared" si="57"/>
        <v>N/OK</v>
      </c>
      <c r="CV17" s="11" t="str">
        <f t="shared" si="58"/>
        <v>N/OK</v>
      </c>
      <c r="CW17" s="11" t="str">
        <f t="shared" si="59"/>
        <v>N/OK</v>
      </c>
      <c r="CX17" s="11" t="str">
        <f t="shared" si="60"/>
        <v>OK</v>
      </c>
      <c r="CY17" s="11" t="str">
        <f t="shared" si="61"/>
        <v>OK</v>
      </c>
      <c r="CZ17" s="10">
        <f t="shared" si="62"/>
        <v>6353.4698550724643</v>
      </c>
      <c r="DA17" s="10">
        <f t="shared" si="63"/>
        <v>11791.530144927536</v>
      </c>
      <c r="DB17" s="10">
        <f t="shared" si="64"/>
        <v>18145</v>
      </c>
      <c r="DC17" s="11" t="str">
        <f t="shared" si="65"/>
        <v>N/OK</v>
      </c>
      <c r="DD17" s="11" t="str">
        <f t="shared" si="65"/>
        <v>N/OK</v>
      </c>
      <c r="DE17" s="11" t="str">
        <f t="shared" si="66"/>
        <v>N/OK</v>
      </c>
      <c r="DF17" s="11" t="str">
        <f t="shared" si="67"/>
        <v>OK</v>
      </c>
      <c r="DG17" s="11" t="str">
        <f t="shared" si="68"/>
        <v>OK</v>
      </c>
      <c r="DH17" s="10">
        <f t="shared" si="69"/>
        <v>6296.4698550724643</v>
      </c>
      <c r="DI17" s="10">
        <f t="shared" si="70"/>
        <v>12180.530144927536</v>
      </c>
      <c r="DJ17" s="10">
        <f t="shared" si="71"/>
        <v>18477</v>
      </c>
      <c r="DK17" s="11" t="str">
        <f t="shared" si="72"/>
        <v>N/OK</v>
      </c>
      <c r="DL17" s="11" t="str">
        <f t="shared" si="73"/>
        <v>N/OK</v>
      </c>
      <c r="DM17" s="11" t="str">
        <f t="shared" si="74"/>
        <v>N/OK</v>
      </c>
      <c r="DN17" s="11" t="str">
        <f t="shared" si="75"/>
        <v>N/OK</v>
      </c>
      <c r="DO17" s="11" t="str">
        <f t="shared" si="76"/>
        <v>OK</v>
      </c>
      <c r="DP17" s="10">
        <f t="shared" si="77"/>
        <v>6252.4698550724643</v>
      </c>
      <c r="DQ17" s="10">
        <f t="shared" si="78"/>
        <v>12092.530144927536</v>
      </c>
      <c r="DR17" s="10">
        <f t="shared" si="79"/>
        <v>18345</v>
      </c>
      <c r="DS17" s="11" t="str">
        <f t="shared" si="80"/>
        <v>N/OK</v>
      </c>
      <c r="DT17" s="11" t="str">
        <f t="shared" si="81"/>
        <v>N/OK</v>
      </c>
      <c r="DU17" s="11" t="str">
        <f t="shared" si="82"/>
        <v>N/OK</v>
      </c>
      <c r="DV17" s="11" t="str">
        <f t="shared" si="83"/>
        <v>N/OK</v>
      </c>
      <c r="DW17" s="11" t="str">
        <f t="shared" si="84"/>
        <v>OK</v>
      </c>
      <c r="DX17" s="10">
        <f t="shared" si="85"/>
        <v>6246.4698550724643</v>
      </c>
      <c r="DY17" s="10">
        <f t="shared" si="86"/>
        <v>12543.530144927536</v>
      </c>
      <c r="DZ17" s="10">
        <f t="shared" si="87"/>
        <v>18790</v>
      </c>
      <c r="EA17" s="11" t="str">
        <f t="shared" si="88"/>
        <v>N/OK</v>
      </c>
      <c r="EB17" s="11" t="str">
        <f t="shared" si="89"/>
        <v>N/OK</v>
      </c>
      <c r="EC17" s="11" t="str">
        <f t="shared" si="90"/>
        <v>N/OK</v>
      </c>
      <c r="ED17" s="11" t="str">
        <f t="shared" si="91"/>
        <v>N/OK</v>
      </c>
      <c r="EE17" s="11" t="str">
        <f t="shared" si="92"/>
        <v>N/OK</v>
      </c>
      <c r="EF17" s="10">
        <f t="shared" si="93"/>
        <v>6202.4698550724643</v>
      </c>
      <c r="EG17" s="10">
        <f t="shared" si="94"/>
        <v>12455.530144927536</v>
      </c>
      <c r="EH17" s="10">
        <f t="shared" si="95"/>
        <v>18658</v>
      </c>
      <c r="EI17" s="11" t="str">
        <f t="shared" si="96"/>
        <v>N/OK</v>
      </c>
      <c r="EJ17" s="11" t="str">
        <f t="shared" si="97"/>
        <v>N/OK</v>
      </c>
      <c r="EK17" s="11" t="str">
        <f t="shared" si="98"/>
        <v>N/OK</v>
      </c>
      <c r="EL17" s="11" t="str">
        <f t="shared" si="99"/>
        <v>N/OK</v>
      </c>
      <c r="EM17" s="11" t="str">
        <f t="shared" si="100"/>
        <v>N/OK</v>
      </c>
    </row>
    <row r="18" spans="1:143" s="17" customFormat="1" ht="14.4" hidden="1" x14ac:dyDescent="0.3">
      <c r="A18" s="34" t="s">
        <v>114</v>
      </c>
      <c r="B18" s="12" t="s">
        <v>22</v>
      </c>
      <c r="C18" s="12">
        <v>13</v>
      </c>
      <c r="D18" s="31">
        <v>2192</v>
      </c>
      <c r="E18" s="8" t="str">
        <f t="shared" si="0"/>
        <v>60+1+1</v>
      </c>
      <c r="F18" s="31" t="s">
        <v>19</v>
      </c>
      <c r="G18" s="31" t="s">
        <v>19</v>
      </c>
      <c r="H18" s="8">
        <f t="shared" si="101"/>
        <v>2</v>
      </c>
      <c r="I18" s="12" t="s">
        <v>19</v>
      </c>
      <c r="J18" s="12">
        <v>0</v>
      </c>
      <c r="K18" s="12" t="s">
        <v>115</v>
      </c>
      <c r="L18" s="12">
        <v>0</v>
      </c>
      <c r="M18" s="12">
        <v>1</v>
      </c>
      <c r="N18" s="31">
        <v>4</v>
      </c>
      <c r="O18" s="31">
        <v>-2857</v>
      </c>
      <c r="P18" s="31">
        <v>8</v>
      </c>
      <c r="Q18" s="31">
        <v>-1115</v>
      </c>
      <c r="R18" s="31">
        <v>22</v>
      </c>
      <c r="S18" s="31">
        <v>4065</v>
      </c>
      <c r="T18" s="31">
        <v>6</v>
      </c>
      <c r="U18" s="31">
        <v>-1379</v>
      </c>
      <c r="V18" s="31">
        <v>6</v>
      </c>
      <c r="W18" s="31">
        <v>816</v>
      </c>
      <c r="X18" s="31">
        <v>14</v>
      </c>
      <c r="Y18" s="31">
        <v>5613</v>
      </c>
      <c r="Z18" s="12">
        <v>0</v>
      </c>
      <c r="AA18" s="12">
        <v>0</v>
      </c>
      <c r="AB18" s="12">
        <v>0</v>
      </c>
      <c r="AC18" s="12">
        <v>0</v>
      </c>
      <c r="AD18" s="8">
        <v>3115</v>
      </c>
      <c r="AE18" s="8" t="s">
        <v>116</v>
      </c>
      <c r="AF18" s="8">
        <f t="shared" si="182"/>
        <v>60</v>
      </c>
      <c r="AG18" s="8">
        <v>3392</v>
      </c>
      <c r="AH18" s="8">
        <v>2166</v>
      </c>
      <c r="AI18" s="8">
        <v>8547</v>
      </c>
      <c r="AJ18" s="12">
        <v>2</v>
      </c>
      <c r="AK18" s="8">
        <v>5543.5</v>
      </c>
      <c r="AL18" s="12">
        <v>0</v>
      </c>
      <c r="AM18" s="8">
        <v>3989.5</v>
      </c>
      <c r="AN18" s="12">
        <v>0</v>
      </c>
      <c r="AO18" s="8">
        <v>2642</v>
      </c>
      <c r="AP18" s="12">
        <v>0</v>
      </c>
      <c r="AQ18" s="8">
        <v>1591</v>
      </c>
      <c r="AR18" s="14">
        <v>6900</v>
      </c>
      <c r="AS18" s="14">
        <v>4276</v>
      </c>
      <c r="AT18" s="14">
        <v>8587</v>
      </c>
      <c r="AU18" s="14">
        <v>12863</v>
      </c>
      <c r="AV18" s="14">
        <v>4580.4518840579713</v>
      </c>
      <c r="AW18" s="14">
        <v>9149.5481159420287</v>
      </c>
      <c r="AX18" s="14">
        <v>13730</v>
      </c>
      <c r="AY18" s="7"/>
      <c r="AZ18" s="7"/>
      <c r="BA18" s="7"/>
      <c r="BB18" s="7"/>
      <c r="BC18" s="6">
        <f t="shared" si="18"/>
        <v>-1014235</v>
      </c>
      <c r="BD18" s="6">
        <v>355</v>
      </c>
      <c r="BE18" s="6">
        <f t="shared" si="20"/>
        <v>-633320</v>
      </c>
      <c r="BF18" s="6">
        <v>568</v>
      </c>
      <c r="BG18" s="6">
        <f t="shared" si="22"/>
        <v>6349530</v>
      </c>
      <c r="BH18" s="6">
        <v>1562</v>
      </c>
      <c r="BI18" s="6">
        <f t="shared" si="24"/>
        <v>-587454</v>
      </c>
      <c r="BJ18" s="6">
        <v>426</v>
      </c>
      <c r="BK18" s="6">
        <f t="shared" si="26"/>
        <v>347616</v>
      </c>
      <c r="BL18" s="6">
        <v>426</v>
      </c>
      <c r="BM18" s="6">
        <f t="shared" si="28"/>
        <v>5579322</v>
      </c>
      <c r="BN18" s="6">
        <v>994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f t="shared" si="36"/>
        <v>1108700</v>
      </c>
      <c r="BV18" s="6">
        <f t="shared" si="37"/>
        <v>200</v>
      </c>
      <c r="BW18" s="6">
        <f t="shared" si="38"/>
        <v>0</v>
      </c>
      <c r="BX18" s="6">
        <v>0</v>
      </c>
      <c r="BY18" s="6">
        <f t="shared" si="40"/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641025</v>
      </c>
      <c r="CH18" s="6">
        <v>75</v>
      </c>
      <c r="CI18" s="6">
        <v>-101</v>
      </c>
      <c r="CJ18" s="6">
        <v>301</v>
      </c>
      <c r="CK18" s="6">
        <v>200</v>
      </c>
      <c r="CL18" s="6">
        <v>-151</v>
      </c>
      <c r="CM18" s="6">
        <v>451</v>
      </c>
      <c r="CN18" s="6">
        <v>300</v>
      </c>
      <c r="CO18" s="10">
        <f t="shared" si="52"/>
        <v>1708.8672463768116</v>
      </c>
      <c r="CP18" s="10">
        <f t="shared" si="53"/>
        <v>2728.1327536231884</v>
      </c>
      <c r="CQ18" s="10">
        <f t="shared" si="142"/>
        <v>4437</v>
      </c>
      <c r="CR18" s="10">
        <f t="shared" si="54"/>
        <v>6289.3191304347829</v>
      </c>
      <c r="CS18" s="10">
        <f t="shared" si="55"/>
        <v>11877.680869565218</v>
      </c>
      <c r="CT18" s="10">
        <f t="shared" si="56"/>
        <v>18167</v>
      </c>
      <c r="CU18" s="11" t="str">
        <f t="shared" si="57"/>
        <v>N/OK</v>
      </c>
      <c r="CV18" s="11" t="str">
        <f t="shared" si="58"/>
        <v>N/OK</v>
      </c>
      <c r="CW18" s="11" t="str">
        <f t="shared" si="59"/>
        <v>N/OK</v>
      </c>
      <c r="CX18" s="11" t="str">
        <f t="shared" si="60"/>
        <v>OK</v>
      </c>
      <c r="CY18" s="11" t="str">
        <f t="shared" si="61"/>
        <v>OK</v>
      </c>
      <c r="CZ18" s="10">
        <f t="shared" si="62"/>
        <v>6245.3191304347829</v>
      </c>
      <c r="DA18" s="10">
        <f t="shared" si="63"/>
        <v>11789.680869565218</v>
      </c>
      <c r="DB18" s="10">
        <f t="shared" si="64"/>
        <v>18035</v>
      </c>
      <c r="DC18" s="11" t="str">
        <f t="shared" si="65"/>
        <v>N/OK</v>
      </c>
      <c r="DD18" s="11" t="str">
        <f t="shared" si="65"/>
        <v>N/OK</v>
      </c>
      <c r="DE18" s="11" t="str">
        <f t="shared" si="66"/>
        <v>N/OK</v>
      </c>
      <c r="DF18" s="11" t="str">
        <f t="shared" si="67"/>
        <v>OK</v>
      </c>
      <c r="DG18" s="11" t="str">
        <f t="shared" si="68"/>
        <v>OK</v>
      </c>
      <c r="DH18" s="10">
        <f t="shared" si="69"/>
        <v>6188.3191304347829</v>
      </c>
      <c r="DI18" s="10">
        <f t="shared" si="70"/>
        <v>12178.680869565218</v>
      </c>
      <c r="DJ18" s="10">
        <f t="shared" si="71"/>
        <v>18367</v>
      </c>
      <c r="DK18" s="11" t="str">
        <f t="shared" si="72"/>
        <v>N/OK</v>
      </c>
      <c r="DL18" s="11" t="str">
        <f t="shared" si="73"/>
        <v>N/OK</v>
      </c>
      <c r="DM18" s="11" t="str">
        <f t="shared" si="74"/>
        <v>N/OK</v>
      </c>
      <c r="DN18" s="11" t="str">
        <f t="shared" si="75"/>
        <v>N/OK</v>
      </c>
      <c r="DO18" s="11" t="str">
        <f t="shared" si="76"/>
        <v>OK</v>
      </c>
      <c r="DP18" s="10">
        <f t="shared" si="77"/>
        <v>6144.3191304347829</v>
      </c>
      <c r="DQ18" s="10">
        <f t="shared" si="78"/>
        <v>12090.680869565218</v>
      </c>
      <c r="DR18" s="10">
        <f t="shared" si="79"/>
        <v>18235</v>
      </c>
      <c r="DS18" s="11" t="str">
        <f t="shared" si="80"/>
        <v>N/OK</v>
      </c>
      <c r="DT18" s="11" t="str">
        <f t="shared" si="81"/>
        <v>N/OK</v>
      </c>
      <c r="DU18" s="11" t="str">
        <f t="shared" si="82"/>
        <v>N/OK</v>
      </c>
      <c r="DV18" s="11" t="str">
        <f t="shared" si="83"/>
        <v>N/OK</v>
      </c>
      <c r="DW18" s="11" t="str">
        <f t="shared" si="84"/>
        <v>OK</v>
      </c>
      <c r="DX18" s="10">
        <f t="shared" si="85"/>
        <v>6138.3191304347829</v>
      </c>
      <c r="DY18" s="10">
        <f t="shared" si="86"/>
        <v>12541.680869565218</v>
      </c>
      <c r="DZ18" s="10">
        <f t="shared" si="87"/>
        <v>18680</v>
      </c>
      <c r="EA18" s="11" t="str">
        <f t="shared" si="88"/>
        <v>N/OK</v>
      </c>
      <c r="EB18" s="11" t="str">
        <f t="shared" si="89"/>
        <v>N/OK</v>
      </c>
      <c r="EC18" s="11" t="str">
        <f t="shared" si="90"/>
        <v>N/OK</v>
      </c>
      <c r="ED18" s="11" t="str">
        <f t="shared" si="91"/>
        <v>N/OK</v>
      </c>
      <c r="EE18" s="11" t="str">
        <f t="shared" si="92"/>
        <v>N/OK</v>
      </c>
      <c r="EF18" s="10">
        <f t="shared" si="93"/>
        <v>6094.3191304347829</v>
      </c>
      <c r="EG18" s="10">
        <f t="shared" si="94"/>
        <v>12453.680869565218</v>
      </c>
      <c r="EH18" s="10">
        <f t="shared" si="95"/>
        <v>18548</v>
      </c>
      <c r="EI18" s="11" t="str">
        <f t="shared" si="96"/>
        <v>N/OK</v>
      </c>
      <c r="EJ18" s="11" t="str">
        <f t="shared" si="97"/>
        <v>N/OK</v>
      </c>
      <c r="EK18" s="11" t="str">
        <f t="shared" si="98"/>
        <v>N/OK</v>
      </c>
      <c r="EL18" s="11" t="str">
        <f t="shared" si="99"/>
        <v>N/OK</v>
      </c>
      <c r="EM18" s="11" t="str">
        <f t="shared" si="100"/>
        <v>N/OK</v>
      </c>
    </row>
    <row r="19" spans="1:143" s="17" customFormat="1" ht="14.4" x14ac:dyDescent="0.3">
      <c r="A19" s="34" t="s">
        <v>114</v>
      </c>
      <c r="B19" s="12" t="s">
        <v>22</v>
      </c>
      <c r="C19" s="12">
        <v>13</v>
      </c>
      <c r="D19" s="31">
        <v>2192</v>
      </c>
      <c r="E19" s="8" t="str">
        <f t="shared" si="0"/>
        <v>61+1+1</v>
      </c>
      <c r="F19" s="31" t="s">
        <v>113</v>
      </c>
      <c r="G19" s="31" t="s">
        <v>19</v>
      </c>
      <c r="H19" s="8">
        <f t="shared" si="101"/>
        <v>4</v>
      </c>
      <c r="I19" s="12" t="s">
        <v>19</v>
      </c>
      <c r="J19" s="12">
        <v>0</v>
      </c>
      <c r="K19" s="12" t="str">
        <f t="shared" ref="K19:K20" si="183">IF(L19=0,"III","II")</f>
        <v>III</v>
      </c>
      <c r="L19" s="12">
        <v>0</v>
      </c>
      <c r="M19" s="12">
        <v>1</v>
      </c>
      <c r="N19" s="31">
        <v>5</v>
      </c>
      <c r="O19" s="31">
        <v>-2857</v>
      </c>
      <c r="P19" s="31">
        <v>8</v>
      </c>
      <c r="Q19" s="31">
        <v>-1115</v>
      </c>
      <c r="R19" s="31">
        <v>22</v>
      </c>
      <c r="S19" s="31">
        <v>4065</v>
      </c>
      <c r="T19" s="31">
        <v>6</v>
      </c>
      <c r="U19" s="31">
        <v>-1379</v>
      </c>
      <c r="V19" s="31">
        <v>6</v>
      </c>
      <c r="W19" s="31">
        <v>816</v>
      </c>
      <c r="X19" s="31">
        <v>14</v>
      </c>
      <c r="Y19" s="31">
        <v>5613</v>
      </c>
      <c r="Z19" s="12">
        <v>0</v>
      </c>
      <c r="AA19" s="12">
        <v>0</v>
      </c>
      <c r="AB19" s="12">
        <v>0</v>
      </c>
      <c r="AC19" s="12">
        <v>0</v>
      </c>
      <c r="AD19" s="8">
        <f t="shared" ref="AD19:AD20" si="184">IF(C19=12,2718,3115)</f>
        <v>3115</v>
      </c>
      <c r="AE19" s="8" t="str">
        <f t="shared" ref="AE19:AE20" si="185">IF(C19=12,"5,4 m^2","6 m^2")</f>
        <v>6 m^2</v>
      </c>
      <c r="AF19" s="8">
        <f t="shared" si="182"/>
        <v>61</v>
      </c>
      <c r="AG19" s="8">
        <f t="shared" ref="AG19:AG20" si="186">D19+1200</f>
        <v>3392</v>
      </c>
      <c r="AH19" s="8">
        <f t="shared" ref="AH19:AH20" si="187">D19-26</f>
        <v>2166</v>
      </c>
      <c r="AI19" s="8">
        <f t="shared" ref="AI19:AI20" si="188">IF(C19=13,8547,7747)</f>
        <v>8547</v>
      </c>
      <c r="AJ19" s="12">
        <v>4</v>
      </c>
      <c r="AK19" s="8">
        <f>IF(C19=12,(AR19-700-1313/2),(AR19-700-1313/2))</f>
        <v>5543.5</v>
      </c>
      <c r="AL19" s="12">
        <v>0</v>
      </c>
      <c r="AM19" s="8">
        <f>IF(C19=12,(900+D19+((AR19-D19-700-1313-900)/2)),(900+D19+((AR19-D19-700-1313-900)/2)))</f>
        <v>3989.5</v>
      </c>
      <c r="AN19" s="12">
        <v>0</v>
      </c>
      <c r="AO19" s="8">
        <f t="shared" ref="AO19:AO20" si="189">D19+450</f>
        <v>2642</v>
      </c>
      <c r="AP19" s="12">
        <v>0</v>
      </c>
      <c r="AQ19" s="8">
        <f t="shared" ref="AQ19:AQ20" si="190">990+(D19-990)/2</f>
        <v>1591</v>
      </c>
      <c r="AR19" s="14">
        <f t="shared" ref="AR19:AR20" si="191">IF(C19=12,6100,6900)</f>
        <v>6900</v>
      </c>
      <c r="AS19" s="14">
        <f t="shared" ref="AS19:AS20" si="192">IF(C19=12,(IF(I19="YOK",4065,4358)),(IF(I19="YOK",4276,4536)))</f>
        <v>4276</v>
      </c>
      <c r="AT19" s="14">
        <f t="shared" ref="AT19:AT20" si="193">IF(C19=12,(IF(I19="YOK",8523,8558)),(IF(I19="YOK",8587,8655)))</f>
        <v>8587</v>
      </c>
      <c r="AU19" s="14">
        <f t="shared" ref="AU19:AU20" si="194">AS19+AT19</f>
        <v>12863</v>
      </c>
      <c r="AV19" s="14">
        <f t="shared" ref="AV19:AV20" si="195">AS19+(N19*O19*N$7+P19*Q19*P$7+R19*S19*R$7+T19*U19*T$7+V19*W19*V$7+X19*Y19*X$7+Z19*AA19*Z$7*AB19*AC19*AB$7)/AR19</f>
        <v>4580.4518840579713</v>
      </c>
      <c r="AW19" s="14">
        <f t="shared" ref="AW19:AW20" si="196">AX19-AV19</f>
        <v>9149.5481159420287</v>
      </c>
      <c r="AX19" s="14">
        <f t="shared" ref="AX19:AX20" si="197">AU19+(N19*N$7+P19*P$7+R19*R$7+T19*T$7+V19*V$7+X19*X$7+Z19*Z$7+AB19*AB$7)</f>
        <v>13730</v>
      </c>
      <c r="AY19" s="7"/>
      <c r="AZ19" s="7"/>
      <c r="BA19" s="7"/>
      <c r="BB19" s="7"/>
      <c r="BC19" s="6">
        <f t="shared" si="18"/>
        <v>-1014235</v>
      </c>
      <c r="BD19" s="6">
        <f t="shared" ref="BD19:BD20" si="198">N19*$AD$7</f>
        <v>355</v>
      </c>
      <c r="BE19" s="6">
        <f t="shared" si="20"/>
        <v>-633320</v>
      </c>
      <c r="BF19" s="6">
        <f t="shared" ref="BF19:BF20" si="199">P19*$AD$7</f>
        <v>568</v>
      </c>
      <c r="BG19" s="6">
        <f t="shared" si="22"/>
        <v>6349530</v>
      </c>
      <c r="BH19" s="6">
        <f t="shared" ref="BH19:BH20" si="200">R19*$AD$7</f>
        <v>1562</v>
      </c>
      <c r="BI19" s="6">
        <f t="shared" si="24"/>
        <v>-587454</v>
      </c>
      <c r="BJ19" s="6">
        <f t="shared" ref="BJ19:BJ20" si="201">T19*$AD$7</f>
        <v>426</v>
      </c>
      <c r="BK19" s="6">
        <f t="shared" si="26"/>
        <v>347616</v>
      </c>
      <c r="BL19" s="6">
        <f t="shared" ref="BL19:BL20" si="202">V19*$AD$7</f>
        <v>426</v>
      </c>
      <c r="BM19" s="6">
        <f t="shared" si="28"/>
        <v>5579322</v>
      </c>
      <c r="BN19" s="6">
        <f t="shared" ref="BN19:BN20" si="203">X19*$AD$7</f>
        <v>994</v>
      </c>
      <c r="BO19" s="6">
        <f t="shared" ref="BO19:BO20" si="204">AA19*BP19</f>
        <v>0</v>
      </c>
      <c r="BP19" s="6">
        <f t="shared" ref="BP19:BP20" si="205">Z19*$AD$7</f>
        <v>0</v>
      </c>
      <c r="BQ19" s="6">
        <f t="shared" ref="BQ19:BQ20" si="206">AC19*BR19</f>
        <v>0</v>
      </c>
      <c r="BR19" s="6">
        <f t="shared" ref="BR19:BR20" si="207">AB19*$AD$7</f>
        <v>0</v>
      </c>
      <c r="BS19" s="6">
        <f t="shared" ref="BS19:BS20" si="208">AD19*BT19</f>
        <v>0</v>
      </c>
      <c r="BT19" s="6">
        <f t="shared" ref="BT19:BT20" si="209">L19*$AD$7</f>
        <v>0</v>
      </c>
      <c r="BU19" s="6">
        <f t="shared" si="36"/>
        <v>2217400</v>
      </c>
      <c r="BV19" s="6">
        <f t="shared" si="37"/>
        <v>400</v>
      </c>
      <c r="BW19" s="6">
        <f t="shared" si="38"/>
        <v>0</v>
      </c>
      <c r="BX19" s="6">
        <f t="shared" ref="BX19:BX20" si="210">AL19*100</f>
        <v>0</v>
      </c>
      <c r="BY19" s="6">
        <f t="shared" si="40"/>
        <v>0</v>
      </c>
      <c r="BZ19" s="6">
        <f t="shared" ref="BZ19:BZ20" si="211">AN19*100</f>
        <v>0</v>
      </c>
      <c r="CA19" s="6">
        <f t="shared" ref="CA19:CA20" si="212">AQ19*CB19</f>
        <v>0</v>
      </c>
      <c r="CB19" s="6">
        <f t="shared" ref="CB19:CB20" si="213">AP19*100</f>
        <v>0</v>
      </c>
      <c r="CC19" s="6">
        <f t="shared" ref="CC19:CC20" si="214">AG19*CD19</f>
        <v>373120</v>
      </c>
      <c r="CD19" s="6">
        <f t="shared" ref="CD19:CD20" si="215">IF(F19="VAR",110,0)</f>
        <v>110</v>
      </c>
      <c r="CE19" s="6">
        <f t="shared" ref="CE19:CE20" si="216">CF19*AH19</f>
        <v>0</v>
      </c>
      <c r="CF19" s="6">
        <f t="shared" ref="CF19:CF20" si="217">IF(G19="VAR",64,0)</f>
        <v>0</v>
      </c>
      <c r="CG19" s="6">
        <f t="shared" ref="CG19:CG20" si="218">AI19*CH19</f>
        <v>641025</v>
      </c>
      <c r="CH19" s="6">
        <f t="shared" ref="CH19:CH20" si="219">M19*75</f>
        <v>75</v>
      </c>
      <c r="CI19" s="6">
        <v>-101</v>
      </c>
      <c r="CJ19" s="6">
        <v>301</v>
      </c>
      <c r="CK19" s="6">
        <f t="shared" ref="CK19:CK20" si="220">CI19+CJ19</f>
        <v>200</v>
      </c>
      <c r="CL19" s="6">
        <v>-151</v>
      </c>
      <c r="CM19" s="6">
        <v>451</v>
      </c>
      <c r="CN19" s="6">
        <f t="shared" ref="CN19:CN20" si="221">CL19+CM19</f>
        <v>300</v>
      </c>
      <c r="CO19" s="10">
        <f t="shared" si="52"/>
        <v>1977.6991304347825</v>
      </c>
      <c r="CP19" s="10">
        <f t="shared" si="53"/>
        <v>2769.3008695652175</v>
      </c>
      <c r="CQ19" s="10">
        <f t="shared" si="142"/>
        <v>4747</v>
      </c>
      <c r="CR19" s="10">
        <f t="shared" si="54"/>
        <v>6558.1510144927543</v>
      </c>
      <c r="CS19" s="10">
        <f t="shared" si="55"/>
        <v>11918.848985507246</v>
      </c>
      <c r="CT19" s="10">
        <f t="shared" si="56"/>
        <v>18477</v>
      </c>
      <c r="CU19" s="11" t="str">
        <f t="shared" si="57"/>
        <v>N/OK</v>
      </c>
      <c r="CV19" s="11" t="str">
        <f t="shared" si="58"/>
        <v>N/OK</v>
      </c>
      <c r="CW19" s="11" t="str">
        <f t="shared" si="59"/>
        <v>N/OK</v>
      </c>
      <c r="CX19" s="11" t="str">
        <f t="shared" si="60"/>
        <v>OK</v>
      </c>
      <c r="CY19" s="11" t="str">
        <f t="shared" si="61"/>
        <v>OK</v>
      </c>
      <c r="CZ19" s="10">
        <f t="shared" si="62"/>
        <v>6514.1510144927543</v>
      </c>
      <c r="DA19" s="10">
        <f t="shared" si="63"/>
        <v>11830.848985507246</v>
      </c>
      <c r="DB19" s="10">
        <f t="shared" si="64"/>
        <v>18345</v>
      </c>
      <c r="DC19" s="11" t="str">
        <f t="shared" si="65"/>
        <v>N/OK</v>
      </c>
      <c r="DD19" s="11" t="str">
        <f t="shared" si="65"/>
        <v>N/OK</v>
      </c>
      <c r="DE19" s="11" t="str">
        <f t="shared" si="66"/>
        <v>N/OK</v>
      </c>
      <c r="DF19" s="11" t="str">
        <f t="shared" si="67"/>
        <v>OK</v>
      </c>
      <c r="DG19" s="11" t="str">
        <f t="shared" si="68"/>
        <v>OK</v>
      </c>
      <c r="DH19" s="10">
        <f t="shared" si="69"/>
        <v>6457.1510144927543</v>
      </c>
      <c r="DI19" s="10">
        <f t="shared" si="70"/>
        <v>12219.848985507246</v>
      </c>
      <c r="DJ19" s="10">
        <f t="shared" si="71"/>
        <v>18677</v>
      </c>
      <c r="DK19" s="11" t="str">
        <f t="shared" si="72"/>
        <v>N/OK</v>
      </c>
      <c r="DL19" s="11" t="str">
        <f t="shared" si="73"/>
        <v>N/OK</v>
      </c>
      <c r="DM19" s="11" t="str">
        <f t="shared" si="74"/>
        <v>N/OK</v>
      </c>
      <c r="DN19" s="11" t="str">
        <f t="shared" si="75"/>
        <v>N/OK</v>
      </c>
      <c r="DO19" s="11" t="str">
        <f t="shared" si="76"/>
        <v>OK</v>
      </c>
      <c r="DP19" s="10">
        <f t="shared" si="77"/>
        <v>6413.1510144927543</v>
      </c>
      <c r="DQ19" s="10">
        <f t="shared" si="78"/>
        <v>12131.848985507246</v>
      </c>
      <c r="DR19" s="10">
        <f t="shared" si="79"/>
        <v>18545</v>
      </c>
      <c r="DS19" s="11" t="str">
        <f t="shared" si="80"/>
        <v>N/OK</v>
      </c>
      <c r="DT19" s="11" t="str">
        <f t="shared" si="81"/>
        <v>N/OK</v>
      </c>
      <c r="DU19" s="11" t="str">
        <f t="shared" si="82"/>
        <v>N/OK</v>
      </c>
      <c r="DV19" s="11" t="str">
        <f t="shared" si="83"/>
        <v>N/OK</v>
      </c>
      <c r="DW19" s="11" t="str">
        <f t="shared" si="84"/>
        <v>OK</v>
      </c>
      <c r="DX19" s="10">
        <f t="shared" si="85"/>
        <v>6407.1510144927543</v>
      </c>
      <c r="DY19" s="10">
        <f t="shared" si="86"/>
        <v>12582.848985507246</v>
      </c>
      <c r="DZ19" s="10">
        <f t="shared" si="87"/>
        <v>18990</v>
      </c>
      <c r="EA19" s="11" t="str">
        <f t="shared" si="88"/>
        <v>N/OK</v>
      </c>
      <c r="EB19" s="11" t="str">
        <f t="shared" si="89"/>
        <v>N/OK</v>
      </c>
      <c r="EC19" s="11" t="str">
        <f t="shared" si="90"/>
        <v>N/OK</v>
      </c>
      <c r="ED19" s="11" t="str">
        <f t="shared" si="91"/>
        <v>N/OK</v>
      </c>
      <c r="EE19" s="11" t="str">
        <f t="shared" si="92"/>
        <v>N/OK</v>
      </c>
      <c r="EF19" s="10">
        <f t="shared" si="93"/>
        <v>6363.1510144927543</v>
      </c>
      <c r="EG19" s="10">
        <f t="shared" si="94"/>
        <v>12494.848985507246</v>
      </c>
      <c r="EH19" s="10">
        <f t="shared" si="95"/>
        <v>18858</v>
      </c>
      <c r="EI19" s="11" t="str">
        <f t="shared" si="96"/>
        <v>N/OK</v>
      </c>
      <c r="EJ19" s="11" t="str">
        <f t="shared" si="97"/>
        <v>N/OK</v>
      </c>
      <c r="EK19" s="11" t="str">
        <f t="shared" si="98"/>
        <v>N/OK</v>
      </c>
      <c r="EL19" s="11" t="str">
        <f t="shared" si="99"/>
        <v>N/OK</v>
      </c>
      <c r="EM19" s="11" t="str">
        <f t="shared" si="100"/>
        <v>N/OK</v>
      </c>
    </row>
    <row r="20" spans="1:143" s="17" customFormat="1" ht="14.4" hidden="1" x14ac:dyDescent="0.3">
      <c r="A20" s="34" t="s">
        <v>114</v>
      </c>
      <c r="B20" s="12" t="s">
        <v>22</v>
      </c>
      <c r="C20" s="12">
        <v>13</v>
      </c>
      <c r="D20" s="31">
        <v>2192</v>
      </c>
      <c r="E20" s="8" t="str">
        <f t="shared" si="0"/>
        <v>61+1+1</v>
      </c>
      <c r="F20" s="31" t="s">
        <v>19</v>
      </c>
      <c r="G20" s="31" t="s">
        <v>19</v>
      </c>
      <c r="H20" s="8">
        <f t="shared" si="101"/>
        <v>4</v>
      </c>
      <c r="I20" s="12" t="s">
        <v>19</v>
      </c>
      <c r="J20" s="12">
        <v>0</v>
      </c>
      <c r="K20" s="12" t="str">
        <f t="shared" si="183"/>
        <v>III</v>
      </c>
      <c r="L20" s="12">
        <v>0</v>
      </c>
      <c r="M20" s="12">
        <v>1</v>
      </c>
      <c r="N20" s="31">
        <v>5</v>
      </c>
      <c r="O20" s="31">
        <v>-2857</v>
      </c>
      <c r="P20" s="31">
        <v>8</v>
      </c>
      <c r="Q20" s="31">
        <v>-1115</v>
      </c>
      <c r="R20" s="31">
        <v>22</v>
      </c>
      <c r="S20" s="31">
        <v>4065</v>
      </c>
      <c r="T20" s="31">
        <v>6</v>
      </c>
      <c r="U20" s="31">
        <v>-1379</v>
      </c>
      <c r="V20" s="31">
        <v>6</v>
      </c>
      <c r="W20" s="31">
        <v>816</v>
      </c>
      <c r="X20" s="31">
        <v>14</v>
      </c>
      <c r="Y20" s="31">
        <v>5613</v>
      </c>
      <c r="Z20" s="12">
        <v>0</v>
      </c>
      <c r="AA20" s="12">
        <v>0</v>
      </c>
      <c r="AB20" s="12">
        <v>0</v>
      </c>
      <c r="AC20" s="12">
        <v>0</v>
      </c>
      <c r="AD20" s="8">
        <f t="shared" si="184"/>
        <v>3115</v>
      </c>
      <c r="AE20" s="8" t="str">
        <f t="shared" si="185"/>
        <v>6 m^2</v>
      </c>
      <c r="AF20" s="8">
        <f t="shared" ref="AF20:AF26" si="222">N20+P20+R20+T20+V20+X20+Z20+AB20</f>
        <v>61</v>
      </c>
      <c r="AG20" s="8">
        <f t="shared" si="186"/>
        <v>3392</v>
      </c>
      <c r="AH20" s="8">
        <f t="shared" si="187"/>
        <v>2166</v>
      </c>
      <c r="AI20" s="8">
        <f t="shared" si="188"/>
        <v>8547</v>
      </c>
      <c r="AJ20" s="12">
        <v>4</v>
      </c>
      <c r="AK20" s="8">
        <f>IF(C20=12,(AR20-700-1313/2),(AR20-700-1313/2))</f>
        <v>5543.5</v>
      </c>
      <c r="AL20" s="12">
        <v>0</v>
      </c>
      <c r="AM20" s="8">
        <f>IF(C20=12,(900+D20+((AR20-D20-700-1313-900)/2)),(900+D20+((AR20-D20-700-1313-900)/2)))</f>
        <v>3989.5</v>
      </c>
      <c r="AN20" s="12">
        <v>0</v>
      </c>
      <c r="AO20" s="8">
        <f t="shared" si="189"/>
        <v>2642</v>
      </c>
      <c r="AP20" s="12">
        <v>0</v>
      </c>
      <c r="AQ20" s="8">
        <f t="shared" si="190"/>
        <v>1591</v>
      </c>
      <c r="AR20" s="14">
        <f t="shared" si="191"/>
        <v>6900</v>
      </c>
      <c r="AS20" s="14">
        <f t="shared" si="192"/>
        <v>4276</v>
      </c>
      <c r="AT20" s="14">
        <f t="shared" si="193"/>
        <v>8587</v>
      </c>
      <c r="AU20" s="14">
        <f t="shared" si="194"/>
        <v>12863</v>
      </c>
      <c r="AV20" s="14">
        <f t="shared" si="195"/>
        <v>4580.4518840579713</v>
      </c>
      <c r="AW20" s="14">
        <f t="shared" si="196"/>
        <v>9149.5481159420287</v>
      </c>
      <c r="AX20" s="14">
        <f t="shared" si="197"/>
        <v>13730</v>
      </c>
      <c r="AY20" s="7"/>
      <c r="AZ20" s="7"/>
      <c r="BA20" s="7"/>
      <c r="BB20" s="7"/>
      <c r="BC20" s="6">
        <f t="shared" si="18"/>
        <v>-1014235</v>
      </c>
      <c r="BD20" s="6">
        <f t="shared" si="198"/>
        <v>355</v>
      </c>
      <c r="BE20" s="6">
        <f t="shared" si="20"/>
        <v>-633320</v>
      </c>
      <c r="BF20" s="6">
        <f t="shared" si="199"/>
        <v>568</v>
      </c>
      <c r="BG20" s="6">
        <f t="shared" si="22"/>
        <v>6349530</v>
      </c>
      <c r="BH20" s="6">
        <f t="shared" si="200"/>
        <v>1562</v>
      </c>
      <c r="BI20" s="6">
        <f t="shared" si="24"/>
        <v>-587454</v>
      </c>
      <c r="BJ20" s="6">
        <f t="shared" si="201"/>
        <v>426</v>
      </c>
      <c r="BK20" s="6">
        <f t="shared" si="26"/>
        <v>347616</v>
      </c>
      <c r="BL20" s="6">
        <f t="shared" si="202"/>
        <v>426</v>
      </c>
      <c r="BM20" s="6">
        <f t="shared" si="28"/>
        <v>5579322</v>
      </c>
      <c r="BN20" s="6">
        <f t="shared" si="203"/>
        <v>994</v>
      </c>
      <c r="BO20" s="6">
        <f t="shared" si="204"/>
        <v>0</v>
      </c>
      <c r="BP20" s="6">
        <f t="shared" si="205"/>
        <v>0</v>
      </c>
      <c r="BQ20" s="6">
        <f t="shared" si="206"/>
        <v>0</v>
      </c>
      <c r="BR20" s="6">
        <f t="shared" si="207"/>
        <v>0</v>
      </c>
      <c r="BS20" s="6">
        <f t="shared" si="208"/>
        <v>0</v>
      </c>
      <c r="BT20" s="6">
        <f t="shared" si="209"/>
        <v>0</v>
      </c>
      <c r="BU20" s="6">
        <f t="shared" si="36"/>
        <v>2217400</v>
      </c>
      <c r="BV20" s="6">
        <f t="shared" si="37"/>
        <v>400</v>
      </c>
      <c r="BW20" s="6">
        <f t="shared" si="38"/>
        <v>0</v>
      </c>
      <c r="BX20" s="6">
        <f t="shared" si="210"/>
        <v>0</v>
      </c>
      <c r="BY20" s="6">
        <f t="shared" si="40"/>
        <v>0</v>
      </c>
      <c r="BZ20" s="6">
        <f t="shared" si="211"/>
        <v>0</v>
      </c>
      <c r="CA20" s="6">
        <f t="shared" si="212"/>
        <v>0</v>
      </c>
      <c r="CB20" s="6">
        <f t="shared" si="213"/>
        <v>0</v>
      </c>
      <c r="CC20" s="6">
        <f t="shared" si="214"/>
        <v>0</v>
      </c>
      <c r="CD20" s="6">
        <f t="shared" si="215"/>
        <v>0</v>
      </c>
      <c r="CE20" s="6">
        <f t="shared" si="216"/>
        <v>0</v>
      </c>
      <c r="CF20" s="6">
        <f t="shared" si="217"/>
        <v>0</v>
      </c>
      <c r="CG20" s="6">
        <f t="shared" si="218"/>
        <v>641025</v>
      </c>
      <c r="CH20" s="6">
        <f t="shared" si="219"/>
        <v>75</v>
      </c>
      <c r="CI20" s="6">
        <v>-101</v>
      </c>
      <c r="CJ20" s="6">
        <v>301</v>
      </c>
      <c r="CK20" s="6">
        <f t="shared" si="220"/>
        <v>200</v>
      </c>
      <c r="CL20" s="6">
        <v>-151</v>
      </c>
      <c r="CM20" s="6">
        <v>451</v>
      </c>
      <c r="CN20" s="6">
        <f t="shared" si="221"/>
        <v>300</v>
      </c>
      <c r="CO20" s="10">
        <f t="shared" si="52"/>
        <v>1869.5484057971014</v>
      </c>
      <c r="CP20" s="10">
        <f t="shared" si="53"/>
        <v>2767.4515942028984</v>
      </c>
      <c r="CQ20" s="10">
        <f t="shared" si="142"/>
        <v>4637</v>
      </c>
      <c r="CR20" s="10">
        <f t="shared" si="54"/>
        <v>6450.0002898550729</v>
      </c>
      <c r="CS20" s="10">
        <f t="shared" si="55"/>
        <v>11916.999710144926</v>
      </c>
      <c r="CT20" s="10">
        <f t="shared" si="56"/>
        <v>18367</v>
      </c>
      <c r="CU20" s="11" t="str">
        <f t="shared" si="57"/>
        <v>N/OK</v>
      </c>
      <c r="CV20" s="11" t="str">
        <f t="shared" si="58"/>
        <v>N/OK</v>
      </c>
      <c r="CW20" s="11" t="str">
        <f t="shared" si="59"/>
        <v>N/OK</v>
      </c>
      <c r="CX20" s="11" t="str">
        <f t="shared" si="60"/>
        <v>OK</v>
      </c>
      <c r="CY20" s="11" t="str">
        <f t="shared" si="61"/>
        <v>OK</v>
      </c>
      <c r="CZ20" s="10">
        <f t="shared" si="62"/>
        <v>6406.0002898550729</v>
      </c>
      <c r="DA20" s="10">
        <f t="shared" si="63"/>
        <v>11828.999710144926</v>
      </c>
      <c r="DB20" s="10">
        <f t="shared" si="64"/>
        <v>18235</v>
      </c>
      <c r="DC20" s="11" t="str">
        <f t="shared" si="65"/>
        <v>N/OK</v>
      </c>
      <c r="DD20" s="11" t="str">
        <f t="shared" si="65"/>
        <v>N/OK</v>
      </c>
      <c r="DE20" s="11" t="str">
        <f t="shared" si="66"/>
        <v>N/OK</v>
      </c>
      <c r="DF20" s="11" t="str">
        <f t="shared" si="67"/>
        <v>OK</v>
      </c>
      <c r="DG20" s="11" t="str">
        <f t="shared" si="68"/>
        <v>OK</v>
      </c>
      <c r="DH20" s="10">
        <f t="shared" si="69"/>
        <v>6349.0002898550729</v>
      </c>
      <c r="DI20" s="10">
        <f t="shared" si="70"/>
        <v>12217.999710144926</v>
      </c>
      <c r="DJ20" s="10">
        <f t="shared" si="71"/>
        <v>18567</v>
      </c>
      <c r="DK20" s="11" t="str">
        <f t="shared" si="72"/>
        <v>N/OK</v>
      </c>
      <c r="DL20" s="11" t="str">
        <f t="shared" si="73"/>
        <v>N/OK</v>
      </c>
      <c r="DM20" s="11" t="str">
        <f t="shared" si="74"/>
        <v>N/OK</v>
      </c>
      <c r="DN20" s="11" t="str">
        <f t="shared" si="75"/>
        <v>N/OK</v>
      </c>
      <c r="DO20" s="11" t="str">
        <f t="shared" si="76"/>
        <v>OK</v>
      </c>
      <c r="DP20" s="10">
        <f t="shared" si="77"/>
        <v>6305.0002898550729</v>
      </c>
      <c r="DQ20" s="10">
        <f t="shared" si="78"/>
        <v>12129.999710144926</v>
      </c>
      <c r="DR20" s="10">
        <f t="shared" si="79"/>
        <v>18435</v>
      </c>
      <c r="DS20" s="11" t="str">
        <f t="shared" si="80"/>
        <v>N/OK</v>
      </c>
      <c r="DT20" s="11" t="str">
        <f t="shared" si="81"/>
        <v>N/OK</v>
      </c>
      <c r="DU20" s="11" t="str">
        <f t="shared" si="82"/>
        <v>N/OK</v>
      </c>
      <c r="DV20" s="11" t="str">
        <f t="shared" si="83"/>
        <v>N/OK</v>
      </c>
      <c r="DW20" s="11" t="str">
        <f t="shared" si="84"/>
        <v>OK</v>
      </c>
      <c r="DX20" s="10">
        <f t="shared" si="85"/>
        <v>6299.0002898550729</v>
      </c>
      <c r="DY20" s="10">
        <f t="shared" si="86"/>
        <v>12580.999710144926</v>
      </c>
      <c r="DZ20" s="10">
        <f t="shared" si="87"/>
        <v>18880</v>
      </c>
      <c r="EA20" s="11" t="str">
        <f t="shared" si="88"/>
        <v>N/OK</v>
      </c>
      <c r="EB20" s="11" t="str">
        <f t="shared" si="89"/>
        <v>N/OK</v>
      </c>
      <c r="EC20" s="11" t="str">
        <f t="shared" si="90"/>
        <v>N/OK</v>
      </c>
      <c r="ED20" s="11" t="str">
        <f t="shared" si="91"/>
        <v>N/OK</v>
      </c>
      <c r="EE20" s="11" t="str">
        <f t="shared" si="92"/>
        <v>N/OK</v>
      </c>
      <c r="EF20" s="10">
        <f t="shared" si="93"/>
        <v>6255.0002898550729</v>
      </c>
      <c r="EG20" s="10">
        <f t="shared" si="94"/>
        <v>12492.999710144926</v>
      </c>
      <c r="EH20" s="10">
        <f t="shared" si="95"/>
        <v>18748</v>
      </c>
      <c r="EI20" s="11" t="str">
        <f t="shared" si="96"/>
        <v>N/OK</v>
      </c>
      <c r="EJ20" s="11" t="str">
        <f t="shared" si="97"/>
        <v>N/OK</v>
      </c>
      <c r="EK20" s="11" t="str">
        <f t="shared" si="98"/>
        <v>N/OK</v>
      </c>
      <c r="EL20" s="11" t="str">
        <f t="shared" si="99"/>
        <v>N/OK</v>
      </c>
      <c r="EM20" s="11" t="str">
        <f t="shared" si="100"/>
        <v>N/OK</v>
      </c>
    </row>
    <row r="21" spans="1:143" s="17" customFormat="1" ht="14.4" hidden="1" x14ac:dyDescent="0.3">
      <c r="A21" s="34" t="s">
        <v>114</v>
      </c>
      <c r="B21" s="12" t="s">
        <v>22</v>
      </c>
      <c r="C21" s="12">
        <v>13</v>
      </c>
      <c r="D21" s="31">
        <v>2192</v>
      </c>
      <c r="E21" s="8" t="str">
        <f t="shared" si="0"/>
        <v>60+1+1</v>
      </c>
      <c r="F21" s="31" t="s">
        <v>113</v>
      </c>
      <c r="G21" s="31" t="s">
        <v>19</v>
      </c>
      <c r="H21" s="8">
        <f t="shared" si="101"/>
        <v>4</v>
      </c>
      <c r="I21" s="12" t="s">
        <v>19</v>
      </c>
      <c r="J21" s="12">
        <v>0</v>
      </c>
      <c r="K21" s="12" t="s">
        <v>115</v>
      </c>
      <c r="L21" s="12">
        <v>0</v>
      </c>
      <c r="M21" s="12">
        <v>1</v>
      </c>
      <c r="N21" s="31">
        <v>4</v>
      </c>
      <c r="O21" s="31">
        <v>-2857</v>
      </c>
      <c r="P21" s="31">
        <v>8</v>
      </c>
      <c r="Q21" s="31">
        <v>-1115</v>
      </c>
      <c r="R21" s="31">
        <v>22</v>
      </c>
      <c r="S21" s="31">
        <v>4065</v>
      </c>
      <c r="T21" s="31">
        <v>6</v>
      </c>
      <c r="U21" s="31">
        <v>-1379</v>
      </c>
      <c r="V21" s="31">
        <v>6</v>
      </c>
      <c r="W21" s="31">
        <v>816</v>
      </c>
      <c r="X21" s="31">
        <v>14</v>
      </c>
      <c r="Y21" s="31">
        <v>5613</v>
      </c>
      <c r="Z21" s="12">
        <v>0</v>
      </c>
      <c r="AA21" s="12">
        <v>0</v>
      </c>
      <c r="AB21" s="12">
        <v>0</v>
      </c>
      <c r="AC21" s="12">
        <v>0</v>
      </c>
      <c r="AD21" s="8">
        <v>3115</v>
      </c>
      <c r="AE21" s="8" t="s">
        <v>116</v>
      </c>
      <c r="AF21" s="8">
        <f t="shared" si="222"/>
        <v>60</v>
      </c>
      <c r="AG21" s="8">
        <v>3392</v>
      </c>
      <c r="AH21" s="8">
        <v>2166</v>
      </c>
      <c r="AI21" s="8">
        <v>8547</v>
      </c>
      <c r="AJ21" s="12">
        <v>4</v>
      </c>
      <c r="AK21" s="8">
        <v>5543.5</v>
      </c>
      <c r="AL21" s="12">
        <v>0</v>
      </c>
      <c r="AM21" s="8">
        <v>3989.5</v>
      </c>
      <c r="AN21" s="12">
        <v>0</v>
      </c>
      <c r="AO21" s="8">
        <v>2642</v>
      </c>
      <c r="AP21" s="12">
        <v>0</v>
      </c>
      <c r="AQ21" s="8">
        <v>1591</v>
      </c>
      <c r="AR21" s="14">
        <v>6900</v>
      </c>
      <c r="AS21" s="14">
        <v>4276</v>
      </c>
      <c r="AT21" s="14">
        <v>8587</v>
      </c>
      <c r="AU21" s="14">
        <v>12863</v>
      </c>
      <c r="AV21" s="14">
        <v>4580.4518840579713</v>
      </c>
      <c r="AW21" s="14">
        <v>9149.5481159420287</v>
      </c>
      <c r="AX21" s="14">
        <v>13730</v>
      </c>
      <c r="AY21" s="7"/>
      <c r="AZ21" s="7"/>
      <c r="BA21" s="7"/>
      <c r="BB21" s="7"/>
      <c r="BC21" s="6">
        <f t="shared" si="18"/>
        <v>-1014235</v>
      </c>
      <c r="BD21" s="6">
        <v>355</v>
      </c>
      <c r="BE21" s="6">
        <f t="shared" si="20"/>
        <v>-633320</v>
      </c>
      <c r="BF21" s="6">
        <v>568</v>
      </c>
      <c r="BG21" s="6">
        <f t="shared" si="22"/>
        <v>6349530</v>
      </c>
      <c r="BH21" s="6">
        <v>1562</v>
      </c>
      <c r="BI21" s="6">
        <f t="shared" si="24"/>
        <v>-587454</v>
      </c>
      <c r="BJ21" s="6">
        <v>426</v>
      </c>
      <c r="BK21" s="6">
        <f t="shared" si="26"/>
        <v>347616</v>
      </c>
      <c r="BL21" s="6">
        <v>426</v>
      </c>
      <c r="BM21" s="6">
        <f t="shared" si="28"/>
        <v>5579322</v>
      </c>
      <c r="BN21" s="6">
        <v>994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f t="shared" si="36"/>
        <v>2217400</v>
      </c>
      <c r="BV21" s="6">
        <f t="shared" si="37"/>
        <v>400</v>
      </c>
      <c r="BW21" s="6">
        <f t="shared" si="38"/>
        <v>0</v>
      </c>
      <c r="BX21" s="6">
        <v>0</v>
      </c>
      <c r="BY21" s="6">
        <f t="shared" si="40"/>
        <v>0</v>
      </c>
      <c r="BZ21" s="6">
        <v>0</v>
      </c>
      <c r="CA21" s="6">
        <v>0</v>
      </c>
      <c r="CB21" s="6">
        <v>0</v>
      </c>
      <c r="CC21" s="6">
        <v>373120</v>
      </c>
      <c r="CD21" s="6">
        <v>110</v>
      </c>
      <c r="CE21" s="6">
        <v>0</v>
      </c>
      <c r="CF21" s="6">
        <v>0</v>
      </c>
      <c r="CG21" s="6">
        <v>641025</v>
      </c>
      <c r="CH21" s="6">
        <v>75</v>
      </c>
      <c r="CI21" s="6">
        <v>-101</v>
      </c>
      <c r="CJ21" s="6">
        <v>301</v>
      </c>
      <c r="CK21" s="6">
        <v>200</v>
      </c>
      <c r="CL21" s="6">
        <v>-151</v>
      </c>
      <c r="CM21" s="6">
        <v>451</v>
      </c>
      <c r="CN21" s="6">
        <v>300</v>
      </c>
      <c r="CO21" s="10">
        <f t="shared" si="52"/>
        <v>1977.6991304347825</v>
      </c>
      <c r="CP21" s="10">
        <f t="shared" si="53"/>
        <v>2769.3008695652175</v>
      </c>
      <c r="CQ21" s="10">
        <f t="shared" si="142"/>
        <v>4747</v>
      </c>
      <c r="CR21" s="10">
        <f t="shared" si="54"/>
        <v>6558.1510144927543</v>
      </c>
      <c r="CS21" s="10">
        <f t="shared" si="55"/>
        <v>11918.848985507246</v>
      </c>
      <c r="CT21" s="10">
        <f t="shared" si="56"/>
        <v>18477</v>
      </c>
      <c r="CU21" s="11" t="str">
        <f t="shared" si="57"/>
        <v>N/OK</v>
      </c>
      <c r="CV21" s="11" t="str">
        <f t="shared" si="58"/>
        <v>N/OK</v>
      </c>
      <c r="CW21" s="11" t="str">
        <f t="shared" si="59"/>
        <v>N/OK</v>
      </c>
      <c r="CX21" s="11" t="str">
        <f t="shared" si="60"/>
        <v>OK</v>
      </c>
      <c r="CY21" s="11" t="str">
        <f t="shared" si="61"/>
        <v>OK</v>
      </c>
      <c r="CZ21" s="10">
        <f t="shared" si="62"/>
        <v>6514.1510144927543</v>
      </c>
      <c r="DA21" s="10">
        <f t="shared" si="63"/>
        <v>11830.848985507246</v>
      </c>
      <c r="DB21" s="10">
        <f t="shared" si="64"/>
        <v>18345</v>
      </c>
      <c r="DC21" s="11" t="str">
        <f t="shared" si="65"/>
        <v>N/OK</v>
      </c>
      <c r="DD21" s="11" t="str">
        <f t="shared" si="65"/>
        <v>N/OK</v>
      </c>
      <c r="DE21" s="11" t="str">
        <f t="shared" si="66"/>
        <v>N/OK</v>
      </c>
      <c r="DF21" s="11" t="str">
        <f t="shared" si="67"/>
        <v>OK</v>
      </c>
      <c r="DG21" s="11" t="str">
        <f t="shared" si="68"/>
        <v>OK</v>
      </c>
      <c r="DH21" s="10">
        <f t="shared" si="69"/>
        <v>6457.1510144927543</v>
      </c>
      <c r="DI21" s="10">
        <f t="shared" si="70"/>
        <v>12219.848985507246</v>
      </c>
      <c r="DJ21" s="10">
        <f t="shared" si="71"/>
        <v>18677</v>
      </c>
      <c r="DK21" s="11" t="str">
        <f t="shared" si="72"/>
        <v>N/OK</v>
      </c>
      <c r="DL21" s="11" t="str">
        <f t="shared" si="73"/>
        <v>N/OK</v>
      </c>
      <c r="DM21" s="11" t="str">
        <f t="shared" si="74"/>
        <v>N/OK</v>
      </c>
      <c r="DN21" s="11" t="str">
        <f t="shared" si="75"/>
        <v>N/OK</v>
      </c>
      <c r="DO21" s="11" t="str">
        <f t="shared" si="76"/>
        <v>OK</v>
      </c>
      <c r="DP21" s="10">
        <f t="shared" si="77"/>
        <v>6413.1510144927543</v>
      </c>
      <c r="DQ21" s="10">
        <f t="shared" si="78"/>
        <v>12131.848985507246</v>
      </c>
      <c r="DR21" s="10">
        <f t="shared" si="79"/>
        <v>18545</v>
      </c>
      <c r="DS21" s="11" t="str">
        <f t="shared" si="80"/>
        <v>N/OK</v>
      </c>
      <c r="DT21" s="11" t="str">
        <f t="shared" si="81"/>
        <v>N/OK</v>
      </c>
      <c r="DU21" s="11" t="str">
        <f t="shared" si="82"/>
        <v>N/OK</v>
      </c>
      <c r="DV21" s="11" t="str">
        <f t="shared" si="83"/>
        <v>N/OK</v>
      </c>
      <c r="DW21" s="11" t="str">
        <f t="shared" si="84"/>
        <v>OK</v>
      </c>
      <c r="DX21" s="10">
        <f t="shared" si="85"/>
        <v>6407.1510144927543</v>
      </c>
      <c r="DY21" s="10">
        <f t="shared" si="86"/>
        <v>12582.848985507246</v>
      </c>
      <c r="DZ21" s="10">
        <f t="shared" si="87"/>
        <v>18990</v>
      </c>
      <c r="EA21" s="11" t="str">
        <f t="shared" si="88"/>
        <v>N/OK</v>
      </c>
      <c r="EB21" s="11" t="str">
        <f t="shared" si="89"/>
        <v>N/OK</v>
      </c>
      <c r="EC21" s="11" t="str">
        <f t="shared" si="90"/>
        <v>N/OK</v>
      </c>
      <c r="ED21" s="11" t="str">
        <f t="shared" si="91"/>
        <v>N/OK</v>
      </c>
      <c r="EE21" s="11" t="str">
        <f t="shared" si="92"/>
        <v>N/OK</v>
      </c>
      <c r="EF21" s="10">
        <f t="shared" si="93"/>
        <v>6363.1510144927543</v>
      </c>
      <c r="EG21" s="10">
        <f t="shared" si="94"/>
        <v>12494.848985507246</v>
      </c>
      <c r="EH21" s="10">
        <f t="shared" si="95"/>
        <v>18858</v>
      </c>
      <c r="EI21" s="11" t="str">
        <f t="shared" si="96"/>
        <v>N/OK</v>
      </c>
      <c r="EJ21" s="11" t="str">
        <f t="shared" si="97"/>
        <v>N/OK</v>
      </c>
      <c r="EK21" s="11" t="str">
        <f t="shared" si="98"/>
        <v>N/OK</v>
      </c>
      <c r="EL21" s="11" t="str">
        <f t="shared" si="99"/>
        <v>N/OK</v>
      </c>
      <c r="EM21" s="11" t="str">
        <f t="shared" si="100"/>
        <v>N/OK</v>
      </c>
    </row>
    <row r="22" spans="1:143" s="17" customFormat="1" ht="14.4" hidden="1" x14ac:dyDescent="0.3">
      <c r="A22" s="34" t="s">
        <v>114</v>
      </c>
      <c r="B22" s="12" t="s">
        <v>22</v>
      </c>
      <c r="C22" s="12">
        <v>13</v>
      </c>
      <c r="D22" s="31">
        <v>2192</v>
      </c>
      <c r="E22" s="8" t="str">
        <f t="shared" si="0"/>
        <v>60+1+1</v>
      </c>
      <c r="F22" s="31" t="s">
        <v>19</v>
      </c>
      <c r="G22" s="31" t="s">
        <v>19</v>
      </c>
      <c r="H22" s="8">
        <f t="shared" si="101"/>
        <v>4</v>
      </c>
      <c r="I22" s="12" t="s">
        <v>19</v>
      </c>
      <c r="J22" s="12">
        <v>0</v>
      </c>
      <c r="K22" s="12" t="s">
        <v>115</v>
      </c>
      <c r="L22" s="12">
        <v>0</v>
      </c>
      <c r="M22" s="12">
        <v>1</v>
      </c>
      <c r="N22" s="31">
        <v>4</v>
      </c>
      <c r="O22" s="31">
        <v>-2857</v>
      </c>
      <c r="P22" s="31">
        <v>8</v>
      </c>
      <c r="Q22" s="31">
        <v>-1115</v>
      </c>
      <c r="R22" s="31">
        <v>22</v>
      </c>
      <c r="S22" s="31">
        <v>4065</v>
      </c>
      <c r="T22" s="31">
        <v>6</v>
      </c>
      <c r="U22" s="31">
        <v>-1379</v>
      </c>
      <c r="V22" s="31">
        <v>6</v>
      </c>
      <c r="W22" s="31">
        <v>816</v>
      </c>
      <c r="X22" s="31">
        <v>14</v>
      </c>
      <c r="Y22" s="31">
        <v>5613</v>
      </c>
      <c r="Z22" s="12">
        <v>0</v>
      </c>
      <c r="AA22" s="12">
        <v>0</v>
      </c>
      <c r="AB22" s="12">
        <v>0</v>
      </c>
      <c r="AC22" s="12">
        <v>0</v>
      </c>
      <c r="AD22" s="8">
        <v>3115</v>
      </c>
      <c r="AE22" s="8" t="s">
        <v>116</v>
      </c>
      <c r="AF22" s="8">
        <f t="shared" si="222"/>
        <v>60</v>
      </c>
      <c r="AG22" s="8">
        <v>3392</v>
      </c>
      <c r="AH22" s="8">
        <v>2166</v>
      </c>
      <c r="AI22" s="8">
        <v>8547</v>
      </c>
      <c r="AJ22" s="12">
        <v>4</v>
      </c>
      <c r="AK22" s="8">
        <v>5543.5</v>
      </c>
      <c r="AL22" s="12">
        <v>0</v>
      </c>
      <c r="AM22" s="8">
        <v>3989.5</v>
      </c>
      <c r="AN22" s="12">
        <v>0</v>
      </c>
      <c r="AO22" s="8">
        <v>2642</v>
      </c>
      <c r="AP22" s="12">
        <v>0</v>
      </c>
      <c r="AQ22" s="8">
        <v>1591</v>
      </c>
      <c r="AR22" s="14">
        <v>6900</v>
      </c>
      <c r="AS22" s="14">
        <v>4276</v>
      </c>
      <c r="AT22" s="14">
        <v>8587</v>
      </c>
      <c r="AU22" s="14">
        <v>12863</v>
      </c>
      <c r="AV22" s="14">
        <v>4580.4518840579713</v>
      </c>
      <c r="AW22" s="14">
        <v>9149.5481159420287</v>
      </c>
      <c r="AX22" s="14">
        <v>13730</v>
      </c>
      <c r="AY22" s="7"/>
      <c r="AZ22" s="7"/>
      <c r="BA22" s="7"/>
      <c r="BB22" s="7"/>
      <c r="BC22" s="6">
        <f t="shared" si="18"/>
        <v>-1014235</v>
      </c>
      <c r="BD22" s="6">
        <v>355</v>
      </c>
      <c r="BE22" s="6">
        <f t="shared" si="20"/>
        <v>-633320</v>
      </c>
      <c r="BF22" s="6">
        <v>568</v>
      </c>
      <c r="BG22" s="6">
        <f t="shared" si="22"/>
        <v>6349530</v>
      </c>
      <c r="BH22" s="6">
        <v>1562</v>
      </c>
      <c r="BI22" s="6">
        <f t="shared" si="24"/>
        <v>-587454</v>
      </c>
      <c r="BJ22" s="6">
        <v>426</v>
      </c>
      <c r="BK22" s="6">
        <f t="shared" si="26"/>
        <v>347616</v>
      </c>
      <c r="BL22" s="6">
        <v>426</v>
      </c>
      <c r="BM22" s="6">
        <f t="shared" si="28"/>
        <v>5579322</v>
      </c>
      <c r="BN22" s="6">
        <v>994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f t="shared" si="36"/>
        <v>2217400</v>
      </c>
      <c r="BV22" s="6">
        <f t="shared" si="37"/>
        <v>400</v>
      </c>
      <c r="BW22" s="6">
        <f t="shared" si="38"/>
        <v>0</v>
      </c>
      <c r="BX22" s="6">
        <v>0</v>
      </c>
      <c r="BY22" s="6">
        <f t="shared" si="40"/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641025</v>
      </c>
      <c r="CH22" s="6">
        <v>75</v>
      </c>
      <c r="CI22" s="6">
        <v>-101</v>
      </c>
      <c r="CJ22" s="6">
        <v>301</v>
      </c>
      <c r="CK22" s="6">
        <v>200</v>
      </c>
      <c r="CL22" s="6">
        <v>-151</v>
      </c>
      <c r="CM22" s="6">
        <v>451</v>
      </c>
      <c r="CN22" s="6">
        <v>300</v>
      </c>
      <c r="CO22" s="10">
        <f t="shared" si="52"/>
        <v>1869.5484057971014</v>
      </c>
      <c r="CP22" s="10">
        <f t="shared" si="53"/>
        <v>2767.4515942028984</v>
      </c>
      <c r="CQ22" s="10">
        <f t="shared" si="142"/>
        <v>4637</v>
      </c>
      <c r="CR22" s="10">
        <f t="shared" si="54"/>
        <v>6450.0002898550729</v>
      </c>
      <c r="CS22" s="10">
        <f t="shared" si="55"/>
        <v>11916.999710144926</v>
      </c>
      <c r="CT22" s="10">
        <f t="shared" si="56"/>
        <v>18367</v>
      </c>
      <c r="CU22" s="11" t="str">
        <f t="shared" si="57"/>
        <v>N/OK</v>
      </c>
      <c r="CV22" s="11" t="str">
        <f t="shared" si="58"/>
        <v>N/OK</v>
      </c>
      <c r="CW22" s="11" t="str">
        <f t="shared" si="59"/>
        <v>N/OK</v>
      </c>
      <c r="CX22" s="11" t="str">
        <f t="shared" si="60"/>
        <v>OK</v>
      </c>
      <c r="CY22" s="11" t="str">
        <f t="shared" si="61"/>
        <v>OK</v>
      </c>
      <c r="CZ22" s="10">
        <f t="shared" si="62"/>
        <v>6406.0002898550729</v>
      </c>
      <c r="DA22" s="10">
        <f t="shared" si="63"/>
        <v>11828.999710144926</v>
      </c>
      <c r="DB22" s="10">
        <f t="shared" si="64"/>
        <v>18235</v>
      </c>
      <c r="DC22" s="11" t="str">
        <f t="shared" si="65"/>
        <v>N/OK</v>
      </c>
      <c r="DD22" s="11" t="str">
        <f t="shared" si="65"/>
        <v>N/OK</v>
      </c>
      <c r="DE22" s="11" t="str">
        <f t="shared" si="66"/>
        <v>N/OK</v>
      </c>
      <c r="DF22" s="11" t="str">
        <f t="shared" si="67"/>
        <v>OK</v>
      </c>
      <c r="DG22" s="11" t="str">
        <f t="shared" si="68"/>
        <v>OK</v>
      </c>
      <c r="DH22" s="10">
        <f t="shared" si="69"/>
        <v>6349.0002898550729</v>
      </c>
      <c r="DI22" s="10">
        <f t="shared" si="70"/>
        <v>12217.999710144926</v>
      </c>
      <c r="DJ22" s="10">
        <f t="shared" si="71"/>
        <v>18567</v>
      </c>
      <c r="DK22" s="11" t="str">
        <f t="shared" si="72"/>
        <v>N/OK</v>
      </c>
      <c r="DL22" s="11" t="str">
        <f t="shared" si="73"/>
        <v>N/OK</v>
      </c>
      <c r="DM22" s="11" t="str">
        <f t="shared" si="74"/>
        <v>N/OK</v>
      </c>
      <c r="DN22" s="11" t="str">
        <f t="shared" si="75"/>
        <v>N/OK</v>
      </c>
      <c r="DO22" s="11" t="str">
        <f t="shared" si="76"/>
        <v>OK</v>
      </c>
      <c r="DP22" s="10">
        <f t="shared" si="77"/>
        <v>6305.0002898550729</v>
      </c>
      <c r="DQ22" s="10">
        <f t="shared" si="78"/>
        <v>12129.999710144926</v>
      </c>
      <c r="DR22" s="10">
        <f t="shared" si="79"/>
        <v>18435</v>
      </c>
      <c r="DS22" s="11" t="str">
        <f t="shared" si="80"/>
        <v>N/OK</v>
      </c>
      <c r="DT22" s="11" t="str">
        <f t="shared" si="81"/>
        <v>N/OK</v>
      </c>
      <c r="DU22" s="11" t="str">
        <f t="shared" si="82"/>
        <v>N/OK</v>
      </c>
      <c r="DV22" s="11" t="str">
        <f t="shared" si="83"/>
        <v>N/OK</v>
      </c>
      <c r="DW22" s="11" t="str">
        <f t="shared" si="84"/>
        <v>OK</v>
      </c>
      <c r="DX22" s="10">
        <f t="shared" si="85"/>
        <v>6299.0002898550729</v>
      </c>
      <c r="DY22" s="10">
        <f t="shared" si="86"/>
        <v>12580.999710144926</v>
      </c>
      <c r="DZ22" s="10">
        <f t="shared" si="87"/>
        <v>18880</v>
      </c>
      <c r="EA22" s="11" t="str">
        <f t="shared" si="88"/>
        <v>N/OK</v>
      </c>
      <c r="EB22" s="11" t="str">
        <f t="shared" si="89"/>
        <v>N/OK</v>
      </c>
      <c r="EC22" s="11" t="str">
        <f t="shared" si="90"/>
        <v>N/OK</v>
      </c>
      <c r="ED22" s="11" t="str">
        <f t="shared" si="91"/>
        <v>N/OK</v>
      </c>
      <c r="EE22" s="11" t="str">
        <f t="shared" si="92"/>
        <v>N/OK</v>
      </c>
      <c r="EF22" s="10">
        <f t="shared" si="93"/>
        <v>6255.0002898550729</v>
      </c>
      <c r="EG22" s="10">
        <f t="shared" si="94"/>
        <v>12492.999710144926</v>
      </c>
      <c r="EH22" s="10">
        <f t="shared" si="95"/>
        <v>18748</v>
      </c>
      <c r="EI22" s="11" t="str">
        <f t="shared" si="96"/>
        <v>N/OK</v>
      </c>
      <c r="EJ22" s="11" t="str">
        <f t="shared" si="97"/>
        <v>N/OK</v>
      </c>
      <c r="EK22" s="11" t="str">
        <f t="shared" si="98"/>
        <v>N/OK</v>
      </c>
      <c r="EL22" s="11" t="str">
        <f t="shared" si="99"/>
        <v>N/OK</v>
      </c>
      <c r="EM22" s="11" t="str">
        <f t="shared" si="100"/>
        <v>N/OK</v>
      </c>
    </row>
    <row r="23" spans="1:143" s="17" customFormat="1" ht="14.4" x14ac:dyDescent="0.3">
      <c r="A23" s="34" t="s">
        <v>114</v>
      </c>
      <c r="B23" s="12" t="s">
        <v>22</v>
      </c>
      <c r="C23" s="12">
        <v>13</v>
      </c>
      <c r="D23" s="31">
        <v>2192</v>
      </c>
      <c r="E23" s="8" t="str">
        <f t="shared" si="0"/>
        <v>61+1+1</v>
      </c>
      <c r="F23" s="31" t="s">
        <v>113</v>
      </c>
      <c r="G23" s="31" t="s">
        <v>19</v>
      </c>
      <c r="H23" s="8">
        <f t="shared" si="101"/>
        <v>6</v>
      </c>
      <c r="I23" s="12" t="s">
        <v>19</v>
      </c>
      <c r="J23" s="12">
        <v>0</v>
      </c>
      <c r="K23" s="12" t="str">
        <f t="shared" ref="K23:K24" si="223">IF(L23=0,"III","II")</f>
        <v>III</v>
      </c>
      <c r="L23" s="12">
        <v>0</v>
      </c>
      <c r="M23" s="12">
        <v>1</v>
      </c>
      <c r="N23" s="31">
        <v>5</v>
      </c>
      <c r="O23" s="31">
        <v>-2857</v>
      </c>
      <c r="P23" s="31">
        <v>8</v>
      </c>
      <c r="Q23" s="31">
        <v>-1115</v>
      </c>
      <c r="R23" s="31">
        <v>22</v>
      </c>
      <c r="S23" s="31">
        <v>4065</v>
      </c>
      <c r="T23" s="31">
        <v>6</v>
      </c>
      <c r="U23" s="31">
        <v>-1379</v>
      </c>
      <c r="V23" s="31">
        <v>6</v>
      </c>
      <c r="W23" s="31">
        <v>816</v>
      </c>
      <c r="X23" s="31">
        <v>14</v>
      </c>
      <c r="Y23" s="31">
        <v>5613</v>
      </c>
      <c r="Z23" s="12">
        <v>0</v>
      </c>
      <c r="AA23" s="12">
        <v>0</v>
      </c>
      <c r="AB23" s="12">
        <v>0</v>
      </c>
      <c r="AC23" s="12">
        <v>0</v>
      </c>
      <c r="AD23" s="8">
        <f t="shared" ref="AD23:AD24" si="224">IF(C23=12,2718,3115)</f>
        <v>3115</v>
      </c>
      <c r="AE23" s="8" t="str">
        <f t="shared" ref="AE23:AE24" si="225">IF(C23=12,"5,4 m^2","6 m^2")</f>
        <v>6 m^2</v>
      </c>
      <c r="AF23" s="8">
        <f t="shared" si="222"/>
        <v>61</v>
      </c>
      <c r="AG23" s="8">
        <f t="shared" ref="AG23:AG24" si="226">D23+1200</f>
        <v>3392</v>
      </c>
      <c r="AH23" s="8">
        <f t="shared" ref="AH23:AH24" si="227">D23-26</f>
        <v>2166</v>
      </c>
      <c r="AI23" s="8">
        <f t="shared" ref="AI23:AI24" si="228">IF(C23=13,8547,7747)</f>
        <v>8547</v>
      </c>
      <c r="AJ23" s="12">
        <v>4</v>
      </c>
      <c r="AK23" s="8">
        <f>IF(C23=12,(AR23-700-1313/2),(AR23-700-1313/2))</f>
        <v>5543.5</v>
      </c>
      <c r="AL23" s="12">
        <v>2</v>
      </c>
      <c r="AM23" s="8">
        <f>IF(C23=12,(900+D23+((AR23-D23-700-1313-900)/2)),(900+D23+((AR23-D23-700-1313-900)/2)))</f>
        <v>3989.5</v>
      </c>
      <c r="AN23" s="12">
        <v>0</v>
      </c>
      <c r="AO23" s="8">
        <f t="shared" ref="AO23:AO24" si="229">D23+450</f>
        <v>2642</v>
      </c>
      <c r="AP23" s="12">
        <v>0</v>
      </c>
      <c r="AQ23" s="8">
        <f t="shared" ref="AQ23:AQ24" si="230">990+(D23-990)/2</f>
        <v>1591</v>
      </c>
      <c r="AR23" s="14">
        <f t="shared" ref="AR23:AR24" si="231">IF(C23=12,6100,6900)</f>
        <v>6900</v>
      </c>
      <c r="AS23" s="14">
        <f t="shared" ref="AS23:AS24" si="232">IF(C23=12,(IF(I23="YOK",4065,4358)),(IF(I23="YOK",4276,4536)))</f>
        <v>4276</v>
      </c>
      <c r="AT23" s="14">
        <f t="shared" ref="AT23:AT24" si="233">IF(C23=12,(IF(I23="YOK",8523,8558)),(IF(I23="YOK",8587,8655)))</f>
        <v>8587</v>
      </c>
      <c r="AU23" s="14">
        <f t="shared" ref="AU23:AU24" si="234">AS23+AT23</f>
        <v>12863</v>
      </c>
      <c r="AV23" s="14">
        <f t="shared" ref="AV23:AV24" si="235">AS23+(N23*O23*N$7+P23*Q23*P$7+R23*S23*R$7+T23*U23*T$7+V23*W23*V$7+X23*Y23*X$7+Z23*AA23*Z$7*AB23*AC23*AB$7)/AR23</f>
        <v>4580.4518840579713</v>
      </c>
      <c r="AW23" s="14">
        <f t="shared" ref="AW23:AW24" si="236">AX23-AV23</f>
        <v>9149.5481159420287</v>
      </c>
      <c r="AX23" s="14">
        <f t="shared" ref="AX23:AX24" si="237">AU23+(N23*N$7+P23*P$7+R23*R$7+T23*T$7+V23*V$7+X23*X$7+Z23*Z$7+AB23*AB$7)</f>
        <v>13730</v>
      </c>
      <c r="AY23" s="7"/>
      <c r="AZ23" s="7"/>
      <c r="BA23" s="7"/>
      <c r="BB23" s="7"/>
      <c r="BC23" s="6">
        <f t="shared" si="18"/>
        <v>-1014235</v>
      </c>
      <c r="BD23" s="6">
        <f t="shared" ref="BD23:BD24" si="238">N23*$AD$7</f>
        <v>355</v>
      </c>
      <c r="BE23" s="6">
        <f t="shared" si="20"/>
        <v>-633320</v>
      </c>
      <c r="BF23" s="6">
        <f t="shared" ref="BF23:BF24" si="239">P23*$AD$7</f>
        <v>568</v>
      </c>
      <c r="BG23" s="6">
        <f t="shared" si="22"/>
        <v>6349530</v>
      </c>
      <c r="BH23" s="6">
        <f t="shared" ref="BH23:BH24" si="240">R23*$AD$7</f>
        <v>1562</v>
      </c>
      <c r="BI23" s="6">
        <f t="shared" si="24"/>
        <v>-587454</v>
      </c>
      <c r="BJ23" s="6">
        <f t="shared" ref="BJ23:BJ24" si="241">T23*$AD$7</f>
        <v>426</v>
      </c>
      <c r="BK23" s="6">
        <f t="shared" si="26"/>
        <v>347616</v>
      </c>
      <c r="BL23" s="6">
        <f t="shared" ref="BL23:BL24" si="242">V23*$AD$7</f>
        <v>426</v>
      </c>
      <c r="BM23" s="6">
        <f t="shared" si="28"/>
        <v>5579322</v>
      </c>
      <c r="BN23" s="6">
        <f t="shared" ref="BN23:BN24" si="243">X23*$AD$7</f>
        <v>994</v>
      </c>
      <c r="BO23" s="6">
        <f t="shared" ref="BO23:BO24" si="244">AA23*BP23</f>
        <v>0</v>
      </c>
      <c r="BP23" s="6">
        <f t="shared" ref="BP23:BP24" si="245">Z23*$AD$7</f>
        <v>0</v>
      </c>
      <c r="BQ23" s="6">
        <f t="shared" ref="BQ23:BQ24" si="246">AC23*BR23</f>
        <v>0</v>
      </c>
      <c r="BR23" s="6">
        <f t="shared" ref="BR23:BR24" si="247">AB23*$AD$7</f>
        <v>0</v>
      </c>
      <c r="BS23" s="6">
        <f t="shared" ref="BS23:BS24" si="248">AD23*BT23</f>
        <v>0</v>
      </c>
      <c r="BT23" s="6">
        <f t="shared" ref="BT23:BT24" si="249">L23*$AD$7</f>
        <v>0</v>
      </c>
      <c r="BU23" s="6">
        <f t="shared" si="36"/>
        <v>2217400</v>
      </c>
      <c r="BV23" s="6">
        <f t="shared" si="37"/>
        <v>400</v>
      </c>
      <c r="BW23" s="6">
        <f t="shared" si="38"/>
        <v>797900</v>
      </c>
      <c r="BX23" s="6">
        <f t="shared" ref="BX23:BX26" si="250">AL23*100</f>
        <v>200</v>
      </c>
      <c r="BY23" s="6">
        <f t="shared" si="40"/>
        <v>0</v>
      </c>
      <c r="BZ23" s="6">
        <f t="shared" ref="BZ23:BZ24" si="251">AN23*100</f>
        <v>0</v>
      </c>
      <c r="CA23" s="6">
        <f t="shared" ref="CA23:CA24" si="252">AQ23*CB23</f>
        <v>0</v>
      </c>
      <c r="CB23" s="6">
        <f t="shared" ref="CB23:CB24" si="253">AP23*100</f>
        <v>0</v>
      </c>
      <c r="CC23" s="6">
        <f t="shared" ref="CC23:CC24" si="254">AG23*CD23</f>
        <v>373120</v>
      </c>
      <c r="CD23" s="6">
        <f t="shared" ref="CD23:CD24" si="255">IF(F23="VAR",110,0)</f>
        <v>110</v>
      </c>
      <c r="CE23" s="6">
        <f t="shared" ref="CE23:CE24" si="256">CF23*AH23</f>
        <v>0</v>
      </c>
      <c r="CF23" s="6">
        <f t="shared" ref="CF23:CF24" si="257">IF(G23="VAR",64,0)</f>
        <v>0</v>
      </c>
      <c r="CG23" s="6">
        <f t="shared" ref="CG23:CG24" si="258">AI23*CH23</f>
        <v>641025</v>
      </c>
      <c r="CH23" s="6">
        <f t="shared" ref="CH23:CH24" si="259">M23*75</f>
        <v>75</v>
      </c>
      <c r="CI23" s="6">
        <v>-101</v>
      </c>
      <c r="CJ23" s="6">
        <v>301</v>
      </c>
      <c r="CK23" s="6">
        <f t="shared" ref="CK23:CK24" si="260">CI23+CJ23</f>
        <v>200</v>
      </c>
      <c r="CL23" s="6">
        <v>-151</v>
      </c>
      <c r="CM23" s="6">
        <v>451</v>
      </c>
      <c r="CN23" s="6">
        <f t="shared" ref="CN23:CN24" si="261">CL23+CM23</f>
        <v>300</v>
      </c>
      <c r="CO23" s="10">
        <f t="shared" si="52"/>
        <v>2093.336811594203</v>
      </c>
      <c r="CP23" s="10">
        <f t="shared" si="53"/>
        <v>2853.663188405797</v>
      </c>
      <c r="CQ23" s="10">
        <f t="shared" si="142"/>
        <v>4947</v>
      </c>
      <c r="CR23" s="10">
        <f t="shared" si="54"/>
        <v>6673.7886956521743</v>
      </c>
      <c r="CS23" s="10">
        <f t="shared" si="55"/>
        <v>12003.211304347826</v>
      </c>
      <c r="CT23" s="10">
        <f t="shared" si="56"/>
        <v>18677</v>
      </c>
      <c r="CU23" s="11" t="str">
        <f t="shared" si="57"/>
        <v>N/OK</v>
      </c>
      <c r="CV23" s="11" t="str">
        <f t="shared" si="58"/>
        <v>N/OK</v>
      </c>
      <c r="CW23" s="11" t="str">
        <f t="shared" si="59"/>
        <v>N/OK</v>
      </c>
      <c r="CX23" s="11" t="str">
        <f t="shared" si="60"/>
        <v>N/OK</v>
      </c>
      <c r="CY23" s="11" t="str">
        <f t="shared" si="61"/>
        <v>OK</v>
      </c>
      <c r="CZ23" s="10">
        <f t="shared" si="62"/>
        <v>6629.7886956521743</v>
      </c>
      <c r="DA23" s="10">
        <f t="shared" si="63"/>
        <v>11915.211304347826</v>
      </c>
      <c r="DB23" s="10">
        <f t="shared" si="64"/>
        <v>18545</v>
      </c>
      <c r="DC23" s="11" t="str">
        <f t="shared" si="65"/>
        <v>N/OK</v>
      </c>
      <c r="DD23" s="11" t="str">
        <f t="shared" si="65"/>
        <v>N/OK</v>
      </c>
      <c r="DE23" s="11" t="str">
        <f t="shared" si="66"/>
        <v>N/OK</v>
      </c>
      <c r="DF23" s="11" t="str">
        <f t="shared" si="67"/>
        <v>OK</v>
      </c>
      <c r="DG23" s="11" t="str">
        <f t="shared" si="68"/>
        <v>OK</v>
      </c>
      <c r="DH23" s="10">
        <f t="shared" si="69"/>
        <v>6572.7886956521743</v>
      </c>
      <c r="DI23" s="10">
        <f t="shared" si="70"/>
        <v>12304.211304347826</v>
      </c>
      <c r="DJ23" s="10">
        <f t="shared" si="71"/>
        <v>18877</v>
      </c>
      <c r="DK23" s="11" t="str">
        <f t="shared" si="72"/>
        <v>N/OK</v>
      </c>
      <c r="DL23" s="11" t="str">
        <f t="shared" si="73"/>
        <v>N/OK</v>
      </c>
      <c r="DM23" s="11" t="str">
        <f t="shared" si="74"/>
        <v>N/OK</v>
      </c>
      <c r="DN23" s="11" t="str">
        <f t="shared" si="75"/>
        <v>N/OK</v>
      </c>
      <c r="DO23" s="11" t="str">
        <f t="shared" si="76"/>
        <v>N/OK</v>
      </c>
      <c r="DP23" s="10">
        <f t="shared" si="77"/>
        <v>6528.7886956521743</v>
      </c>
      <c r="DQ23" s="10">
        <f t="shared" si="78"/>
        <v>12216.211304347826</v>
      </c>
      <c r="DR23" s="10">
        <f t="shared" si="79"/>
        <v>18745</v>
      </c>
      <c r="DS23" s="11" t="str">
        <f t="shared" si="80"/>
        <v>N/OK</v>
      </c>
      <c r="DT23" s="11" t="str">
        <f t="shared" si="81"/>
        <v>N/OK</v>
      </c>
      <c r="DU23" s="11" t="str">
        <f t="shared" si="82"/>
        <v>N/OK</v>
      </c>
      <c r="DV23" s="11" t="str">
        <f t="shared" si="83"/>
        <v>N/OK</v>
      </c>
      <c r="DW23" s="11" t="str">
        <f t="shared" si="84"/>
        <v>OK</v>
      </c>
      <c r="DX23" s="10">
        <f t="shared" si="85"/>
        <v>6522.7886956521743</v>
      </c>
      <c r="DY23" s="10">
        <f t="shared" si="86"/>
        <v>12667.211304347826</v>
      </c>
      <c r="DZ23" s="10">
        <f t="shared" si="87"/>
        <v>19190</v>
      </c>
      <c r="EA23" s="11" t="str">
        <f t="shared" si="88"/>
        <v>N/OK</v>
      </c>
      <c r="EB23" s="11" t="str">
        <f t="shared" si="89"/>
        <v>N/OK</v>
      </c>
      <c r="EC23" s="11" t="str">
        <f t="shared" si="90"/>
        <v>N/OK</v>
      </c>
      <c r="ED23" s="11" t="str">
        <f t="shared" si="91"/>
        <v>N/OK</v>
      </c>
      <c r="EE23" s="11" t="str">
        <f t="shared" si="92"/>
        <v>N/OK</v>
      </c>
      <c r="EF23" s="10">
        <f t="shared" si="93"/>
        <v>6478.7886956521743</v>
      </c>
      <c r="EG23" s="10">
        <f t="shared" si="94"/>
        <v>12579.211304347826</v>
      </c>
      <c r="EH23" s="10">
        <f t="shared" si="95"/>
        <v>19058</v>
      </c>
      <c r="EI23" s="11" t="str">
        <f t="shared" si="96"/>
        <v>N/OK</v>
      </c>
      <c r="EJ23" s="11" t="str">
        <f t="shared" si="97"/>
        <v>N/OK</v>
      </c>
      <c r="EK23" s="11" t="str">
        <f t="shared" si="98"/>
        <v>N/OK</v>
      </c>
      <c r="EL23" s="11" t="str">
        <f t="shared" si="99"/>
        <v>N/OK</v>
      </c>
      <c r="EM23" s="11" t="str">
        <f t="shared" si="100"/>
        <v>N/OK</v>
      </c>
    </row>
    <row r="24" spans="1:143" s="17" customFormat="1" ht="14.4" hidden="1" x14ac:dyDescent="0.3">
      <c r="A24" s="34" t="s">
        <v>114</v>
      </c>
      <c r="B24" s="12" t="s">
        <v>22</v>
      </c>
      <c r="C24" s="12">
        <v>13</v>
      </c>
      <c r="D24" s="31">
        <v>2192</v>
      </c>
      <c r="E24" s="8" t="str">
        <f t="shared" si="0"/>
        <v>61+1+1</v>
      </c>
      <c r="F24" s="31" t="s">
        <v>19</v>
      </c>
      <c r="G24" s="31" t="s">
        <v>19</v>
      </c>
      <c r="H24" s="8">
        <f t="shared" si="101"/>
        <v>6</v>
      </c>
      <c r="I24" s="12" t="s">
        <v>19</v>
      </c>
      <c r="J24" s="12">
        <v>0</v>
      </c>
      <c r="K24" s="12" t="str">
        <f t="shared" si="223"/>
        <v>III</v>
      </c>
      <c r="L24" s="12">
        <v>0</v>
      </c>
      <c r="M24" s="12">
        <v>1</v>
      </c>
      <c r="N24" s="31">
        <v>5</v>
      </c>
      <c r="O24" s="31">
        <v>-2857</v>
      </c>
      <c r="P24" s="31">
        <v>8</v>
      </c>
      <c r="Q24" s="31">
        <v>-1115</v>
      </c>
      <c r="R24" s="31">
        <v>22</v>
      </c>
      <c r="S24" s="31">
        <v>4065</v>
      </c>
      <c r="T24" s="31">
        <v>6</v>
      </c>
      <c r="U24" s="31">
        <v>-1379</v>
      </c>
      <c r="V24" s="31">
        <v>6</v>
      </c>
      <c r="W24" s="31">
        <v>816</v>
      </c>
      <c r="X24" s="31">
        <v>14</v>
      </c>
      <c r="Y24" s="31">
        <v>5613</v>
      </c>
      <c r="Z24" s="12">
        <v>0</v>
      </c>
      <c r="AA24" s="12">
        <v>0</v>
      </c>
      <c r="AB24" s="12">
        <v>0</v>
      </c>
      <c r="AC24" s="12">
        <v>0</v>
      </c>
      <c r="AD24" s="8">
        <f t="shared" si="224"/>
        <v>3115</v>
      </c>
      <c r="AE24" s="8" t="str">
        <f t="shared" si="225"/>
        <v>6 m^2</v>
      </c>
      <c r="AF24" s="8">
        <f t="shared" si="222"/>
        <v>61</v>
      </c>
      <c r="AG24" s="8">
        <f t="shared" si="226"/>
        <v>3392</v>
      </c>
      <c r="AH24" s="8">
        <f t="shared" si="227"/>
        <v>2166</v>
      </c>
      <c r="AI24" s="8">
        <f t="shared" si="228"/>
        <v>8547</v>
      </c>
      <c r="AJ24" s="12">
        <v>4</v>
      </c>
      <c r="AK24" s="8">
        <f>IF(C24=12,(AR24-700-1313/2),(AR24-700-1313/2))</f>
        <v>5543.5</v>
      </c>
      <c r="AL24" s="12">
        <v>2</v>
      </c>
      <c r="AM24" s="8">
        <f>IF(C24=12,(900+D24+((AR24-D24-700-1313-900)/2)),(900+D24+((AR24-D24-700-1313-900)/2)))</f>
        <v>3989.5</v>
      </c>
      <c r="AN24" s="12">
        <v>0</v>
      </c>
      <c r="AO24" s="8">
        <f t="shared" si="229"/>
        <v>2642</v>
      </c>
      <c r="AP24" s="12">
        <v>0</v>
      </c>
      <c r="AQ24" s="8">
        <f t="shared" si="230"/>
        <v>1591</v>
      </c>
      <c r="AR24" s="14">
        <f t="shared" si="231"/>
        <v>6900</v>
      </c>
      <c r="AS24" s="14">
        <f t="shared" si="232"/>
        <v>4276</v>
      </c>
      <c r="AT24" s="14">
        <f t="shared" si="233"/>
        <v>8587</v>
      </c>
      <c r="AU24" s="14">
        <f t="shared" si="234"/>
        <v>12863</v>
      </c>
      <c r="AV24" s="14">
        <f t="shared" si="235"/>
        <v>4580.4518840579713</v>
      </c>
      <c r="AW24" s="14">
        <f t="shared" si="236"/>
        <v>9149.5481159420287</v>
      </c>
      <c r="AX24" s="14">
        <f t="shared" si="237"/>
        <v>13730</v>
      </c>
      <c r="AY24" s="7"/>
      <c r="AZ24" s="7"/>
      <c r="BA24" s="7"/>
      <c r="BB24" s="7"/>
      <c r="BC24" s="6">
        <f t="shared" si="18"/>
        <v>-1014235</v>
      </c>
      <c r="BD24" s="6">
        <f t="shared" si="238"/>
        <v>355</v>
      </c>
      <c r="BE24" s="6">
        <f t="shared" si="20"/>
        <v>-633320</v>
      </c>
      <c r="BF24" s="6">
        <f t="shared" si="239"/>
        <v>568</v>
      </c>
      <c r="BG24" s="6">
        <f t="shared" si="22"/>
        <v>6349530</v>
      </c>
      <c r="BH24" s="6">
        <f t="shared" si="240"/>
        <v>1562</v>
      </c>
      <c r="BI24" s="6">
        <f t="shared" si="24"/>
        <v>-587454</v>
      </c>
      <c r="BJ24" s="6">
        <f t="shared" si="241"/>
        <v>426</v>
      </c>
      <c r="BK24" s="6">
        <f t="shared" si="26"/>
        <v>347616</v>
      </c>
      <c r="BL24" s="6">
        <f t="shared" si="242"/>
        <v>426</v>
      </c>
      <c r="BM24" s="6">
        <f t="shared" si="28"/>
        <v>5579322</v>
      </c>
      <c r="BN24" s="6">
        <f t="shared" si="243"/>
        <v>994</v>
      </c>
      <c r="BO24" s="6">
        <f t="shared" si="244"/>
        <v>0</v>
      </c>
      <c r="BP24" s="6">
        <f t="shared" si="245"/>
        <v>0</v>
      </c>
      <c r="BQ24" s="6">
        <f t="shared" si="246"/>
        <v>0</v>
      </c>
      <c r="BR24" s="6">
        <f t="shared" si="247"/>
        <v>0</v>
      </c>
      <c r="BS24" s="6">
        <f t="shared" si="248"/>
        <v>0</v>
      </c>
      <c r="BT24" s="6">
        <f t="shared" si="249"/>
        <v>0</v>
      </c>
      <c r="BU24" s="6">
        <f t="shared" si="36"/>
        <v>2217400</v>
      </c>
      <c r="BV24" s="6">
        <f t="shared" si="37"/>
        <v>400</v>
      </c>
      <c r="BW24" s="6">
        <f t="shared" si="38"/>
        <v>797900</v>
      </c>
      <c r="BX24" s="6">
        <f t="shared" si="250"/>
        <v>200</v>
      </c>
      <c r="BY24" s="6">
        <f t="shared" si="40"/>
        <v>0</v>
      </c>
      <c r="BZ24" s="6">
        <f t="shared" si="251"/>
        <v>0</v>
      </c>
      <c r="CA24" s="6">
        <f t="shared" si="252"/>
        <v>0</v>
      </c>
      <c r="CB24" s="6">
        <f t="shared" si="253"/>
        <v>0</v>
      </c>
      <c r="CC24" s="6">
        <f t="shared" si="254"/>
        <v>0</v>
      </c>
      <c r="CD24" s="6">
        <f t="shared" si="255"/>
        <v>0</v>
      </c>
      <c r="CE24" s="6">
        <f t="shared" si="256"/>
        <v>0</v>
      </c>
      <c r="CF24" s="6">
        <f t="shared" si="257"/>
        <v>0</v>
      </c>
      <c r="CG24" s="6">
        <f t="shared" si="258"/>
        <v>641025</v>
      </c>
      <c r="CH24" s="6">
        <f t="shared" si="259"/>
        <v>75</v>
      </c>
      <c r="CI24" s="6">
        <v>-101</v>
      </c>
      <c r="CJ24" s="6">
        <v>301</v>
      </c>
      <c r="CK24" s="6">
        <f t="shared" si="260"/>
        <v>200</v>
      </c>
      <c r="CL24" s="6">
        <v>-151</v>
      </c>
      <c r="CM24" s="6">
        <v>451</v>
      </c>
      <c r="CN24" s="6">
        <f t="shared" si="261"/>
        <v>300</v>
      </c>
      <c r="CO24" s="10">
        <f t="shared" si="52"/>
        <v>1985.1860869565216</v>
      </c>
      <c r="CP24" s="10">
        <f t="shared" si="53"/>
        <v>2851.8139130434784</v>
      </c>
      <c r="CQ24" s="10">
        <f t="shared" si="142"/>
        <v>4837</v>
      </c>
      <c r="CR24" s="10">
        <f t="shared" si="54"/>
        <v>6565.6379710144929</v>
      </c>
      <c r="CS24" s="10">
        <f t="shared" si="55"/>
        <v>12001.362028985506</v>
      </c>
      <c r="CT24" s="10">
        <f t="shared" si="56"/>
        <v>18567</v>
      </c>
      <c r="CU24" s="11" t="str">
        <f t="shared" si="57"/>
        <v>N/OK</v>
      </c>
      <c r="CV24" s="11" t="str">
        <f t="shared" si="58"/>
        <v>N/OK</v>
      </c>
      <c r="CW24" s="11" t="str">
        <f t="shared" si="59"/>
        <v>N/OK</v>
      </c>
      <c r="CX24" s="11" t="str">
        <f t="shared" si="60"/>
        <v>N/OK</v>
      </c>
      <c r="CY24" s="11" t="str">
        <f t="shared" si="61"/>
        <v>OK</v>
      </c>
      <c r="CZ24" s="10">
        <f t="shared" si="62"/>
        <v>6521.6379710144929</v>
      </c>
      <c r="DA24" s="10">
        <f t="shared" si="63"/>
        <v>11913.362028985506</v>
      </c>
      <c r="DB24" s="10">
        <f t="shared" si="64"/>
        <v>18435</v>
      </c>
      <c r="DC24" s="11" t="str">
        <f t="shared" si="65"/>
        <v>N/OK</v>
      </c>
      <c r="DD24" s="11" t="str">
        <f t="shared" si="65"/>
        <v>N/OK</v>
      </c>
      <c r="DE24" s="11" t="str">
        <f t="shared" si="66"/>
        <v>N/OK</v>
      </c>
      <c r="DF24" s="11" t="str">
        <f t="shared" si="67"/>
        <v>OK</v>
      </c>
      <c r="DG24" s="11" t="str">
        <f t="shared" si="68"/>
        <v>OK</v>
      </c>
      <c r="DH24" s="10">
        <f t="shared" si="69"/>
        <v>6464.6379710144929</v>
      </c>
      <c r="DI24" s="10">
        <f t="shared" si="70"/>
        <v>12302.362028985506</v>
      </c>
      <c r="DJ24" s="10">
        <f t="shared" si="71"/>
        <v>18767</v>
      </c>
      <c r="DK24" s="11" t="str">
        <f t="shared" si="72"/>
        <v>N/OK</v>
      </c>
      <c r="DL24" s="11" t="str">
        <f t="shared" si="73"/>
        <v>N/OK</v>
      </c>
      <c r="DM24" s="11" t="str">
        <f t="shared" si="74"/>
        <v>N/OK</v>
      </c>
      <c r="DN24" s="11" t="str">
        <f t="shared" si="75"/>
        <v>N/OK</v>
      </c>
      <c r="DO24" s="11" t="str">
        <f t="shared" si="76"/>
        <v>N/OK</v>
      </c>
      <c r="DP24" s="10">
        <f t="shared" si="77"/>
        <v>6420.6379710144929</v>
      </c>
      <c r="DQ24" s="10">
        <f t="shared" si="78"/>
        <v>12214.362028985506</v>
      </c>
      <c r="DR24" s="10">
        <f t="shared" si="79"/>
        <v>18635</v>
      </c>
      <c r="DS24" s="11" t="str">
        <f t="shared" si="80"/>
        <v>N/OK</v>
      </c>
      <c r="DT24" s="11" t="str">
        <f t="shared" si="81"/>
        <v>N/OK</v>
      </c>
      <c r="DU24" s="11" t="str">
        <f t="shared" si="82"/>
        <v>N/OK</v>
      </c>
      <c r="DV24" s="11" t="str">
        <f t="shared" si="83"/>
        <v>N/OK</v>
      </c>
      <c r="DW24" s="11" t="str">
        <f t="shared" si="84"/>
        <v>OK</v>
      </c>
      <c r="DX24" s="10">
        <f t="shared" si="85"/>
        <v>6414.6379710144929</v>
      </c>
      <c r="DY24" s="10">
        <f t="shared" si="86"/>
        <v>12665.362028985506</v>
      </c>
      <c r="DZ24" s="10">
        <f t="shared" si="87"/>
        <v>19080</v>
      </c>
      <c r="EA24" s="11" t="str">
        <f t="shared" si="88"/>
        <v>N/OK</v>
      </c>
      <c r="EB24" s="11" t="str">
        <f t="shared" si="89"/>
        <v>N/OK</v>
      </c>
      <c r="EC24" s="11" t="str">
        <f t="shared" si="90"/>
        <v>N/OK</v>
      </c>
      <c r="ED24" s="11" t="str">
        <f t="shared" si="91"/>
        <v>N/OK</v>
      </c>
      <c r="EE24" s="11" t="str">
        <f t="shared" si="92"/>
        <v>N/OK</v>
      </c>
      <c r="EF24" s="10">
        <f t="shared" si="93"/>
        <v>6370.6379710144929</v>
      </c>
      <c r="EG24" s="10">
        <f t="shared" si="94"/>
        <v>12577.362028985506</v>
      </c>
      <c r="EH24" s="10">
        <f t="shared" si="95"/>
        <v>18948</v>
      </c>
      <c r="EI24" s="11" t="str">
        <f t="shared" si="96"/>
        <v>N/OK</v>
      </c>
      <c r="EJ24" s="11" t="str">
        <f t="shared" si="97"/>
        <v>N/OK</v>
      </c>
      <c r="EK24" s="11" t="str">
        <f t="shared" si="98"/>
        <v>N/OK</v>
      </c>
      <c r="EL24" s="11" t="str">
        <f t="shared" si="99"/>
        <v>N/OK</v>
      </c>
      <c r="EM24" s="11" t="str">
        <f t="shared" si="100"/>
        <v>N/OK</v>
      </c>
    </row>
    <row r="25" spans="1:143" s="17" customFormat="1" ht="14.4" hidden="1" x14ac:dyDescent="0.3">
      <c r="A25" s="34" t="s">
        <v>114</v>
      </c>
      <c r="B25" s="12" t="s">
        <v>22</v>
      </c>
      <c r="C25" s="12">
        <v>13</v>
      </c>
      <c r="D25" s="31">
        <v>2192</v>
      </c>
      <c r="E25" s="8" t="str">
        <f t="shared" si="0"/>
        <v>60+1+1</v>
      </c>
      <c r="F25" s="31" t="s">
        <v>113</v>
      </c>
      <c r="G25" s="31" t="s">
        <v>19</v>
      </c>
      <c r="H25" s="8">
        <f t="shared" si="101"/>
        <v>6</v>
      </c>
      <c r="I25" s="12" t="s">
        <v>19</v>
      </c>
      <c r="J25" s="12">
        <v>0</v>
      </c>
      <c r="K25" s="12" t="s">
        <v>115</v>
      </c>
      <c r="L25" s="12">
        <v>0</v>
      </c>
      <c r="M25" s="12">
        <v>1</v>
      </c>
      <c r="N25" s="31">
        <v>4</v>
      </c>
      <c r="O25" s="31">
        <v>-2857</v>
      </c>
      <c r="P25" s="31">
        <v>8</v>
      </c>
      <c r="Q25" s="31">
        <v>-1115</v>
      </c>
      <c r="R25" s="31">
        <v>22</v>
      </c>
      <c r="S25" s="31">
        <v>4065</v>
      </c>
      <c r="T25" s="31">
        <v>6</v>
      </c>
      <c r="U25" s="31">
        <v>-1379</v>
      </c>
      <c r="V25" s="31">
        <v>6</v>
      </c>
      <c r="W25" s="31">
        <v>816</v>
      </c>
      <c r="X25" s="31">
        <v>14</v>
      </c>
      <c r="Y25" s="31">
        <v>5613</v>
      </c>
      <c r="Z25" s="12">
        <v>0</v>
      </c>
      <c r="AA25" s="12">
        <v>0</v>
      </c>
      <c r="AB25" s="12">
        <v>0</v>
      </c>
      <c r="AC25" s="12">
        <v>0</v>
      </c>
      <c r="AD25" s="8">
        <v>3115</v>
      </c>
      <c r="AE25" s="8" t="s">
        <v>116</v>
      </c>
      <c r="AF25" s="8">
        <f t="shared" si="222"/>
        <v>60</v>
      </c>
      <c r="AG25" s="8">
        <v>3392</v>
      </c>
      <c r="AH25" s="8">
        <v>2166</v>
      </c>
      <c r="AI25" s="8">
        <v>8547</v>
      </c>
      <c r="AJ25" s="12">
        <v>4</v>
      </c>
      <c r="AK25" s="8">
        <v>5543.5</v>
      </c>
      <c r="AL25" s="12">
        <v>2</v>
      </c>
      <c r="AM25" s="8">
        <v>3989.5</v>
      </c>
      <c r="AN25" s="12">
        <v>0</v>
      </c>
      <c r="AO25" s="8">
        <v>2642</v>
      </c>
      <c r="AP25" s="12">
        <v>0</v>
      </c>
      <c r="AQ25" s="8">
        <v>1591</v>
      </c>
      <c r="AR25" s="14">
        <v>6900</v>
      </c>
      <c r="AS25" s="14">
        <v>4276</v>
      </c>
      <c r="AT25" s="14">
        <v>8587</v>
      </c>
      <c r="AU25" s="14">
        <v>12863</v>
      </c>
      <c r="AV25" s="14">
        <v>4580.4518840579713</v>
      </c>
      <c r="AW25" s="14">
        <v>9149.5481159420287</v>
      </c>
      <c r="AX25" s="14">
        <v>13730</v>
      </c>
      <c r="AY25" s="7"/>
      <c r="AZ25" s="7"/>
      <c r="BA25" s="7"/>
      <c r="BB25" s="7"/>
      <c r="BC25" s="6">
        <f t="shared" si="18"/>
        <v>-1014235</v>
      </c>
      <c r="BD25" s="6">
        <v>355</v>
      </c>
      <c r="BE25" s="6">
        <f t="shared" si="20"/>
        <v>-633320</v>
      </c>
      <c r="BF25" s="6">
        <v>568</v>
      </c>
      <c r="BG25" s="6">
        <f t="shared" si="22"/>
        <v>6349530</v>
      </c>
      <c r="BH25" s="6">
        <v>1562</v>
      </c>
      <c r="BI25" s="6">
        <f t="shared" si="24"/>
        <v>-587454</v>
      </c>
      <c r="BJ25" s="6">
        <v>426</v>
      </c>
      <c r="BK25" s="6">
        <f t="shared" si="26"/>
        <v>347616</v>
      </c>
      <c r="BL25" s="6">
        <v>426</v>
      </c>
      <c r="BM25" s="6">
        <f t="shared" si="28"/>
        <v>5579322</v>
      </c>
      <c r="BN25" s="6">
        <v>994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f t="shared" si="36"/>
        <v>2217400</v>
      </c>
      <c r="BV25" s="6">
        <f t="shared" si="37"/>
        <v>400</v>
      </c>
      <c r="BW25" s="6">
        <f t="shared" si="38"/>
        <v>797900</v>
      </c>
      <c r="BX25" s="6">
        <f t="shared" si="250"/>
        <v>200</v>
      </c>
      <c r="BY25" s="6">
        <f t="shared" si="40"/>
        <v>0</v>
      </c>
      <c r="BZ25" s="6">
        <v>0</v>
      </c>
      <c r="CA25" s="6">
        <v>0</v>
      </c>
      <c r="CB25" s="6">
        <v>0</v>
      </c>
      <c r="CC25" s="6">
        <v>373120</v>
      </c>
      <c r="CD25" s="6">
        <v>110</v>
      </c>
      <c r="CE25" s="6">
        <v>0</v>
      </c>
      <c r="CF25" s="6">
        <v>0</v>
      </c>
      <c r="CG25" s="6">
        <v>641025</v>
      </c>
      <c r="CH25" s="6">
        <v>75</v>
      </c>
      <c r="CI25" s="6">
        <v>-101</v>
      </c>
      <c r="CJ25" s="6">
        <v>301</v>
      </c>
      <c r="CK25" s="6">
        <v>200</v>
      </c>
      <c r="CL25" s="6">
        <v>-151</v>
      </c>
      <c r="CM25" s="6">
        <v>451</v>
      </c>
      <c r="CN25" s="6">
        <v>300</v>
      </c>
      <c r="CO25" s="10">
        <f t="shared" si="52"/>
        <v>2093.336811594203</v>
      </c>
      <c r="CP25" s="10">
        <f t="shared" si="53"/>
        <v>2853.663188405797</v>
      </c>
      <c r="CQ25" s="10">
        <f t="shared" si="142"/>
        <v>4947</v>
      </c>
      <c r="CR25" s="10">
        <f t="shared" si="54"/>
        <v>6673.7886956521743</v>
      </c>
      <c r="CS25" s="10">
        <f t="shared" si="55"/>
        <v>12003.211304347826</v>
      </c>
      <c r="CT25" s="10">
        <f t="shared" si="56"/>
        <v>18677</v>
      </c>
      <c r="CU25" s="11" t="str">
        <f t="shared" si="57"/>
        <v>N/OK</v>
      </c>
      <c r="CV25" s="11" t="str">
        <f t="shared" si="58"/>
        <v>N/OK</v>
      </c>
      <c r="CW25" s="11" t="str">
        <f t="shared" si="59"/>
        <v>N/OK</v>
      </c>
      <c r="CX25" s="11" t="str">
        <f t="shared" si="60"/>
        <v>N/OK</v>
      </c>
      <c r="CY25" s="11" t="str">
        <f t="shared" si="61"/>
        <v>OK</v>
      </c>
      <c r="CZ25" s="10">
        <f t="shared" si="62"/>
        <v>6629.7886956521743</v>
      </c>
      <c r="DA25" s="10">
        <f t="shared" si="63"/>
        <v>11915.211304347826</v>
      </c>
      <c r="DB25" s="10">
        <f t="shared" si="64"/>
        <v>18545</v>
      </c>
      <c r="DC25" s="11" t="str">
        <f t="shared" si="65"/>
        <v>N/OK</v>
      </c>
      <c r="DD25" s="11" t="str">
        <f t="shared" si="65"/>
        <v>N/OK</v>
      </c>
      <c r="DE25" s="11" t="str">
        <f t="shared" si="66"/>
        <v>N/OK</v>
      </c>
      <c r="DF25" s="11" t="str">
        <f t="shared" si="67"/>
        <v>OK</v>
      </c>
      <c r="DG25" s="11" t="str">
        <f t="shared" si="68"/>
        <v>OK</v>
      </c>
      <c r="DH25" s="10">
        <f t="shared" si="69"/>
        <v>6572.7886956521743</v>
      </c>
      <c r="DI25" s="10">
        <f t="shared" si="70"/>
        <v>12304.211304347826</v>
      </c>
      <c r="DJ25" s="10">
        <f t="shared" si="71"/>
        <v>18877</v>
      </c>
      <c r="DK25" s="11" t="str">
        <f t="shared" si="72"/>
        <v>N/OK</v>
      </c>
      <c r="DL25" s="11" t="str">
        <f t="shared" si="73"/>
        <v>N/OK</v>
      </c>
      <c r="DM25" s="11" t="str">
        <f t="shared" si="74"/>
        <v>N/OK</v>
      </c>
      <c r="DN25" s="11" t="str">
        <f t="shared" si="75"/>
        <v>N/OK</v>
      </c>
      <c r="DO25" s="11" t="str">
        <f t="shared" si="76"/>
        <v>N/OK</v>
      </c>
      <c r="DP25" s="10">
        <f t="shared" si="77"/>
        <v>6528.7886956521743</v>
      </c>
      <c r="DQ25" s="10">
        <f t="shared" si="78"/>
        <v>12216.211304347826</v>
      </c>
      <c r="DR25" s="10">
        <f t="shared" si="79"/>
        <v>18745</v>
      </c>
      <c r="DS25" s="11" t="str">
        <f t="shared" si="80"/>
        <v>N/OK</v>
      </c>
      <c r="DT25" s="11" t="str">
        <f t="shared" si="81"/>
        <v>N/OK</v>
      </c>
      <c r="DU25" s="11" t="str">
        <f t="shared" si="82"/>
        <v>N/OK</v>
      </c>
      <c r="DV25" s="11" t="str">
        <f t="shared" si="83"/>
        <v>N/OK</v>
      </c>
      <c r="DW25" s="11" t="str">
        <f t="shared" si="84"/>
        <v>OK</v>
      </c>
      <c r="DX25" s="10">
        <f t="shared" si="85"/>
        <v>6522.7886956521743</v>
      </c>
      <c r="DY25" s="10">
        <f t="shared" si="86"/>
        <v>12667.211304347826</v>
      </c>
      <c r="DZ25" s="10">
        <f t="shared" si="87"/>
        <v>19190</v>
      </c>
      <c r="EA25" s="11" t="str">
        <f t="shared" si="88"/>
        <v>N/OK</v>
      </c>
      <c r="EB25" s="11" t="str">
        <f t="shared" si="89"/>
        <v>N/OK</v>
      </c>
      <c r="EC25" s="11" t="str">
        <f t="shared" si="90"/>
        <v>N/OK</v>
      </c>
      <c r="ED25" s="11" t="str">
        <f t="shared" si="91"/>
        <v>N/OK</v>
      </c>
      <c r="EE25" s="11" t="str">
        <f t="shared" si="92"/>
        <v>N/OK</v>
      </c>
      <c r="EF25" s="10">
        <f t="shared" si="93"/>
        <v>6478.7886956521743</v>
      </c>
      <c r="EG25" s="10">
        <f t="shared" si="94"/>
        <v>12579.211304347826</v>
      </c>
      <c r="EH25" s="10">
        <f t="shared" si="95"/>
        <v>19058</v>
      </c>
      <c r="EI25" s="11" t="str">
        <f t="shared" si="96"/>
        <v>N/OK</v>
      </c>
      <c r="EJ25" s="11" t="str">
        <f t="shared" si="97"/>
        <v>N/OK</v>
      </c>
      <c r="EK25" s="11" t="str">
        <f t="shared" si="98"/>
        <v>N/OK</v>
      </c>
      <c r="EL25" s="11" t="str">
        <f t="shared" si="99"/>
        <v>N/OK</v>
      </c>
      <c r="EM25" s="11" t="str">
        <f t="shared" si="100"/>
        <v>N/OK</v>
      </c>
    </row>
    <row r="26" spans="1:143" s="17" customFormat="1" ht="14.4" hidden="1" x14ac:dyDescent="0.3">
      <c r="A26" s="34" t="s">
        <v>114</v>
      </c>
      <c r="B26" s="12" t="s">
        <v>22</v>
      </c>
      <c r="C26" s="12">
        <v>13</v>
      </c>
      <c r="D26" s="31">
        <v>2192</v>
      </c>
      <c r="E26" s="8" t="str">
        <f t="shared" si="0"/>
        <v>60+1+1</v>
      </c>
      <c r="F26" s="31" t="s">
        <v>19</v>
      </c>
      <c r="G26" s="31" t="s">
        <v>19</v>
      </c>
      <c r="H26" s="8">
        <f t="shared" si="101"/>
        <v>6</v>
      </c>
      <c r="I26" s="12" t="s">
        <v>19</v>
      </c>
      <c r="J26" s="12">
        <v>0</v>
      </c>
      <c r="K26" s="12" t="s">
        <v>115</v>
      </c>
      <c r="L26" s="12">
        <v>0</v>
      </c>
      <c r="M26" s="12">
        <v>1</v>
      </c>
      <c r="N26" s="31">
        <v>4</v>
      </c>
      <c r="O26" s="31">
        <v>-2857</v>
      </c>
      <c r="P26" s="31">
        <v>8</v>
      </c>
      <c r="Q26" s="31">
        <v>-1115</v>
      </c>
      <c r="R26" s="31">
        <v>22</v>
      </c>
      <c r="S26" s="31">
        <v>4065</v>
      </c>
      <c r="T26" s="31">
        <v>6</v>
      </c>
      <c r="U26" s="31">
        <v>-1379</v>
      </c>
      <c r="V26" s="31">
        <v>6</v>
      </c>
      <c r="W26" s="31">
        <v>816</v>
      </c>
      <c r="X26" s="31">
        <v>14</v>
      </c>
      <c r="Y26" s="31">
        <v>5613</v>
      </c>
      <c r="Z26" s="12">
        <v>0</v>
      </c>
      <c r="AA26" s="12">
        <v>0</v>
      </c>
      <c r="AB26" s="12">
        <v>0</v>
      </c>
      <c r="AC26" s="12">
        <v>0</v>
      </c>
      <c r="AD26" s="8">
        <v>3115</v>
      </c>
      <c r="AE26" s="8" t="s">
        <v>116</v>
      </c>
      <c r="AF26" s="8">
        <f t="shared" si="222"/>
        <v>60</v>
      </c>
      <c r="AG26" s="8">
        <v>3392</v>
      </c>
      <c r="AH26" s="8">
        <v>2166</v>
      </c>
      <c r="AI26" s="8">
        <v>8547</v>
      </c>
      <c r="AJ26" s="12">
        <v>4</v>
      </c>
      <c r="AK26" s="8">
        <v>5543.5</v>
      </c>
      <c r="AL26" s="12">
        <v>2</v>
      </c>
      <c r="AM26" s="8">
        <v>3989.5</v>
      </c>
      <c r="AN26" s="12">
        <v>0</v>
      </c>
      <c r="AO26" s="8">
        <v>2642</v>
      </c>
      <c r="AP26" s="12">
        <v>0</v>
      </c>
      <c r="AQ26" s="8">
        <v>1591</v>
      </c>
      <c r="AR26" s="14">
        <v>6900</v>
      </c>
      <c r="AS26" s="14">
        <v>4276</v>
      </c>
      <c r="AT26" s="14">
        <v>8587</v>
      </c>
      <c r="AU26" s="14">
        <v>12863</v>
      </c>
      <c r="AV26" s="14">
        <v>4580.4518840579713</v>
      </c>
      <c r="AW26" s="14">
        <v>9149.5481159420287</v>
      </c>
      <c r="AX26" s="14">
        <v>13730</v>
      </c>
      <c r="AY26" s="7"/>
      <c r="AZ26" s="7"/>
      <c r="BA26" s="7"/>
      <c r="BB26" s="7"/>
      <c r="BC26" s="6">
        <f t="shared" si="18"/>
        <v>-1014235</v>
      </c>
      <c r="BD26" s="6">
        <v>355</v>
      </c>
      <c r="BE26" s="6">
        <f t="shared" si="20"/>
        <v>-633320</v>
      </c>
      <c r="BF26" s="6">
        <v>568</v>
      </c>
      <c r="BG26" s="6">
        <f t="shared" si="22"/>
        <v>6349530</v>
      </c>
      <c r="BH26" s="6">
        <v>1562</v>
      </c>
      <c r="BI26" s="6">
        <f t="shared" si="24"/>
        <v>-587454</v>
      </c>
      <c r="BJ26" s="6">
        <v>426</v>
      </c>
      <c r="BK26" s="6">
        <f t="shared" si="26"/>
        <v>347616</v>
      </c>
      <c r="BL26" s="6">
        <v>426</v>
      </c>
      <c r="BM26" s="6">
        <f t="shared" si="28"/>
        <v>5579322</v>
      </c>
      <c r="BN26" s="6">
        <v>994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f t="shared" si="36"/>
        <v>2217400</v>
      </c>
      <c r="BV26" s="6">
        <f t="shared" si="37"/>
        <v>400</v>
      </c>
      <c r="BW26" s="6">
        <f t="shared" si="38"/>
        <v>797900</v>
      </c>
      <c r="BX26" s="6">
        <f t="shared" si="250"/>
        <v>200</v>
      </c>
      <c r="BY26" s="6">
        <f t="shared" si="40"/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641025</v>
      </c>
      <c r="CH26" s="6">
        <v>75</v>
      </c>
      <c r="CI26" s="6">
        <v>-101</v>
      </c>
      <c r="CJ26" s="6">
        <v>301</v>
      </c>
      <c r="CK26" s="6">
        <v>200</v>
      </c>
      <c r="CL26" s="6">
        <v>-151</v>
      </c>
      <c r="CM26" s="6">
        <v>451</v>
      </c>
      <c r="CN26" s="6">
        <v>300</v>
      </c>
      <c r="CO26" s="10">
        <f t="shared" si="52"/>
        <v>1985.1860869565216</v>
      </c>
      <c r="CP26" s="10">
        <f t="shared" si="53"/>
        <v>2851.8139130434784</v>
      </c>
      <c r="CQ26" s="10">
        <f t="shared" si="142"/>
        <v>4837</v>
      </c>
      <c r="CR26" s="10">
        <f t="shared" si="54"/>
        <v>6565.6379710144929</v>
      </c>
      <c r="CS26" s="10">
        <f t="shared" si="55"/>
        <v>12001.362028985506</v>
      </c>
      <c r="CT26" s="10">
        <v>17967</v>
      </c>
      <c r="CU26" s="11" t="str">
        <f t="shared" si="57"/>
        <v>N/OK</v>
      </c>
      <c r="CV26" s="11" t="str">
        <f t="shared" si="58"/>
        <v>N/OK</v>
      </c>
      <c r="CW26" s="11" t="str">
        <f t="shared" si="59"/>
        <v>N/OK</v>
      </c>
      <c r="CX26" s="11" t="str">
        <f t="shared" si="60"/>
        <v>N/OK</v>
      </c>
      <c r="CY26" s="11" t="str">
        <f t="shared" si="61"/>
        <v>OK</v>
      </c>
      <c r="CZ26" s="10">
        <f t="shared" si="62"/>
        <v>6521.6379710144929</v>
      </c>
      <c r="DA26" s="10">
        <f t="shared" si="63"/>
        <v>11913.362028985506</v>
      </c>
      <c r="DB26" s="10">
        <f t="shared" si="64"/>
        <v>18435</v>
      </c>
      <c r="DC26" s="11" t="str">
        <f t="shared" si="65"/>
        <v>N/OK</v>
      </c>
      <c r="DD26" s="11" t="str">
        <f t="shared" si="65"/>
        <v>N/OK</v>
      </c>
      <c r="DE26" s="11" t="str">
        <f t="shared" si="66"/>
        <v>N/OK</v>
      </c>
      <c r="DF26" s="11" t="str">
        <f t="shared" si="67"/>
        <v>OK</v>
      </c>
      <c r="DG26" s="11" t="str">
        <f t="shared" si="68"/>
        <v>OK</v>
      </c>
      <c r="DH26" s="10">
        <f t="shared" si="69"/>
        <v>6464.6379710144929</v>
      </c>
      <c r="DI26" s="10">
        <f t="shared" si="70"/>
        <v>12302.362028985506</v>
      </c>
      <c r="DJ26" s="10">
        <f t="shared" si="71"/>
        <v>18767</v>
      </c>
      <c r="DK26" s="11" t="str">
        <f t="shared" si="72"/>
        <v>N/OK</v>
      </c>
      <c r="DL26" s="11" t="str">
        <f t="shared" si="73"/>
        <v>N/OK</v>
      </c>
      <c r="DM26" s="11" t="str">
        <f t="shared" si="74"/>
        <v>N/OK</v>
      </c>
      <c r="DN26" s="11" t="str">
        <f t="shared" si="75"/>
        <v>N/OK</v>
      </c>
      <c r="DO26" s="11" t="str">
        <f t="shared" si="76"/>
        <v>N/OK</v>
      </c>
      <c r="DP26" s="10">
        <f t="shared" si="77"/>
        <v>6420.6379710144929</v>
      </c>
      <c r="DQ26" s="10">
        <f t="shared" si="78"/>
        <v>12214.362028985506</v>
      </c>
      <c r="DR26" s="10">
        <f t="shared" si="79"/>
        <v>18635</v>
      </c>
      <c r="DS26" s="11" t="str">
        <f t="shared" si="80"/>
        <v>N/OK</v>
      </c>
      <c r="DT26" s="11" t="str">
        <f t="shared" si="81"/>
        <v>N/OK</v>
      </c>
      <c r="DU26" s="11" t="str">
        <f t="shared" si="82"/>
        <v>N/OK</v>
      </c>
      <c r="DV26" s="11" t="str">
        <f t="shared" si="83"/>
        <v>N/OK</v>
      </c>
      <c r="DW26" s="11" t="str">
        <f t="shared" si="84"/>
        <v>OK</v>
      </c>
      <c r="DX26" s="10">
        <f t="shared" si="85"/>
        <v>6414.6379710144929</v>
      </c>
      <c r="DY26" s="10">
        <f t="shared" si="86"/>
        <v>12665.362028985506</v>
      </c>
      <c r="DZ26" s="10">
        <f t="shared" si="87"/>
        <v>19080</v>
      </c>
      <c r="EA26" s="11" t="str">
        <f t="shared" si="88"/>
        <v>N/OK</v>
      </c>
      <c r="EB26" s="11" t="str">
        <f t="shared" si="89"/>
        <v>N/OK</v>
      </c>
      <c r="EC26" s="11" t="str">
        <f t="shared" si="90"/>
        <v>N/OK</v>
      </c>
      <c r="ED26" s="11" t="str">
        <f t="shared" si="91"/>
        <v>N/OK</v>
      </c>
      <c r="EE26" s="11" t="str">
        <f t="shared" si="92"/>
        <v>N/OK</v>
      </c>
      <c r="EF26" s="10">
        <f t="shared" si="93"/>
        <v>6370.6379710144929</v>
      </c>
      <c r="EG26" s="10">
        <f t="shared" si="94"/>
        <v>12577.362028985506</v>
      </c>
      <c r="EH26" s="10">
        <f t="shared" si="95"/>
        <v>18948</v>
      </c>
      <c r="EI26" s="11" t="str">
        <f t="shared" si="96"/>
        <v>N/OK</v>
      </c>
      <c r="EJ26" s="11" t="str">
        <f t="shared" si="97"/>
        <v>N/OK</v>
      </c>
      <c r="EK26" s="11" t="str">
        <f t="shared" si="98"/>
        <v>N/OK</v>
      </c>
      <c r="EL26" s="11" t="str">
        <f t="shared" si="99"/>
        <v>N/OK</v>
      </c>
      <c r="EM26" s="11" t="str">
        <f t="shared" si="100"/>
        <v>N/OK</v>
      </c>
    </row>
  </sheetData>
  <autoFilter ref="A10:EM26" xr:uid="{00000000-0009-0000-0000-000000000000}">
    <filterColumn colId="4">
      <filters>
        <filter val="61+1+1"/>
      </filters>
    </filterColumn>
    <filterColumn colId="5">
      <filters>
        <filter val="VAR"/>
      </filters>
    </filterColumn>
  </autoFilter>
  <mergeCells count="6">
    <mergeCell ref="CI8:CN8"/>
    <mergeCell ref="CR9:EM9"/>
    <mergeCell ref="A9:M9"/>
    <mergeCell ref="AR9:BA9"/>
    <mergeCell ref="BC9:CQ9"/>
    <mergeCell ref="N9:AQ9"/>
  </mergeCells>
  <conditionalFormatting sqref="CU11:CY26 DC11:DG26 DK11:DO26 DS11:DW26 EA11:EE26 EI11:EM26">
    <cfRule type="cellIs" dxfId="5" priority="143" operator="equal">
      <formula>$CH$4</formula>
    </cfRule>
  </conditionalFormatting>
  <conditionalFormatting sqref="CU11:CY26">
    <cfRule type="cellIs" dxfId="4" priority="144" operator="equal">
      <formula>$CG$4</formula>
    </cfRule>
  </conditionalFormatting>
  <conditionalFormatting sqref="CU12:CY26 DC12:DG26 DK12:DO26 DS12:DW26 EA12:EE26 EI12:EM26">
    <cfRule type="cellIs" dxfId="3" priority="2" operator="equal">
      <formula>$CH$4</formula>
    </cfRule>
    <cfRule type="cellIs" dxfId="2" priority="3" operator="equal">
      <formula>$CG$4</formula>
    </cfRule>
  </conditionalFormatting>
  <conditionalFormatting sqref="CY12:CY26">
    <cfRule type="cellIs" dxfId="1" priority="1" operator="equal">
      <formula>$CG$4</formula>
    </cfRule>
  </conditionalFormatting>
  <conditionalFormatting sqref="DC11:DG26 DK11:DO26 DS11:DW26 EA11:EE26 EI11:EM26">
    <cfRule type="cellIs" dxfId="0" priority="145" operator="equal">
      <formula>$CG$4</formula>
    </cfRule>
  </conditionalFormatting>
  <pageMargins left="0.70866141732283472" right="0.70866141732283472" top="0.74803149606299213" bottom="0.74803149606299213" header="0.31496062992125984" footer="0.31496062992125984"/>
  <pageSetup paperSize="9" scale="60" orientation="landscape" r:id="rId1"/>
  <colBreaks count="1" manualBreakCount="1">
    <brk id="43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MCOLAK</dc:creator>
  <cp:lastModifiedBy>Oğuz Özçelik</cp:lastModifiedBy>
  <cp:lastPrinted>2018-10-03T06:31:49Z</cp:lastPrinted>
  <dcterms:created xsi:type="dcterms:W3CDTF">2017-01-24T07:17:51Z</dcterms:created>
  <dcterms:modified xsi:type="dcterms:W3CDTF">2024-10-21T08:08:24Z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8fea50-c8fd-43f9-9978-40ba5e133c22_Enabled">
    <vt:lpwstr>true</vt:lpwstr>
  </property>
  <property fmtid="{D5CDD505-2E9C-101B-9397-08002B2CF9AE}" pid="3" name="MSIP_Label_268fea50-c8fd-43f9-9978-40ba5e133c22_SetDate">
    <vt:lpwstr>2024-10-21T08:08:24Z</vt:lpwstr>
  </property>
  <property fmtid="{D5CDD505-2E9C-101B-9397-08002B2CF9AE}" pid="4" name="MSIP_Label_268fea50-c8fd-43f9-9978-40ba5e133c22_Method">
    <vt:lpwstr>Standard</vt:lpwstr>
  </property>
  <property fmtid="{D5CDD505-2E9C-101B-9397-08002B2CF9AE}" pid="5" name="MSIP_Label_268fea50-c8fd-43f9-9978-40ba5e133c22_Name">
    <vt:lpwstr>Şirket İçi</vt:lpwstr>
  </property>
  <property fmtid="{D5CDD505-2E9C-101B-9397-08002B2CF9AE}" pid="6" name="MSIP_Label_268fea50-c8fd-43f9-9978-40ba5e133c22_SiteId">
    <vt:lpwstr>5dce36ea-c335-4633-953e-d88d0a57bbaf</vt:lpwstr>
  </property>
  <property fmtid="{D5CDD505-2E9C-101B-9397-08002B2CF9AE}" pid="7" name="MSIP_Label_268fea50-c8fd-43f9-9978-40ba5e133c22_ActionId">
    <vt:lpwstr>d3f162d9-1669-4bda-92d2-c8e9ffa3dd2a</vt:lpwstr>
  </property>
  <property fmtid="{D5CDD505-2E9C-101B-9397-08002B2CF9AE}" pid="8" name="MSIP_Label_268fea50-c8fd-43f9-9978-40ba5e133c22_ContentBits">
    <vt:lpwstr>0</vt:lpwstr>
  </property>
</Properties>
</file>