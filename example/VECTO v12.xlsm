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\\nstg\Vecto\"/>
    </mc:Choice>
  </mc:AlternateContent>
  <bookViews>
    <workbookView xWindow="0" yWindow="0" windowWidth="28800" windowHeight="11772" tabRatio="759" activeTab="1"/>
  </bookViews>
  <sheets>
    <sheet name="Configuration List" sheetId="1" r:id="rId1"/>
    <sheet name="VECTO Code Generator" sheetId="3" r:id="rId2"/>
    <sheet name="Component List" sheetId="4" r:id="rId3"/>
    <sheet name="Code Corroboration" sheetId="5" r:id="rId4"/>
    <sheet name="Reversed C. List" sheetId="6" r:id="rId5"/>
    <sheet name="Variant List" sheetId="8" r:id="rId6"/>
  </sheet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hicle Model" name="Vehicle Model" connection="Bağlantı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3" l="1"/>
  <c r="B9" i="3"/>
  <c r="D5" i="5"/>
  <c r="A5" i="5" l="1"/>
  <c r="A6" i="5" s="1"/>
  <c r="F12" i="5" s="1"/>
  <c r="B5" i="5" l="1"/>
  <c r="B6" i="5" s="1"/>
  <c r="G12" i="5" s="1"/>
  <c r="B2" i="5"/>
  <c r="C5" i="5" l="1"/>
  <c r="C6" i="5" s="1"/>
  <c r="H12" i="5" s="1"/>
  <c r="F2" i="5" l="1"/>
  <c r="F4" i="3"/>
  <c r="A7" i="3"/>
  <c r="A9" i="3" l="1"/>
  <c r="D7" i="3" l="1"/>
  <c r="C7" i="3"/>
  <c r="B7" i="3"/>
  <c r="F7" i="3"/>
  <c r="E7" i="3"/>
  <c r="Q366" i="8"/>
  <c r="R366" i="8"/>
  <c r="S366" i="8"/>
  <c r="T366" i="8"/>
  <c r="U366" i="8"/>
  <c r="V366" i="8"/>
  <c r="W366" i="8"/>
  <c r="X366" i="8"/>
  <c r="Y366" i="8"/>
  <c r="Z366" i="8"/>
  <c r="AA366" i="8"/>
  <c r="AB366" i="8"/>
  <c r="AC366" i="8"/>
  <c r="AD366" i="8"/>
  <c r="Q367" i="8"/>
  <c r="R367" i="8"/>
  <c r="S367" i="8"/>
  <c r="T367" i="8"/>
  <c r="U367" i="8"/>
  <c r="V367" i="8"/>
  <c r="W367" i="8"/>
  <c r="X367" i="8"/>
  <c r="Y367" i="8"/>
  <c r="Z367" i="8"/>
  <c r="AA367" i="8"/>
  <c r="AB367" i="8"/>
  <c r="AC367" i="8"/>
  <c r="AD367" i="8"/>
  <c r="Q368" i="8"/>
  <c r="R368" i="8"/>
  <c r="S368" i="8"/>
  <c r="T368" i="8"/>
  <c r="U368" i="8"/>
  <c r="V368" i="8"/>
  <c r="W368" i="8"/>
  <c r="X368" i="8"/>
  <c r="Y368" i="8"/>
  <c r="Z368" i="8"/>
  <c r="AA368" i="8"/>
  <c r="AB368" i="8"/>
  <c r="AC368" i="8"/>
  <c r="AD368" i="8"/>
  <c r="Q369" i="8"/>
  <c r="R369" i="8"/>
  <c r="S369" i="8"/>
  <c r="T369" i="8"/>
  <c r="U369" i="8"/>
  <c r="V369" i="8"/>
  <c r="W369" i="8"/>
  <c r="X369" i="8"/>
  <c r="Y369" i="8"/>
  <c r="Z369" i="8"/>
  <c r="AA369" i="8"/>
  <c r="AB369" i="8"/>
  <c r="AC369" i="8"/>
  <c r="AD369" i="8"/>
  <c r="Q370" i="8"/>
  <c r="R370" i="8"/>
  <c r="S370" i="8"/>
  <c r="T370" i="8"/>
  <c r="U370" i="8"/>
  <c r="V370" i="8"/>
  <c r="W370" i="8"/>
  <c r="X370" i="8"/>
  <c r="Y370" i="8"/>
  <c r="Z370" i="8"/>
  <c r="AA370" i="8"/>
  <c r="AB370" i="8"/>
  <c r="AC370" i="8"/>
  <c r="AD370" i="8"/>
  <c r="Q371" i="8"/>
  <c r="R371" i="8"/>
  <c r="S371" i="8"/>
  <c r="T371" i="8"/>
  <c r="U371" i="8"/>
  <c r="V371" i="8"/>
  <c r="W371" i="8"/>
  <c r="X371" i="8"/>
  <c r="Y371" i="8"/>
  <c r="Z371" i="8"/>
  <c r="AA371" i="8"/>
  <c r="AB371" i="8"/>
  <c r="AC371" i="8"/>
  <c r="AD371" i="8"/>
  <c r="Q341" i="8"/>
  <c r="R341" i="8"/>
  <c r="S341" i="8"/>
  <c r="T341" i="8"/>
  <c r="U341" i="8"/>
  <c r="V341" i="8"/>
  <c r="W341" i="8"/>
  <c r="X341" i="8"/>
  <c r="Y341" i="8"/>
  <c r="Z341" i="8"/>
  <c r="AA341" i="8"/>
  <c r="AB341" i="8"/>
  <c r="AC341" i="8"/>
  <c r="Q342" i="8"/>
  <c r="R342" i="8"/>
  <c r="S342" i="8"/>
  <c r="T342" i="8"/>
  <c r="U342" i="8"/>
  <c r="V342" i="8"/>
  <c r="W342" i="8"/>
  <c r="X342" i="8"/>
  <c r="Y342" i="8"/>
  <c r="Z342" i="8"/>
  <c r="AA342" i="8"/>
  <c r="AB342" i="8"/>
  <c r="AC342" i="8"/>
  <c r="Q343" i="8"/>
  <c r="R343" i="8"/>
  <c r="S343" i="8"/>
  <c r="T343" i="8"/>
  <c r="U343" i="8"/>
  <c r="V343" i="8"/>
  <c r="W343" i="8"/>
  <c r="X343" i="8"/>
  <c r="Y343" i="8"/>
  <c r="Z343" i="8"/>
  <c r="AA343" i="8"/>
  <c r="AB343" i="8"/>
  <c r="AC343" i="8"/>
  <c r="Q344" i="8"/>
  <c r="R344" i="8"/>
  <c r="S344" i="8"/>
  <c r="T344" i="8"/>
  <c r="U344" i="8"/>
  <c r="V344" i="8"/>
  <c r="W344" i="8"/>
  <c r="X344" i="8"/>
  <c r="Y344" i="8"/>
  <c r="Z344" i="8"/>
  <c r="AA344" i="8"/>
  <c r="AB344" i="8"/>
  <c r="AC344" i="8"/>
  <c r="Q345" i="8"/>
  <c r="R345" i="8"/>
  <c r="S345" i="8"/>
  <c r="T345" i="8"/>
  <c r="U345" i="8"/>
  <c r="V345" i="8"/>
  <c r="W345" i="8"/>
  <c r="X345" i="8"/>
  <c r="Y345" i="8"/>
  <c r="Z345" i="8"/>
  <c r="AA345" i="8"/>
  <c r="AB345" i="8"/>
  <c r="AC345" i="8"/>
  <c r="Q346" i="8"/>
  <c r="R346" i="8"/>
  <c r="S346" i="8"/>
  <c r="T346" i="8"/>
  <c r="U346" i="8"/>
  <c r="V346" i="8"/>
  <c r="W346" i="8"/>
  <c r="X346" i="8"/>
  <c r="Y346" i="8"/>
  <c r="Z346" i="8"/>
  <c r="AA346" i="8"/>
  <c r="AB346" i="8"/>
  <c r="AC346" i="8"/>
  <c r="Q347" i="8"/>
  <c r="R347" i="8"/>
  <c r="S347" i="8"/>
  <c r="T347" i="8"/>
  <c r="U347" i="8"/>
  <c r="V347" i="8"/>
  <c r="W347" i="8"/>
  <c r="X347" i="8"/>
  <c r="Y347" i="8"/>
  <c r="Z347" i="8"/>
  <c r="AA347" i="8"/>
  <c r="AB347" i="8"/>
  <c r="AC347" i="8"/>
  <c r="Q348" i="8"/>
  <c r="R348" i="8"/>
  <c r="S348" i="8"/>
  <c r="T348" i="8"/>
  <c r="U348" i="8"/>
  <c r="V348" i="8"/>
  <c r="W348" i="8"/>
  <c r="X348" i="8"/>
  <c r="Y348" i="8"/>
  <c r="Z348" i="8"/>
  <c r="AA348" i="8"/>
  <c r="AB348" i="8"/>
  <c r="AC348" i="8"/>
  <c r="Q349" i="8"/>
  <c r="R349" i="8"/>
  <c r="S349" i="8"/>
  <c r="T349" i="8"/>
  <c r="U349" i="8"/>
  <c r="V349" i="8"/>
  <c r="W349" i="8"/>
  <c r="X349" i="8"/>
  <c r="Y349" i="8"/>
  <c r="Z349" i="8"/>
  <c r="AA349" i="8"/>
  <c r="AB349" i="8"/>
  <c r="AC349" i="8"/>
  <c r="Q350" i="8"/>
  <c r="R350" i="8"/>
  <c r="S350" i="8"/>
  <c r="T350" i="8"/>
  <c r="U350" i="8"/>
  <c r="V350" i="8"/>
  <c r="W350" i="8"/>
  <c r="X350" i="8"/>
  <c r="Y350" i="8"/>
  <c r="Z350" i="8"/>
  <c r="AA350" i="8"/>
  <c r="AB350" i="8"/>
  <c r="AC350" i="8"/>
  <c r="Q351" i="8"/>
  <c r="R351" i="8"/>
  <c r="S351" i="8"/>
  <c r="T351" i="8"/>
  <c r="U351" i="8"/>
  <c r="V351" i="8"/>
  <c r="W351" i="8"/>
  <c r="X351" i="8"/>
  <c r="Y351" i="8"/>
  <c r="Z351" i="8"/>
  <c r="AA351" i="8"/>
  <c r="AB351" i="8"/>
  <c r="AC351" i="8"/>
  <c r="Q352" i="8"/>
  <c r="R352" i="8"/>
  <c r="S352" i="8"/>
  <c r="T352" i="8"/>
  <c r="U352" i="8"/>
  <c r="V352" i="8"/>
  <c r="W352" i="8"/>
  <c r="X352" i="8"/>
  <c r="Y352" i="8"/>
  <c r="Z352" i="8"/>
  <c r="AA352" i="8"/>
  <c r="AB352" i="8"/>
  <c r="AC352" i="8"/>
  <c r="Q353" i="8"/>
  <c r="R353" i="8"/>
  <c r="S353" i="8"/>
  <c r="T353" i="8"/>
  <c r="U353" i="8"/>
  <c r="V353" i="8"/>
  <c r="W353" i="8"/>
  <c r="X353" i="8"/>
  <c r="Y353" i="8"/>
  <c r="Z353" i="8"/>
  <c r="AA353" i="8"/>
  <c r="AB353" i="8"/>
  <c r="AC353" i="8"/>
  <c r="Q354" i="8"/>
  <c r="R354" i="8"/>
  <c r="S354" i="8"/>
  <c r="T354" i="8"/>
  <c r="U354" i="8"/>
  <c r="V354" i="8"/>
  <c r="W354" i="8"/>
  <c r="X354" i="8"/>
  <c r="Y354" i="8"/>
  <c r="Z354" i="8"/>
  <c r="AA354" i="8"/>
  <c r="AB354" i="8"/>
  <c r="AC354" i="8"/>
  <c r="Q355" i="8"/>
  <c r="R355" i="8"/>
  <c r="S355" i="8"/>
  <c r="T355" i="8"/>
  <c r="U355" i="8"/>
  <c r="V355" i="8"/>
  <c r="W355" i="8"/>
  <c r="X355" i="8"/>
  <c r="Y355" i="8"/>
  <c r="Z355" i="8"/>
  <c r="AA355" i="8"/>
  <c r="AB355" i="8"/>
  <c r="AC355" i="8"/>
  <c r="Q356" i="8"/>
  <c r="R356" i="8"/>
  <c r="S356" i="8"/>
  <c r="T356" i="8"/>
  <c r="U356" i="8"/>
  <c r="V356" i="8"/>
  <c r="W356" i="8"/>
  <c r="X356" i="8"/>
  <c r="Y356" i="8"/>
  <c r="Z356" i="8"/>
  <c r="AA356" i="8"/>
  <c r="AB356" i="8"/>
  <c r="AC356" i="8"/>
  <c r="Q357" i="8"/>
  <c r="R357" i="8"/>
  <c r="S357" i="8"/>
  <c r="T357" i="8"/>
  <c r="U357" i="8"/>
  <c r="V357" i="8"/>
  <c r="W357" i="8"/>
  <c r="X357" i="8"/>
  <c r="Y357" i="8"/>
  <c r="Z357" i="8"/>
  <c r="AA357" i="8"/>
  <c r="AB357" i="8"/>
  <c r="AC357" i="8"/>
  <c r="Q358" i="8"/>
  <c r="R358" i="8"/>
  <c r="S358" i="8"/>
  <c r="T358" i="8"/>
  <c r="U358" i="8"/>
  <c r="V358" i="8"/>
  <c r="W358" i="8"/>
  <c r="X358" i="8"/>
  <c r="Y358" i="8"/>
  <c r="Z358" i="8"/>
  <c r="AA358" i="8"/>
  <c r="AB358" i="8"/>
  <c r="AC358" i="8"/>
  <c r="Q359" i="8"/>
  <c r="R359" i="8"/>
  <c r="S359" i="8"/>
  <c r="T359" i="8"/>
  <c r="U359" i="8"/>
  <c r="V359" i="8"/>
  <c r="W359" i="8"/>
  <c r="X359" i="8"/>
  <c r="Y359" i="8"/>
  <c r="Z359" i="8"/>
  <c r="AA359" i="8"/>
  <c r="AB359" i="8"/>
  <c r="AC359" i="8"/>
  <c r="Q360" i="8"/>
  <c r="R360" i="8"/>
  <c r="S360" i="8"/>
  <c r="T360" i="8"/>
  <c r="U360" i="8"/>
  <c r="V360" i="8"/>
  <c r="W360" i="8"/>
  <c r="X360" i="8"/>
  <c r="Y360" i="8"/>
  <c r="Z360" i="8"/>
  <c r="AA360" i="8"/>
  <c r="AB360" i="8"/>
  <c r="AC360" i="8"/>
  <c r="Q361" i="8"/>
  <c r="R361" i="8"/>
  <c r="S361" i="8"/>
  <c r="T361" i="8"/>
  <c r="U361" i="8"/>
  <c r="V361" i="8"/>
  <c r="W361" i="8"/>
  <c r="X361" i="8"/>
  <c r="Y361" i="8"/>
  <c r="Z361" i="8"/>
  <c r="AA361" i="8"/>
  <c r="AB361" i="8"/>
  <c r="AC361" i="8"/>
  <c r="Q362" i="8"/>
  <c r="R362" i="8"/>
  <c r="S362" i="8"/>
  <c r="T362" i="8"/>
  <c r="U362" i="8"/>
  <c r="V362" i="8"/>
  <c r="W362" i="8"/>
  <c r="X362" i="8"/>
  <c r="Y362" i="8"/>
  <c r="Z362" i="8"/>
  <c r="AA362" i="8"/>
  <c r="AB362" i="8"/>
  <c r="AC362" i="8"/>
  <c r="Q363" i="8"/>
  <c r="R363" i="8"/>
  <c r="S363" i="8"/>
  <c r="T363" i="8"/>
  <c r="U363" i="8"/>
  <c r="V363" i="8"/>
  <c r="W363" i="8"/>
  <c r="X363" i="8"/>
  <c r="Y363" i="8"/>
  <c r="Z363" i="8"/>
  <c r="AA363" i="8"/>
  <c r="AB363" i="8"/>
  <c r="AC363" i="8"/>
  <c r="Q364" i="8"/>
  <c r="R364" i="8"/>
  <c r="S364" i="8"/>
  <c r="T364" i="8"/>
  <c r="U364" i="8"/>
  <c r="V364" i="8"/>
  <c r="W364" i="8"/>
  <c r="X364" i="8"/>
  <c r="Y364" i="8"/>
  <c r="Z364" i="8"/>
  <c r="AA364" i="8"/>
  <c r="AB364" i="8"/>
  <c r="AC364" i="8"/>
  <c r="Q365" i="8"/>
  <c r="R365" i="8"/>
  <c r="S365" i="8"/>
  <c r="T365" i="8"/>
  <c r="U365" i="8"/>
  <c r="V365" i="8"/>
  <c r="W365" i="8"/>
  <c r="X365" i="8"/>
  <c r="Y365" i="8"/>
  <c r="Z365" i="8"/>
  <c r="AA365" i="8"/>
  <c r="AB365" i="8"/>
  <c r="AC365" i="8"/>
  <c r="Q310" i="8"/>
  <c r="R310" i="8"/>
  <c r="S310" i="8"/>
  <c r="T310" i="8"/>
  <c r="U310" i="8"/>
  <c r="V310" i="8"/>
  <c r="W310" i="8"/>
  <c r="X310" i="8"/>
  <c r="Y310" i="8"/>
  <c r="Z310" i="8"/>
  <c r="AA310" i="8"/>
  <c r="AB310" i="8"/>
  <c r="AC310" i="8"/>
  <c r="AD310" i="8"/>
  <c r="Q311" i="8"/>
  <c r="R311" i="8"/>
  <c r="S311" i="8"/>
  <c r="T311" i="8"/>
  <c r="U311" i="8"/>
  <c r="V311" i="8"/>
  <c r="W311" i="8"/>
  <c r="X311" i="8"/>
  <c r="Y311" i="8"/>
  <c r="Z311" i="8"/>
  <c r="AA311" i="8"/>
  <c r="AB311" i="8"/>
  <c r="AC311" i="8"/>
  <c r="AD311" i="8"/>
  <c r="Q312" i="8"/>
  <c r="R312" i="8"/>
  <c r="S312" i="8"/>
  <c r="T312" i="8"/>
  <c r="U312" i="8"/>
  <c r="V312" i="8"/>
  <c r="W312" i="8"/>
  <c r="X312" i="8"/>
  <c r="Y312" i="8"/>
  <c r="Z312" i="8"/>
  <c r="AA312" i="8"/>
  <c r="AB312" i="8"/>
  <c r="AC312" i="8"/>
  <c r="AD312" i="8"/>
  <c r="Q313" i="8"/>
  <c r="R313" i="8"/>
  <c r="S313" i="8"/>
  <c r="T313" i="8"/>
  <c r="U313" i="8"/>
  <c r="V313" i="8"/>
  <c r="W313" i="8"/>
  <c r="X313" i="8"/>
  <c r="Y313" i="8"/>
  <c r="Z313" i="8"/>
  <c r="AA313" i="8"/>
  <c r="AB313" i="8"/>
  <c r="AC313" i="8"/>
  <c r="AD313" i="8"/>
  <c r="Q314" i="8"/>
  <c r="R314" i="8"/>
  <c r="S314" i="8"/>
  <c r="T314" i="8"/>
  <c r="U314" i="8"/>
  <c r="V314" i="8"/>
  <c r="W314" i="8"/>
  <c r="X314" i="8"/>
  <c r="Y314" i="8"/>
  <c r="Z314" i="8"/>
  <c r="AA314" i="8"/>
  <c r="AB314" i="8"/>
  <c r="AC314" i="8"/>
  <c r="AD314" i="8"/>
  <c r="Q315" i="8"/>
  <c r="R315" i="8"/>
  <c r="S315" i="8"/>
  <c r="T315" i="8"/>
  <c r="U315" i="8"/>
  <c r="V315" i="8"/>
  <c r="W315" i="8"/>
  <c r="X315" i="8"/>
  <c r="Y315" i="8"/>
  <c r="Z315" i="8"/>
  <c r="AA315" i="8"/>
  <c r="AB315" i="8"/>
  <c r="AC315" i="8"/>
  <c r="AD315" i="8"/>
  <c r="Q316" i="8"/>
  <c r="R316" i="8"/>
  <c r="S316" i="8"/>
  <c r="T316" i="8"/>
  <c r="U316" i="8"/>
  <c r="V316" i="8"/>
  <c r="W316" i="8"/>
  <c r="X316" i="8"/>
  <c r="Y316" i="8"/>
  <c r="Z316" i="8"/>
  <c r="AA316" i="8"/>
  <c r="AB316" i="8"/>
  <c r="AC316" i="8"/>
  <c r="AD316" i="8"/>
  <c r="Q317" i="8"/>
  <c r="R317" i="8"/>
  <c r="S317" i="8"/>
  <c r="T317" i="8"/>
  <c r="U317" i="8"/>
  <c r="V317" i="8"/>
  <c r="W317" i="8"/>
  <c r="X317" i="8"/>
  <c r="Y317" i="8"/>
  <c r="Z317" i="8"/>
  <c r="AA317" i="8"/>
  <c r="AB317" i="8"/>
  <c r="AC317" i="8"/>
  <c r="AD317" i="8"/>
  <c r="Q318" i="8"/>
  <c r="R318" i="8"/>
  <c r="S318" i="8"/>
  <c r="T318" i="8"/>
  <c r="U318" i="8"/>
  <c r="V318" i="8"/>
  <c r="W318" i="8"/>
  <c r="X318" i="8"/>
  <c r="Y318" i="8"/>
  <c r="Z318" i="8"/>
  <c r="AA318" i="8"/>
  <c r="AB318" i="8"/>
  <c r="AC318" i="8"/>
  <c r="AD318" i="8"/>
  <c r="Q319" i="8"/>
  <c r="R319" i="8"/>
  <c r="S319" i="8"/>
  <c r="T319" i="8"/>
  <c r="U319" i="8"/>
  <c r="V319" i="8"/>
  <c r="W319" i="8"/>
  <c r="X319" i="8"/>
  <c r="Y319" i="8"/>
  <c r="Z319" i="8"/>
  <c r="AA319" i="8"/>
  <c r="AB319" i="8"/>
  <c r="AC319" i="8"/>
  <c r="AD319" i="8"/>
  <c r="Q320" i="8"/>
  <c r="R320" i="8"/>
  <c r="S320" i="8"/>
  <c r="T320" i="8"/>
  <c r="U320" i="8"/>
  <c r="V320" i="8"/>
  <c r="W320" i="8"/>
  <c r="X320" i="8"/>
  <c r="Y320" i="8"/>
  <c r="Z320" i="8"/>
  <c r="AA320" i="8"/>
  <c r="AB320" i="8"/>
  <c r="AC320" i="8"/>
  <c r="AD320" i="8"/>
  <c r="Q321" i="8"/>
  <c r="R321" i="8"/>
  <c r="S321" i="8"/>
  <c r="T321" i="8"/>
  <c r="U321" i="8"/>
  <c r="V321" i="8"/>
  <c r="W321" i="8"/>
  <c r="X321" i="8"/>
  <c r="Y321" i="8"/>
  <c r="Z321" i="8"/>
  <c r="AA321" i="8"/>
  <c r="AB321" i="8"/>
  <c r="AC321" i="8"/>
  <c r="AD321" i="8"/>
  <c r="Q322" i="8"/>
  <c r="R322" i="8"/>
  <c r="S322" i="8"/>
  <c r="T322" i="8"/>
  <c r="U322" i="8"/>
  <c r="V322" i="8"/>
  <c r="W322" i="8"/>
  <c r="X322" i="8"/>
  <c r="Y322" i="8"/>
  <c r="Z322" i="8"/>
  <c r="AA322" i="8"/>
  <c r="AB322" i="8"/>
  <c r="AC322" i="8"/>
  <c r="AD322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Q40" i="8"/>
  <c r="R40" i="8"/>
  <c r="S40" i="8"/>
  <c r="T40" i="8"/>
  <c r="U40" i="8"/>
  <c r="V40" i="8"/>
  <c r="W40" i="8"/>
  <c r="X40" i="8"/>
  <c r="Y40" i="8"/>
  <c r="Z40" i="8"/>
  <c r="AA40" i="8"/>
  <c r="AB40" i="8"/>
  <c r="AC40" i="8"/>
  <c r="AD40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Q44" i="8"/>
  <c r="R44" i="8"/>
  <c r="S44" i="8"/>
  <c r="T44" i="8"/>
  <c r="U44" i="8"/>
  <c r="V44" i="8"/>
  <c r="W44" i="8"/>
  <c r="X44" i="8"/>
  <c r="Y44" i="8"/>
  <c r="Z44" i="8"/>
  <c r="AA44" i="8"/>
  <c r="AB44" i="8"/>
  <c r="AC44" i="8"/>
  <c r="AD44" i="8"/>
  <c r="Q45" i="8"/>
  <c r="R45" i="8"/>
  <c r="S45" i="8"/>
  <c r="T45" i="8"/>
  <c r="U45" i="8"/>
  <c r="V45" i="8"/>
  <c r="W45" i="8"/>
  <c r="X45" i="8"/>
  <c r="Y45" i="8"/>
  <c r="Z45" i="8"/>
  <c r="AA45" i="8"/>
  <c r="AB45" i="8"/>
  <c r="AC45" i="8"/>
  <c r="AD45" i="8"/>
  <c r="Q46" i="8"/>
  <c r="R46" i="8"/>
  <c r="S46" i="8"/>
  <c r="T46" i="8"/>
  <c r="U46" i="8"/>
  <c r="V46" i="8"/>
  <c r="W46" i="8"/>
  <c r="X46" i="8"/>
  <c r="Y46" i="8"/>
  <c r="Z46" i="8"/>
  <c r="AA46" i="8"/>
  <c r="AB46" i="8"/>
  <c r="AC46" i="8"/>
  <c r="AD46" i="8"/>
  <c r="Q47" i="8"/>
  <c r="R47" i="8"/>
  <c r="S47" i="8"/>
  <c r="T47" i="8"/>
  <c r="U47" i="8"/>
  <c r="V47" i="8"/>
  <c r="W47" i="8"/>
  <c r="X47" i="8"/>
  <c r="Y47" i="8"/>
  <c r="Z47" i="8"/>
  <c r="AA47" i="8"/>
  <c r="AB47" i="8"/>
  <c r="AC47" i="8"/>
  <c r="AD47" i="8"/>
  <c r="Q48" i="8"/>
  <c r="R48" i="8"/>
  <c r="S48" i="8"/>
  <c r="T48" i="8"/>
  <c r="U48" i="8"/>
  <c r="V48" i="8"/>
  <c r="W48" i="8"/>
  <c r="X48" i="8"/>
  <c r="Y48" i="8"/>
  <c r="Z48" i="8"/>
  <c r="AA48" i="8"/>
  <c r="AB48" i="8"/>
  <c r="AC48" i="8"/>
  <c r="AD48" i="8"/>
  <c r="Q49" i="8"/>
  <c r="R49" i="8"/>
  <c r="S49" i="8"/>
  <c r="T49" i="8"/>
  <c r="U49" i="8"/>
  <c r="V49" i="8"/>
  <c r="W49" i="8"/>
  <c r="X49" i="8"/>
  <c r="Y49" i="8"/>
  <c r="Z49" i="8"/>
  <c r="AA49" i="8"/>
  <c r="AB49" i="8"/>
  <c r="AC49" i="8"/>
  <c r="AD49" i="8"/>
  <c r="Q50" i="8"/>
  <c r="R50" i="8"/>
  <c r="S50" i="8"/>
  <c r="T50" i="8"/>
  <c r="U50" i="8"/>
  <c r="V50" i="8"/>
  <c r="W50" i="8"/>
  <c r="X50" i="8"/>
  <c r="Y50" i="8"/>
  <c r="Z50" i="8"/>
  <c r="AA50" i="8"/>
  <c r="AB50" i="8"/>
  <c r="AC50" i="8"/>
  <c r="AD50" i="8"/>
  <c r="Q51" i="8"/>
  <c r="R51" i="8"/>
  <c r="S51" i="8"/>
  <c r="T51" i="8"/>
  <c r="U51" i="8"/>
  <c r="V51" i="8"/>
  <c r="W51" i="8"/>
  <c r="X51" i="8"/>
  <c r="Y51" i="8"/>
  <c r="Z51" i="8"/>
  <c r="AA51" i="8"/>
  <c r="AB51" i="8"/>
  <c r="AC51" i="8"/>
  <c r="AD51" i="8"/>
  <c r="Q52" i="8"/>
  <c r="R52" i="8"/>
  <c r="S52" i="8"/>
  <c r="T52" i="8"/>
  <c r="U52" i="8"/>
  <c r="V52" i="8"/>
  <c r="W52" i="8"/>
  <c r="X52" i="8"/>
  <c r="Y52" i="8"/>
  <c r="Z52" i="8"/>
  <c r="AA52" i="8"/>
  <c r="AB52" i="8"/>
  <c r="AC52" i="8"/>
  <c r="AD52" i="8"/>
  <c r="Q53" i="8"/>
  <c r="R53" i="8"/>
  <c r="S53" i="8"/>
  <c r="T53" i="8"/>
  <c r="U53" i="8"/>
  <c r="V53" i="8"/>
  <c r="W53" i="8"/>
  <c r="X53" i="8"/>
  <c r="Y53" i="8"/>
  <c r="Z53" i="8"/>
  <c r="AA53" i="8"/>
  <c r="AB53" i="8"/>
  <c r="AC53" i="8"/>
  <c r="AD53" i="8"/>
  <c r="Q54" i="8"/>
  <c r="R54" i="8"/>
  <c r="S54" i="8"/>
  <c r="T54" i="8"/>
  <c r="U54" i="8"/>
  <c r="V54" i="8"/>
  <c r="W54" i="8"/>
  <c r="X54" i="8"/>
  <c r="Y54" i="8"/>
  <c r="Z54" i="8"/>
  <c r="AA54" i="8"/>
  <c r="AB54" i="8"/>
  <c r="AC54" i="8"/>
  <c r="AD54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Q56" i="8"/>
  <c r="R56" i="8"/>
  <c r="S56" i="8"/>
  <c r="T56" i="8"/>
  <c r="U56" i="8"/>
  <c r="V56" i="8"/>
  <c r="W56" i="8"/>
  <c r="X56" i="8"/>
  <c r="Y56" i="8"/>
  <c r="Z56" i="8"/>
  <c r="AA56" i="8"/>
  <c r="AB56" i="8"/>
  <c r="AC56" i="8"/>
  <c r="AD56" i="8"/>
  <c r="Q57" i="8"/>
  <c r="R57" i="8"/>
  <c r="S57" i="8"/>
  <c r="T57" i="8"/>
  <c r="U57" i="8"/>
  <c r="V57" i="8"/>
  <c r="W57" i="8"/>
  <c r="X57" i="8"/>
  <c r="Y57" i="8"/>
  <c r="Z57" i="8"/>
  <c r="AA57" i="8"/>
  <c r="AB57" i="8"/>
  <c r="AC57" i="8"/>
  <c r="AD57" i="8"/>
  <c r="Q58" i="8"/>
  <c r="R58" i="8"/>
  <c r="S58" i="8"/>
  <c r="T58" i="8"/>
  <c r="U58" i="8"/>
  <c r="V58" i="8"/>
  <c r="W58" i="8"/>
  <c r="X58" i="8"/>
  <c r="Y58" i="8"/>
  <c r="Z58" i="8"/>
  <c r="AA58" i="8"/>
  <c r="AB58" i="8"/>
  <c r="AC58" i="8"/>
  <c r="AD58" i="8"/>
  <c r="Q59" i="8"/>
  <c r="R59" i="8"/>
  <c r="S59" i="8"/>
  <c r="T59" i="8"/>
  <c r="U59" i="8"/>
  <c r="V59" i="8"/>
  <c r="W59" i="8"/>
  <c r="X59" i="8"/>
  <c r="Y59" i="8"/>
  <c r="Z59" i="8"/>
  <c r="AA59" i="8"/>
  <c r="AB59" i="8"/>
  <c r="AC59" i="8"/>
  <c r="AD59" i="8"/>
  <c r="Q60" i="8"/>
  <c r="R60" i="8"/>
  <c r="S60" i="8"/>
  <c r="T60" i="8"/>
  <c r="U60" i="8"/>
  <c r="V60" i="8"/>
  <c r="W60" i="8"/>
  <c r="X60" i="8"/>
  <c r="Y60" i="8"/>
  <c r="Z60" i="8"/>
  <c r="AA60" i="8"/>
  <c r="AB60" i="8"/>
  <c r="AC60" i="8"/>
  <c r="AD60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Q62" i="8"/>
  <c r="R62" i="8"/>
  <c r="S62" i="8"/>
  <c r="T62" i="8"/>
  <c r="U62" i="8"/>
  <c r="V62" i="8"/>
  <c r="W62" i="8"/>
  <c r="X62" i="8"/>
  <c r="Y62" i="8"/>
  <c r="Z62" i="8"/>
  <c r="AA62" i="8"/>
  <c r="AB62" i="8"/>
  <c r="AC62" i="8"/>
  <c r="AD62" i="8"/>
  <c r="Q63" i="8"/>
  <c r="R63" i="8"/>
  <c r="S63" i="8"/>
  <c r="T63" i="8"/>
  <c r="U63" i="8"/>
  <c r="V63" i="8"/>
  <c r="W63" i="8"/>
  <c r="X63" i="8"/>
  <c r="Y63" i="8"/>
  <c r="Z63" i="8"/>
  <c r="AA63" i="8"/>
  <c r="AB63" i="8"/>
  <c r="AC63" i="8"/>
  <c r="AD63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Q66" i="8"/>
  <c r="R66" i="8"/>
  <c r="S66" i="8"/>
  <c r="T66" i="8"/>
  <c r="U66" i="8"/>
  <c r="V66" i="8"/>
  <c r="W66" i="8"/>
  <c r="X66" i="8"/>
  <c r="Y66" i="8"/>
  <c r="Z66" i="8"/>
  <c r="AA66" i="8"/>
  <c r="AB66" i="8"/>
  <c r="AC66" i="8"/>
  <c r="AD66" i="8"/>
  <c r="Q67" i="8"/>
  <c r="R67" i="8"/>
  <c r="S67" i="8"/>
  <c r="T67" i="8"/>
  <c r="U67" i="8"/>
  <c r="V67" i="8"/>
  <c r="W67" i="8"/>
  <c r="X67" i="8"/>
  <c r="Y67" i="8"/>
  <c r="Z67" i="8"/>
  <c r="AA67" i="8"/>
  <c r="AB67" i="8"/>
  <c r="AC67" i="8"/>
  <c r="AD67" i="8"/>
  <c r="Q68" i="8"/>
  <c r="R68" i="8"/>
  <c r="S68" i="8"/>
  <c r="T68" i="8"/>
  <c r="U68" i="8"/>
  <c r="V68" i="8"/>
  <c r="W68" i="8"/>
  <c r="X68" i="8"/>
  <c r="Y68" i="8"/>
  <c r="Z68" i="8"/>
  <c r="AA68" i="8"/>
  <c r="AB68" i="8"/>
  <c r="AC68" i="8"/>
  <c r="AD68" i="8"/>
  <c r="Q69" i="8"/>
  <c r="R69" i="8"/>
  <c r="S69" i="8"/>
  <c r="T69" i="8"/>
  <c r="U69" i="8"/>
  <c r="V69" i="8"/>
  <c r="W69" i="8"/>
  <c r="X69" i="8"/>
  <c r="Y69" i="8"/>
  <c r="Z69" i="8"/>
  <c r="AA69" i="8"/>
  <c r="AB69" i="8"/>
  <c r="AC69" i="8"/>
  <c r="AD69" i="8"/>
  <c r="Q70" i="8"/>
  <c r="R70" i="8"/>
  <c r="S70" i="8"/>
  <c r="T70" i="8"/>
  <c r="U70" i="8"/>
  <c r="V70" i="8"/>
  <c r="W70" i="8"/>
  <c r="X70" i="8"/>
  <c r="Y70" i="8"/>
  <c r="Z70" i="8"/>
  <c r="AA70" i="8"/>
  <c r="AB70" i="8"/>
  <c r="AC70" i="8"/>
  <c r="AD70" i="8"/>
  <c r="Q71" i="8"/>
  <c r="R71" i="8"/>
  <c r="S71" i="8"/>
  <c r="T71" i="8"/>
  <c r="U71" i="8"/>
  <c r="V71" i="8"/>
  <c r="W71" i="8"/>
  <c r="X71" i="8"/>
  <c r="Y71" i="8"/>
  <c r="Z71" i="8"/>
  <c r="AA71" i="8"/>
  <c r="AB71" i="8"/>
  <c r="AC71" i="8"/>
  <c r="AD71" i="8"/>
  <c r="Q72" i="8"/>
  <c r="R72" i="8"/>
  <c r="S72" i="8"/>
  <c r="T72" i="8"/>
  <c r="U72" i="8"/>
  <c r="V72" i="8"/>
  <c r="W72" i="8"/>
  <c r="X72" i="8"/>
  <c r="Y72" i="8"/>
  <c r="Z72" i="8"/>
  <c r="AA72" i="8"/>
  <c r="AB72" i="8"/>
  <c r="AC72" i="8"/>
  <c r="AD72" i="8"/>
  <c r="Q73" i="8"/>
  <c r="R73" i="8"/>
  <c r="S73" i="8"/>
  <c r="T73" i="8"/>
  <c r="U73" i="8"/>
  <c r="V73" i="8"/>
  <c r="W73" i="8"/>
  <c r="X73" i="8"/>
  <c r="Y73" i="8"/>
  <c r="Z73" i="8"/>
  <c r="AA73" i="8"/>
  <c r="AB73" i="8"/>
  <c r="AC73" i="8"/>
  <c r="AD73" i="8"/>
  <c r="Q74" i="8"/>
  <c r="R74" i="8"/>
  <c r="S74" i="8"/>
  <c r="T74" i="8"/>
  <c r="U74" i="8"/>
  <c r="V74" i="8"/>
  <c r="W74" i="8"/>
  <c r="X74" i="8"/>
  <c r="Y74" i="8"/>
  <c r="Z74" i="8"/>
  <c r="AA74" i="8"/>
  <c r="AB74" i="8"/>
  <c r="AC74" i="8"/>
  <c r="AD74" i="8"/>
  <c r="Q75" i="8"/>
  <c r="R75" i="8"/>
  <c r="S75" i="8"/>
  <c r="T75" i="8"/>
  <c r="U75" i="8"/>
  <c r="V75" i="8"/>
  <c r="W75" i="8"/>
  <c r="X75" i="8"/>
  <c r="Y75" i="8"/>
  <c r="Z75" i="8"/>
  <c r="AA75" i="8"/>
  <c r="AB75" i="8"/>
  <c r="AC75" i="8"/>
  <c r="AD75" i="8"/>
  <c r="Q76" i="8"/>
  <c r="R76" i="8"/>
  <c r="S76" i="8"/>
  <c r="T76" i="8"/>
  <c r="U76" i="8"/>
  <c r="V76" i="8"/>
  <c r="W76" i="8"/>
  <c r="X76" i="8"/>
  <c r="Y76" i="8"/>
  <c r="Z76" i="8"/>
  <c r="AA76" i="8"/>
  <c r="AB76" i="8"/>
  <c r="AC76" i="8"/>
  <c r="AD76" i="8"/>
  <c r="Q77" i="8"/>
  <c r="R77" i="8"/>
  <c r="S77" i="8"/>
  <c r="T77" i="8"/>
  <c r="U77" i="8"/>
  <c r="V77" i="8"/>
  <c r="W77" i="8"/>
  <c r="X77" i="8"/>
  <c r="Y77" i="8"/>
  <c r="Z77" i="8"/>
  <c r="AA77" i="8"/>
  <c r="AB77" i="8"/>
  <c r="AC77" i="8"/>
  <c r="AD77" i="8"/>
  <c r="Q78" i="8"/>
  <c r="R78" i="8"/>
  <c r="S78" i="8"/>
  <c r="T78" i="8"/>
  <c r="U78" i="8"/>
  <c r="V78" i="8"/>
  <c r="W78" i="8"/>
  <c r="X78" i="8"/>
  <c r="Y78" i="8"/>
  <c r="Z78" i="8"/>
  <c r="AA78" i="8"/>
  <c r="AB78" i="8"/>
  <c r="AC78" i="8"/>
  <c r="AD78" i="8"/>
  <c r="Q79" i="8"/>
  <c r="R79" i="8"/>
  <c r="S79" i="8"/>
  <c r="T79" i="8"/>
  <c r="U79" i="8"/>
  <c r="V79" i="8"/>
  <c r="W79" i="8"/>
  <c r="X79" i="8"/>
  <c r="Y79" i="8"/>
  <c r="Z79" i="8"/>
  <c r="AA79" i="8"/>
  <c r="AB79" i="8"/>
  <c r="AC79" i="8"/>
  <c r="AD79" i="8"/>
  <c r="Q80" i="8"/>
  <c r="R80" i="8"/>
  <c r="S80" i="8"/>
  <c r="T80" i="8"/>
  <c r="U80" i="8"/>
  <c r="V80" i="8"/>
  <c r="W80" i="8"/>
  <c r="X80" i="8"/>
  <c r="Y80" i="8"/>
  <c r="Z80" i="8"/>
  <c r="AA80" i="8"/>
  <c r="AB80" i="8"/>
  <c r="AC80" i="8"/>
  <c r="AD80" i="8"/>
  <c r="Q81" i="8"/>
  <c r="R81" i="8"/>
  <c r="S81" i="8"/>
  <c r="T81" i="8"/>
  <c r="U81" i="8"/>
  <c r="V81" i="8"/>
  <c r="W81" i="8"/>
  <c r="X81" i="8"/>
  <c r="Y81" i="8"/>
  <c r="Z81" i="8"/>
  <c r="AA81" i="8"/>
  <c r="AB81" i="8"/>
  <c r="AC81" i="8"/>
  <c r="AD81" i="8"/>
  <c r="Q82" i="8"/>
  <c r="R82" i="8"/>
  <c r="S82" i="8"/>
  <c r="T82" i="8"/>
  <c r="U82" i="8"/>
  <c r="V82" i="8"/>
  <c r="W82" i="8"/>
  <c r="X82" i="8"/>
  <c r="Y82" i="8"/>
  <c r="Z82" i="8"/>
  <c r="AA82" i="8"/>
  <c r="AB82" i="8"/>
  <c r="AC82" i="8"/>
  <c r="AD82" i="8"/>
  <c r="Q83" i="8"/>
  <c r="R83" i="8"/>
  <c r="S83" i="8"/>
  <c r="T83" i="8"/>
  <c r="U83" i="8"/>
  <c r="V83" i="8"/>
  <c r="W83" i="8"/>
  <c r="X83" i="8"/>
  <c r="Y83" i="8"/>
  <c r="Z83" i="8"/>
  <c r="AA83" i="8"/>
  <c r="AB83" i="8"/>
  <c r="AC83" i="8"/>
  <c r="AD83" i="8"/>
  <c r="Q84" i="8"/>
  <c r="R84" i="8"/>
  <c r="S84" i="8"/>
  <c r="T84" i="8"/>
  <c r="U84" i="8"/>
  <c r="V84" i="8"/>
  <c r="W84" i="8"/>
  <c r="X84" i="8"/>
  <c r="Y84" i="8"/>
  <c r="Z84" i="8"/>
  <c r="AA84" i="8"/>
  <c r="AB84" i="8"/>
  <c r="AC84" i="8"/>
  <c r="AD84" i="8"/>
  <c r="Q85" i="8"/>
  <c r="R85" i="8"/>
  <c r="S85" i="8"/>
  <c r="T85" i="8"/>
  <c r="U85" i="8"/>
  <c r="V85" i="8"/>
  <c r="W85" i="8"/>
  <c r="X85" i="8"/>
  <c r="Y85" i="8"/>
  <c r="Z85" i="8"/>
  <c r="AA85" i="8"/>
  <c r="AB85" i="8"/>
  <c r="AC85" i="8"/>
  <c r="AD85" i="8"/>
  <c r="Q86" i="8"/>
  <c r="R86" i="8"/>
  <c r="S86" i="8"/>
  <c r="T86" i="8"/>
  <c r="U86" i="8"/>
  <c r="V86" i="8"/>
  <c r="W86" i="8"/>
  <c r="X86" i="8"/>
  <c r="Y86" i="8"/>
  <c r="Z86" i="8"/>
  <c r="AA86" i="8"/>
  <c r="AB86" i="8"/>
  <c r="AC86" i="8"/>
  <c r="AD86" i="8"/>
  <c r="Q87" i="8"/>
  <c r="R87" i="8"/>
  <c r="S87" i="8"/>
  <c r="T87" i="8"/>
  <c r="U87" i="8"/>
  <c r="V87" i="8"/>
  <c r="W87" i="8"/>
  <c r="X87" i="8"/>
  <c r="Y87" i="8"/>
  <c r="Z87" i="8"/>
  <c r="AA87" i="8"/>
  <c r="AB87" i="8"/>
  <c r="AC87" i="8"/>
  <c r="AD87" i="8"/>
  <c r="Q88" i="8"/>
  <c r="R88" i="8"/>
  <c r="S88" i="8"/>
  <c r="T88" i="8"/>
  <c r="U88" i="8"/>
  <c r="V88" i="8"/>
  <c r="W88" i="8"/>
  <c r="X88" i="8"/>
  <c r="Y88" i="8"/>
  <c r="Z88" i="8"/>
  <c r="AA88" i="8"/>
  <c r="AB88" i="8"/>
  <c r="AC88" i="8"/>
  <c r="AD88" i="8"/>
  <c r="Q89" i="8"/>
  <c r="R89" i="8"/>
  <c r="S89" i="8"/>
  <c r="T89" i="8"/>
  <c r="U89" i="8"/>
  <c r="V89" i="8"/>
  <c r="W89" i="8"/>
  <c r="X89" i="8"/>
  <c r="Y89" i="8"/>
  <c r="Z89" i="8"/>
  <c r="AA89" i="8"/>
  <c r="AB89" i="8"/>
  <c r="AC89" i="8"/>
  <c r="AD89" i="8"/>
  <c r="Q90" i="8"/>
  <c r="R90" i="8"/>
  <c r="S90" i="8"/>
  <c r="T90" i="8"/>
  <c r="U90" i="8"/>
  <c r="V90" i="8"/>
  <c r="W90" i="8"/>
  <c r="X90" i="8"/>
  <c r="Y90" i="8"/>
  <c r="Z90" i="8"/>
  <c r="AA90" i="8"/>
  <c r="AB90" i="8"/>
  <c r="AC90" i="8"/>
  <c r="AD90" i="8"/>
  <c r="Q91" i="8"/>
  <c r="R91" i="8"/>
  <c r="S91" i="8"/>
  <c r="T91" i="8"/>
  <c r="U91" i="8"/>
  <c r="V91" i="8"/>
  <c r="W91" i="8"/>
  <c r="X91" i="8"/>
  <c r="Y91" i="8"/>
  <c r="Z91" i="8"/>
  <c r="AA91" i="8"/>
  <c r="AB91" i="8"/>
  <c r="AC91" i="8"/>
  <c r="AD91" i="8"/>
  <c r="Q92" i="8"/>
  <c r="R92" i="8"/>
  <c r="S92" i="8"/>
  <c r="T92" i="8"/>
  <c r="U92" i="8"/>
  <c r="V92" i="8"/>
  <c r="W92" i="8"/>
  <c r="X92" i="8"/>
  <c r="Y92" i="8"/>
  <c r="Z92" i="8"/>
  <c r="AA92" i="8"/>
  <c r="AB92" i="8"/>
  <c r="AC92" i="8"/>
  <c r="AD92" i="8"/>
  <c r="Q93" i="8"/>
  <c r="R93" i="8"/>
  <c r="S93" i="8"/>
  <c r="T93" i="8"/>
  <c r="U93" i="8"/>
  <c r="V93" i="8"/>
  <c r="W93" i="8"/>
  <c r="X93" i="8"/>
  <c r="Y93" i="8"/>
  <c r="Z93" i="8"/>
  <c r="AA93" i="8"/>
  <c r="AB93" i="8"/>
  <c r="AC93" i="8"/>
  <c r="AD93" i="8"/>
  <c r="Q94" i="8"/>
  <c r="R94" i="8"/>
  <c r="S94" i="8"/>
  <c r="T94" i="8"/>
  <c r="U94" i="8"/>
  <c r="V94" i="8"/>
  <c r="W94" i="8"/>
  <c r="X94" i="8"/>
  <c r="Y94" i="8"/>
  <c r="Z94" i="8"/>
  <c r="AA94" i="8"/>
  <c r="AB94" i="8"/>
  <c r="AC94" i="8"/>
  <c r="AD94" i="8"/>
  <c r="Q95" i="8"/>
  <c r="R95" i="8"/>
  <c r="S95" i="8"/>
  <c r="T95" i="8"/>
  <c r="U95" i="8"/>
  <c r="V95" i="8"/>
  <c r="W95" i="8"/>
  <c r="X95" i="8"/>
  <c r="Y95" i="8"/>
  <c r="Z95" i="8"/>
  <c r="AA95" i="8"/>
  <c r="AB95" i="8"/>
  <c r="AC95" i="8"/>
  <c r="AD95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Q97" i="8"/>
  <c r="R97" i="8"/>
  <c r="S97" i="8"/>
  <c r="T97" i="8"/>
  <c r="U97" i="8"/>
  <c r="V97" i="8"/>
  <c r="W97" i="8"/>
  <c r="X97" i="8"/>
  <c r="Y97" i="8"/>
  <c r="Z97" i="8"/>
  <c r="AA97" i="8"/>
  <c r="AB97" i="8"/>
  <c r="AC97" i="8"/>
  <c r="AD97" i="8"/>
  <c r="Q98" i="8"/>
  <c r="R98" i="8"/>
  <c r="S98" i="8"/>
  <c r="T98" i="8"/>
  <c r="U98" i="8"/>
  <c r="V98" i="8"/>
  <c r="W98" i="8"/>
  <c r="X98" i="8"/>
  <c r="Y98" i="8"/>
  <c r="Z98" i="8"/>
  <c r="AA98" i="8"/>
  <c r="AB98" i="8"/>
  <c r="AC98" i="8"/>
  <c r="AD98" i="8"/>
  <c r="Q99" i="8"/>
  <c r="R99" i="8"/>
  <c r="S99" i="8"/>
  <c r="T99" i="8"/>
  <c r="U99" i="8"/>
  <c r="V99" i="8"/>
  <c r="W99" i="8"/>
  <c r="X99" i="8"/>
  <c r="Y99" i="8"/>
  <c r="Z99" i="8"/>
  <c r="AA99" i="8"/>
  <c r="AB99" i="8"/>
  <c r="AC99" i="8"/>
  <c r="AD99" i="8"/>
  <c r="Q100" i="8"/>
  <c r="R100" i="8"/>
  <c r="S100" i="8"/>
  <c r="T100" i="8"/>
  <c r="U100" i="8"/>
  <c r="V100" i="8"/>
  <c r="W100" i="8"/>
  <c r="X100" i="8"/>
  <c r="Y100" i="8"/>
  <c r="Z100" i="8"/>
  <c r="AA100" i="8"/>
  <c r="AB100" i="8"/>
  <c r="AC100" i="8"/>
  <c r="AD100" i="8"/>
  <c r="Q101" i="8"/>
  <c r="R101" i="8"/>
  <c r="S101" i="8"/>
  <c r="T101" i="8"/>
  <c r="U101" i="8"/>
  <c r="V101" i="8"/>
  <c r="W101" i="8"/>
  <c r="X101" i="8"/>
  <c r="Y101" i="8"/>
  <c r="Z101" i="8"/>
  <c r="AA101" i="8"/>
  <c r="AB101" i="8"/>
  <c r="AC101" i="8"/>
  <c r="AD101" i="8"/>
  <c r="Q102" i="8"/>
  <c r="R102" i="8"/>
  <c r="S102" i="8"/>
  <c r="T102" i="8"/>
  <c r="U102" i="8"/>
  <c r="V102" i="8"/>
  <c r="W102" i="8"/>
  <c r="X102" i="8"/>
  <c r="Y102" i="8"/>
  <c r="Z102" i="8"/>
  <c r="AA102" i="8"/>
  <c r="AB102" i="8"/>
  <c r="AC102" i="8"/>
  <c r="AD102" i="8"/>
  <c r="Q103" i="8"/>
  <c r="R103" i="8"/>
  <c r="S103" i="8"/>
  <c r="T103" i="8"/>
  <c r="U103" i="8"/>
  <c r="V103" i="8"/>
  <c r="W103" i="8"/>
  <c r="X103" i="8"/>
  <c r="Y103" i="8"/>
  <c r="Z103" i="8"/>
  <c r="AA103" i="8"/>
  <c r="AB103" i="8"/>
  <c r="AC103" i="8"/>
  <c r="AD103" i="8"/>
  <c r="Q104" i="8"/>
  <c r="R104" i="8"/>
  <c r="S104" i="8"/>
  <c r="T104" i="8"/>
  <c r="U104" i="8"/>
  <c r="V104" i="8"/>
  <c r="W104" i="8"/>
  <c r="X104" i="8"/>
  <c r="Y104" i="8"/>
  <c r="Z104" i="8"/>
  <c r="AA104" i="8"/>
  <c r="AB104" i="8"/>
  <c r="AC104" i="8"/>
  <c r="AD104" i="8"/>
  <c r="Q105" i="8"/>
  <c r="R105" i="8"/>
  <c r="S105" i="8"/>
  <c r="T105" i="8"/>
  <c r="U105" i="8"/>
  <c r="V105" i="8"/>
  <c r="W105" i="8"/>
  <c r="X105" i="8"/>
  <c r="Y105" i="8"/>
  <c r="Z105" i="8"/>
  <c r="AA105" i="8"/>
  <c r="AB105" i="8"/>
  <c r="AC105" i="8"/>
  <c r="AD105" i="8"/>
  <c r="Q106" i="8"/>
  <c r="R106" i="8"/>
  <c r="S106" i="8"/>
  <c r="T106" i="8"/>
  <c r="U106" i="8"/>
  <c r="V106" i="8"/>
  <c r="W106" i="8"/>
  <c r="X106" i="8"/>
  <c r="Y106" i="8"/>
  <c r="Z106" i="8"/>
  <c r="AA106" i="8"/>
  <c r="AB106" i="8"/>
  <c r="AC106" i="8"/>
  <c r="AD106" i="8"/>
  <c r="Q107" i="8"/>
  <c r="R107" i="8"/>
  <c r="S107" i="8"/>
  <c r="T107" i="8"/>
  <c r="U107" i="8"/>
  <c r="V107" i="8"/>
  <c r="W107" i="8"/>
  <c r="X107" i="8"/>
  <c r="Y107" i="8"/>
  <c r="Z107" i="8"/>
  <c r="AA107" i="8"/>
  <c r="AB107" i="8"/>
  <c r="AC107" i="8"/>
  <c r="AD107" i="8"/>
  <c r="Q300" i="8"/>
  <c r="R300" i="8"/>
  <c r="S300" i="8"/>
  <c r="T300" i="8"/>
  <c r="U300" i="8"/>
  <c r="V300" i="8"/>
  <c r="W300" i="8"/>
  <c r="X300" i="8"/>
  <c r="Y300" i="8"/>
  <c r="Z300" i="8"/>
  <c r="AA300" i="8"/>
  <c r="AB300" i="8"/>
  <c r="AC300" i="8"/>
  <c r="AD300" i="8"/>
  <c r="Q301" i="8"/>
  <c r="R301" i="8"/>
  <c r="S301" i="8"/>
  <c r="T301" i="8"/>
  <c r="U301" i="8"/>
  <c r="V301" i="8"/>
  <c r="W301" i="8"/>
  <c r="X301" i="8"/>
  <c r="Y301" i="8"/>
  <c r="Z301" i="8"/>
  <c r="AA301" i="8"/>
  <c r="AB301" i="8"/>
  <c r="AC301" i="8"/>
  <c r="AD301" i="8"/>
  <c r="Q302" i="8"/>
  <c r="R302" i="8"/>
  <c r="S302" i="8"/>
  <c r="T302" i="8"/>
  <c r="U302" i="8"/>
  <c r="V302" i="8"/>
  <c r="W302" i="8"/>
  <c r="X302" i="8"/>
  <c r="Y302" i="8"/>
  <c r="Z302" i="8"/>
  <c r="AA302" i="8"/>
  <c r="AB302" i="8"/>
  <c r="AC302" i="8"/>
  <c r="AD302" i="8"/>
  <c r="Q303" i="8"/>
  <c r="R303" i="8"/>
  <c r="S303" i="8"/>
  <c r="T303" i="8"/>
  <c r="U303" i="8"/>
  <c r="V303" i="8"/>
  <c r="W303" i="8"/>
  <c r="X303" i="8"/>
  <c r="Y303" i="8"/>
  <c r="Z303" i="8"/>
  <c r="AA303" i="8"/>
  <c r="AB303" i="8"/>
  <c r="AC303" i="8"/>
  <c r="AD303" i="8"/>
  <c r="Q304" i="8"/>
  <c r="R304" i="8"/>
  <c r="S304" i="8"/>
  <c r="T304" i="8"/>
  <c r="U304" i="8"/>
  <c r="V304" i="8"/>
  <c r="W304" i="8"/>
  <c r="X304" i="8"/>
  <c r="Y304" i="8"/>
  <c r="Z304" i="8"/>
  <c r="AA304" i="8"/>
  <c r="AB304" i="8"/>
  <c r="AC304" i="8"/>
  <c r="AD304" i="8"/>
  <c r="Q281" i="8"/>
  <c r="R281" i="8"/>
  <c r="S281" i="8"/>
  <c r="T281" i="8"/>
  <c r="U281" i="8"/>
  <c r="V281" i="8"/>
  <c r="W281" i="8"/>
  <c r="X281" i="8"/>
  <c r="Y281" i="8"/>
  <c r="Z281" i="8"/>
  <c r="AA281" i="8"/>
  <c r="AB281" i="8"/>
  <c r="AC281" i="8"/>
  <c r="AD281" i="8"/>
  <c r="Q282" i="8"/>
  <c r="R282" i="8"/>
  <c r="S282" i="8"/>
  <c r="T282" i="8"/>
  <c r="U282" i="8"/>
  <c r="V282" i="8"/>
  <c r="W282" i="8"/>
  <c r="X282" i="8"/>
  <c r="Y282" i="8"/>
  <c r="Z282" i="8"/>
  <c r="AA282" i="8"/>
  <c r="AB282" i="8"/>
  <c r="AC282" i="8"/>
  <c r="AD282" i="8"/>
  <c r="Q283" i="8"/>
  <c r="R283" i="8"/>
  <c r="S283" i="8"/>
  <c r="T283" i="8"/>
  <c r="U283" i="8"/>
  <c r="V283" i="8"/>
  <c r="W283" i="8"/>
  <c r="X283" i="8"/>
  <c r="Y283" i="8"/>
  <c r="Z283" i="8"/>
  <c r="AA283" i="8"/>
  <c r="AB283" i="8"/>
  <c r="AC283" i="8"/>
  <c r="AD283" i="8"/>
  <c r="Q284" i="8"/>
  <c r="R284" i="8"/>
  <c r="S284" i="8"/>
  <c r="T284" i="8"/>
  <c r="U284" i="8"/>
  <c r="V284" i="8"/>
  <c r="W284" i="8"/>
  <c r="X284" i="8"/>
  <c r="Y284" i="8"/>
  <c r="Z284" i="8"/>
  <c r="AA284" i="8"/>
  <c r="AB284" i="8"/>
  <c r="AC284" i="8"/>
  <c r="AD284" i="8"/>
  <c r="Q285" i="8"/>
  <c r="R285" i="8"/>
  <c r="S285" i="8"/>
  <c r="T285" i="8"/>
  <c r="U285" i="8"/>
  <c r="V285" i="8"/>
  <c r="W285" i="8"/>
  <c r="X285" i="8"/>
  <c r="Y285" i="8"/>
  <c r="Z285" i="8"/>
  <c r="AA285" i="8"/>
  <c r="AB285" i="8"/>
  <c r="AC285" i="8"/>
  <c r="AD285" i="8"/>
  <c r="Q286" i="8"/>
  <c r="R286" i="8"/>
  <c r="S286" i="8"/>
  <c r="T286" i="8"/>
  <c r="U286" i="8"/>
  <c r="V286" i="8"/>
  <c r="W286" i="8"/>
  <c r="X286" i="8"/>
  <c r="Y286" i="8"/>
  <c r="Z286" i="8"/>
  <c r="AA286" i="8"/>
  <c r="AB286" i="8"/>
  <c r="AC286" i="8"/>
  <c r="AD286" i="8"/>
  <c r="Q287" i="8"/>
  <c r="R287" i="8"/>
  <c r="S287" i="8"/>
  <c r="T287" i="8"/>
  <c r="U287" i="8"/>
  <c r="V287" i="8"/>
  <c r="W287" i="8"/>
  <c r="X287" i="8"/>
  <c r="Y287" i="8"/>
  <c r="Z287" i="8"/>
  <c r="AA287" i="8"/>
  <c r="AB287" i="8"/>
  <c r="AC287" i="8"/>
  <c r="AD287" i="8"/>
  <c r="Q288" i="8"/>
  <c r="R288" i="8"/>
  <c r="S288" i="8"/>
  <c r="T288" i="8"/>
  <c r="U288" i="8"/>
  <c r="V288" i="8"/>
  <c r="W288" i="8"/>
  <c r="X288" i="8"/>
  <c r="Y288" i="8"/>
  <c r="Z288" i="8"/>
  <c r="AA288" i="8"/>
  <c r="AB288" i="8"/>
  <c r="AC288" i="8"/>
  <c r="AD288" i="8"/>
  <c r="Q289" i="8"/>
  <c r="R289" i="8"/>
  <c r="S289" i="8"/>
  <c r="T289" i="8"/>
  <c r="U289" i="8"/>
  <c r="V289" i="8"/>
  <c r="W289" i="8"/>
  <c r="X289" i="8"/>
  <c r="Y289" i="8"/>
  <c r="Z289" i="8"/>
  <c r="AA289" i="8"/>
  <c r="AB289" i="8"/>
  <c r="AC289" i="8"/>
  <c r="AD289" i="8"/>
  <c r="Q290" i="8"/>
  <c r="R290" i="8"/>
  <c r="S290" i="8"/>
  <c r="T290" i="8"/>
  <c r="U290" i="8"/>
  <c r="V290" i="8"/>
  <c r="W290" i="8"/>
  <c r="X290" i="8"/>
  <c r="Y290" i="8"/>
  <c r="Z290" i="8"/>
  <c r="AA290" i="8"/>
  <c r="AB290" i="8"/>
  <c r="AC290" i="8"/>
  <c r="AD290" i="8"/>
  <c r="Q291" i="8"/>
  <c r="R291" i="8"/>
  <c r="S291" i="8"/>
  <c r="T291" i="8"/>
  <c r="U291" i="8"/>
  <c r="V291" i="8"/>
  <c r="W291" i="8"/>
  <c r="X291" i="8"/>
  <c r="Y291" i="8"/>
  <c r="Z291" i="8"/>
  <c r="AA291" i="8"/>
  <c r="AB291" i="8"/>
  <c r="AC291" i="8"/>
  <c r="AD291" i="8"/>
  <c r="Q292" i="8"/>
  <c r="R292" i="8"/>
  <c r="S292" i="8"/>
  <c r="T292" i="8"/>
  <c r="U292" i="8"/>
  <c r="V292" i="8"/>
  <c r="W292" i="8"/>
  <c r="X292" i="8"/>
  <c r="Y292" i="8"/>
  <c r="Z292" i="8"/>
  <c r="AA292" i="8"/>
  <c r="AB292" i="8"/>
  <c r="AC292" i="8"/>
  <c r="AD292" i="8"/>
  <c r="Q293" i="8"/>
  <c r="R293" i="8"/>
  <c r="S293" i="8"/>
  <c r="T293" i="8"/>
  <c r="U293" i="8"/>
  <c r="V293" i="8"/>
  <c r="W293" i="8"/>
  <c r="X293" i="8"/>
  <c r="Y293" i="8"/>
  <c r="Z293" i="8"/>
  <c r="AA293" i="8"/>
  <c r="AB293" i="8"/>
  <c r="AC293" i="8"/>
  <c r="AD293" i="8"/>
  <c r="Q294" i="8"/>
  <c r="R294" i="8"/>
  <c r="S294" i="8"/>
  <c r="T294" i="8"/>
  <c r="U294" i="8"/>
  <c r="V294" i="8"/>
  <c r="W294" i="8"/>
  <c r="X294" i="8"/>
  <c r="Y294" i="8"/>
  <c r="Z294" i="8"/>
  <c r="AA294" i="8"/>
  <c r="AB294" i="8"/>
  <c r="AC294" i="8"/>
  <c r="AD294" i="8"/>
  <c r="Q295" i="8"/>
  <c r="R295" i="8"/>
  <c r="S295" i="8"/>
  <c r="T295" i="8"/>
  <c r="U295" i="8"/>
  <c r="V295" i="8"/>
  <c r="W295" i="8"/>
  <c r="X295" i="8"/>
  <c r="Y295" i="8"/>
  <c r="Z295" i="8"/>
  <c r="AA295" i="8"/>
  <c r="AB295" i="8"/>
  <c r="AC295" i="8"/>
  <c r="AD295" i="8"/>
  <c r="Q296" i="8"/>
  <c r="R296" i="8"/>
  <c r="S296" i="8"/>
  <c r="T296" i="8"/>
  <c r="U296" i="8"/>
  <c r="V296" i="8"/>
  <c r="W296" i="8"/>
  <c r="X296" i="8"/>
  <c r="Y296" i="8"/>
  <c r="Z296" i="8"/>
  <c r="AA296" i="8"/>
  <c r="AB296" i="8"/>
  <c r="AC296" i="8"/>
  <c r="AD296" i="8"/>
  <c r="Q297" i="8"/>
  <c r="R297" i="8"/>
  <c r="S297" i="8"/>
  <c r="T297" i="8"/>
  <c r="U297" i="8"/>
  <c r="V297" i="8"/>
  <c r="W297" i="8"/>
  <c r="X297" i="8"/>
  <c r="Y297" i="8"/>
  <c r="Z297" i="8"/>
  <c r="AA297" i="8"/>
  <c r="AB297" i="8"/>
  <c r="AC297" i="8"/>
  <c r="AD297" i="8"/>
  <c r="Q298" i="8"/>
  <c r="R298" i="8"/>
  <c r="S298" i="8"/>
  <c r="T298" i="8"/>
  <c r="U298" i="8"/>
  <c r="V298" i="8"/>
  <c r="W298" i="8"/>
  <c r="X298" i="8"/>
  <c r="Y298" i="8"/>
  <c r="Z298" i="8"/>
  <c r="AA298" i="8"/>
  <c r="AB298" i="8"/>
  <c r="AC298" i="8"/>
  <c r="AD298" i="8"/>
  <c r="Q299" i="8"/>
  <c r="R299" i="8"/>
  <c r="S299" i="8"/>
  <c r="T299" i="8"/>
  <c r="U299" i="8"/>
  <c r="V299" i="8"/>
  <c r="W299" i="8"/>
  <c r="X299" i="8"/>
  <c r="Y299" i="8"/>
  <c r="Z299" i="8"/>
  <c r="AA299" i="8"/>
  <c r="AB299" i="8"/>
  <c r="AC299" i="8"/>
  <c r="AD299" i="8"/>
  <c r="Q114" i="8"/>
  <c r="R114" i="8"/>
  <c r="S114" i="8"/>
  <c r="T114" i="8"/>
  <c r="U114" i="8"/>
  <c r="V114" i="8"/>
  <c r="W114" i="8"/>
  <c r="X114" i="8"/>
  <c r="Y114" i="8"/>
  <c r="Z114" i="8"/>
  <c r="AA114" i="8"/>
  <c r="AB114" i="8"/>
  <c r="AC114" i="8"/>
  <c r="AD114" i="8"/>
  <c r="Q115" i="8"/>
  <c r="R115" i="8"/>
  <c r="S115" i="8"/>
  <c r="T115" i="8"/>
  <c r="U115" i="8"/>
  <c r="V115" i="8"/>
  <c r="W115" i="8"/>
  <c r="X115" i="8"/>
  <c r="Y115" i="8"/>
  <c r="Z115" i="8"/>
  <c r="AA115" i="8"/>
  <c r="AB115" i="8"/>
  <c r="AC115" i="8"/>
  <c r="AD115" i="8"/>
  <c r="Q116" i="8"/>
  <c r="R116" i="8"/>
  <c r="S116" i="8"/>
  <c r="T116" i="8"/>
  <c r="U116" i="8"/>
  <c r="V116" i="8"/>
  <c r="W116" i="8"/>
  <c r="X116" i="8"/>
  <c r="Y116" i="8"/>
  <c r="Z116" i="8"/>
  <c r="AA116" i="8"/>
  <c r="AB116" i="8"/>
  <c r="AC116" i="8"/>
  <c r="AD116" i="8"/>
  <c r="Q117" i="8"/>
  <c r="R117" i="8"/>
  <c r="S117" i="8"/>
  <c r="T117" i="8"/>
  <c r="U117" i="8"/>
  <c r="V117" i="8"/>
  <c r="W117" i="8"/>
  <c r="X117" i="8"/>
  <c r="Y117" i="8"/>
  <c r="Z117" i="8"/>
  <c r="AA117" i="8"/>
  <c r="AB117" i="8"/>
  <c r="AC117" i="8"/>
  <c r="AD117" i="8"/>
  <c r="Q118" i="8"/>
  <c r="R118" i="8"/>
  <c r="S118" i="8"/>
  <c r="T118" i="8"/>
  <c r="U118" i="8"/>
  <c r="V118" i="8"/>
  <c r="W118" i="8"/>
  <c r="X118" i="8"/>
  <c r="Y118" i="8"/>
  <c r="Z118" i="8"/>
  <c r="AA118" i="8"/>
  <c r="AB118" i="8"/>
  <c r="AC118" i="8"/>
  <c r="AD118" i="8"/>
  <c r="Q119" i="8"/>
  <c r="R119" i="8"/>
  <c r="S119" i="8"/>
  <c r="T119" i="8"/>
  <c r="U119" i="8"/>
  <c r="V119" i="8"/>
  <c r="W119" i="8"/>
  <c r="X119" i="8"/>
  <c r="Y119" i="8"/>
  <c r="Z119" i="8"/>
  <c r="AA119" i="8"/>
  <c r="AB119" i="8"/>
  <c r="AC119" i="8"/>
  <c r="AD119" i="8"/>
  <c r="Q120" i="8"/>
  <c r="R120" i="8"/>
  <c r="S120" i="8"/>
  <c r="T120" i="8"/>
  <c r="U120" i="8"/>
  <c r="V120" i="8"/>
  <c r="W120" i="8"/>
  <c r="X120" i="8"/>
  <c r="Y120" i="8"/>
  <c r="Z120" i="8"/>
  <c r="AA120" i="8"/>
  <c r="AB120" i="8"/>
  <c r="AC120" i="8"/>
  <c r="AD120" i="8"/>
  <c r="Q121" i="8"/>
  <c r="R121" i="8"/>
  <c r="S121" i="8"/>
  <c r="T121" i="8"/>
  <c r="U121" i="8"/>
  <c r="V121" i="8"/>
  <c r="W121" i="8"/>
  <c r="X121" i="8"/>
  <c r="Y121" i="8"/>
  <c r="Z121" i="8"/>
  <c r="AA121" i="8"/>
  <c r="AB121" i="8"/>
  <c r="AC121" i="8"/>
  <c r="AD121" i="8"/>
  <c r="Q122" i="8"/>
  <c r="R122" i="8"/>
  <c r="S122" i="8"/>
  <c r="T122" i="8"/>
  <c r="U122" i="8"/>
  <c r="V122" i="8"/>
  <c r="W122" i="8"/>
  <c r="X122" i="8"/>
  <c r="Y122" i="8"/>
  <c r="Z122" i="8"/>
  <c r="AA122" i="8"/>
  <c r="AB122" i="8"/>
  <c r="AC122" i="8"/>
  <c r="AD122" i="8"/>
  <c r="Q123" i="8"/>
  <c r="R123" i="8"/>
  <c r="S123" i="8"/>
  <c r="T123" i="8"/>
  <c r="U123" i="8"/>
  <c r="V123" i="8"/>
  <c r="W123" i="8"/>
  <c r="X123" i="8"/>
  <c r="Y123" i="8"/>
  <c r="Z123" i="8"/>
  <c r="AA123" i="8"/>
  <c r="AB123" i="8"/>
  <c r="AC123" i="8"/>
  <c r="AD123" i="8"/>
  <c r="Q124" i="8"/>
  <c r="R124" i="8"/>
  <c r="S124" i="8"/>
  <c r="T124" i="8"/>
  <c r="U124" i="8"/>
  <c r="V124" i="8"/>
  <c r="W124" i="8"/>
  <c r="X124" i="8"/>
  <c r="Y124" i="8"/>
  <c r="Z124" i="8"/>
  <c r="AA124" i="8"/>
  <c r="AB124" i="8"/>
  <c r="AC124" i="8"/>
  <c r="AD124" i="8"/>
  <c r="Q125" i="8"/>
  <c r="R125" i="8"/>
  <c r="S125" i="8"/>
  <c r="T125" i="8"/>
  <c r="U125" i="8"/>
  <c r="V125" i="8"/>
  <c r="W125" i="8"/>
  <c r="X125" i="8"/>
  <c r="Y125" i="8"/>
  <c r="Z125" i="8"/>
  <c r="AA125" i="8"/>
  <c r="AB125" i="8"/>
  <c r="AC125" i="8"/>
  <c r="AD125" i="8"/>
  <c r="Q126" i="8"/>
  <c r="R126" i="8"/>
  <c r="S126" i="8"/>
  <c r="T126" i="8"/>
  <c r="U126" i="8"/>
  <c r="V126" i="8"/>
  <c r="W126" i="8"/>
  <c r="X126" i="8"/>
  <c r="Y126" i="8"/>
  <c r="Z126" i="8"/>
  <c r="AA126" i="8"/>
  <c r="AB126" i="8"/>
  <c r="AC126" i="8"/>
  <c r="AD126" i="8"/>
  <c r="Q127" i="8"/>
  <c r="R127" i="8"/>
  <c r="S127" i="8"/>
  <c r="T127" i="8"/>
  <c r="U127" i="8"/>
  <c r="V127" i="8"/>
  <c r="W127" i="8"/>
  <c r="X127" i="8"/>
  <c r="Y127" i="8"/>
  <c r="Z127" i="8"/>
  <c r="AA127" i="8"/>
  <c r="AB127" i="8"/>
  <c r="AC127" i="8"/>
  <c r="AD127" i="8"/>
  <c r="Q128" i="8"/>
  <c r="R128" i="8"/>
  <c r="S128" i="8"/>
  <c r="T128" i="8"/>
  <c r="U128" i="8"/>
  <c r="V128" i="8"/>
  <c r="W128" i="8"/>
  <c r="X128" i="8"/>
  <c r="Y128" i="8"/>
  <c r="Z128" i="8"/>
  <c r="AA128" i="8"/>
  <c r="AB128" i="8"/>
  <c r="AC128" i="8"/>
  <c r="AD128" i="8"/>
  <c r="Q129" i="8"/>
  <c r="R129" i="8"/>
  <c r="S129" i="8"/>
  <c r="T129" i="8"/>
  <c r="U129" i="8"/>
  <c r="V129" i="8"/>
  <c r="W129" i="8"/>
  <c r="X129" i="8"/>
  <c r="Y129" i="8"/>
  <c r="Z129" i="8"/>
  <c r="AA129" i="8"/>
  <c r="AB129" i="8"/>
  <c r="AC129" i="8"/>
  <c r="AD129" i="8"/>
  <c r="Q130" i="8"/>
  <c r="R130" i="8"/>
  <c r="S130" i="8"/>
  <c r="T130" i="8"/>
  <c r="U130" i="8"/>
  <c r="V130" i="8"/>
  <c r="W130" i="8"/>
  <c r="X130" i="8"/>
  <c r="Y130" i="8"/>
  <c r="Z130" i="8"/>
  <c r="AA130" i="8"/>
  <c r="AB130" i="8"/>
  <c r="AC130" i="8"/>
  <c r="AD130" i="8"/>
  <c r="Q131" i="8"/>
  <c r="R131" i="8"/>
  <c r="S131" i="8"/>
  <c r="T131" i="8"/>
  <c r="U131" i="8"/>
  <c r="V131" i="8"/>
  <c r="W131" i="8"/>
  <c r="X131" i="8"/>
  <c r="Y131" i="8"/>
  <c r="Z131" i="8"/>
  <c r="AA131" i="8"/>
  <c r="AB131" i="8"/>
  <c r="AC131" i="8"/>
  <c r="AD131" i="8"/>
  <c r="Q132" i="8"/>
  <c r="R132" i="8"/>
  <c r="S132" i="8"/>
  <c r="T132" i="8"/>
  <c r="U132" i="8"/>
  <c r="V132" i="8"/>
  <c r="W132" i="8"/>
  <c r="X132" i="8"/>
  <c r="Y132" i="8"/>
  <c r="Z132" i="8"/>
  <c r="AA132" i="8"/>
  <c r="AB132" i="8"/>
  <c r="AC132" i="8"/>
  <c r="AD132" i="8"/>
  <c r="Q133" i="8"/>
  <c r="R133" i="8"/>
  <c r="S133" i="8"/>
  <c r="T133" i="8"/>
  <c r="U133" i="8"/>
  <c r="V133" i="8"/>
  <c r="W133" i="8"/>
  <c r="X133" i="8"/>
  <c r="Y133" i="8"/>
  <c r="Z133" i="8"/>
  <c r="AA133" i="8"/>
  <c r="AB133" i="8"/>
  <c r="AC133" i="8"/>
  <c r="AD133" i="8"/>
  <c r="Q134" i="8"/>
  <c r="R134" i="8"/>
  <c r="S134" i="8"/>
  <c r="T134" i="8"/>
  <c r="U134" i="8"/>
  <c r="V134" i="8"/>
  <c r="W134" i="8"/>
  <c r="X134" i="8"/>
  <c r="Y134" i="8"/>
  <c r="Z134" i="8"/>
  <c r="AA134" i="8"/>
  <c r="AB134" i="8"/>
  <c r="AC134" i="8"/>
  <c r="AD134" i="8"/>
  <c r="Q135" i="8"/>
  <c r="R135" i="8"/>
  <c r="S135" i="8"/>
  <c r="T135" i="8"/>
  <c r="U135" i="8"/>
  <c r="V135" i="8"/>
  <c r="W135" i="8"/>
  <c r="X135" i="8"/>
  <c r="Y135" i="8"/>
  <c r="Z135" i="8"/>
  <c r="AA135" i="8"/>
  <c r="AB135" i="8"/>
  <c r="AC135" i="8"/>
  <c r="AD135" i="8"/>
  <c r="Q136" i="8"/>
  <c r="R136" i="8"/>
  <c r="S136" i="8"/>
  <c r="T136" i="8"/>
  <c r="U136" i="8"/>
  <c r="V136" i="8"/>
  <c r="W136" i="8"/>
  <c r="X136" i="8"/>
  <c r="Y136" i="8"/>
  <c r="Z136" i="8"/>
  <c r="AA136" i="8"/>
  <c r="AB136" i="8"/>
  <c r="AC136" i="8"/>
  <c r="AD136" i="8"/>
  <c r="Q137" i="8"/>
  <c r="R137" i="8"/>
  <c r="S137" i="8"/>
  <c r="T137" i="8"/>
  <c r="U137" i="8"/>
  <c r="V137" i="8"/>
  <c r="W137" i="8"/>
  <c r="X137" i="8"/>
  <c r="Y137" i="8"/>
  <c r="Z137" i="8"/>
  <c r="AA137" i="8"/>
  <c r="AB137" i="8"/>
  <c r="AC137" i="8"/>
  <c r="AD137" i="8"/>
  <c r="Q138" i="8"/>
  <c r="R138" i="8"/>
  <c r="S138" i="8"/>
  <c r="T138" i="8"/>
  <c r="U138" i="8"/>
  <c r="V138" i="8"/>
  <c r="W138" i="8"/>
  <c r="X138" i="8"/>
  <c r="Y138" i="8"/>
  <c r="Z138" i="8"/>
  <c r="AA138" i="8"/>
  <c r="AB138" i="8"/>
  <c r="AC138" i="8"/>
  <c r="AD138" i="8"/>
  <c r="Q139" i="8"/>
  <c r="R139" i="8"/>
  <c r="S139" i="8"/>
  <c r="T139" i="8"/>
  <c r="U139" i="8"/>
  <c r="V139" i="8"/>
  <c r="W139" i="8"/>
  <c r="X139" i="8"/>
  <c r="Y139" i="8"/>
  <c r="Z139" i="8"/>
  <c r="AA139" i="8"/>
  <c r="AB139" i="8"/>
  <c r="AC139" i="8"/>
  <c r="AD139" i="8"/>
  <c r="Q140" i="8"/>
  <c r="R140" i="8"/>
  <c r="S140" i="8"/>
  <c r="T140" i="8"/>
  <c r="U140" i="8"/>
  <c r="V140" i="8"/>
  <c r="W140" i="8"/>
  <c r="X140" i="8"/>
  <c r="Y140" i="8"/>
  <c r="Z140" i="8"/>
  <c r="AA140" i="8"/>
  <c r="AB140" i="8"/>
  <c r="AC140" i="8"/>
  <c r="AD140" i="8"/>
  <c r="Q141" i="8"/>
  <c r="R141" i="8"/>
  <c r="S141" i="8"/>
  <c r="T141" i="8"/>
  <c r="U141" i="8"/>
  <c r="V141" i="8"/>
  <c r="W141" i="8"/>
  <c r="X141" i="8"/>
  <c r="Y141" i="8"/>
  <c r="Z141" i="8"/>
  <c r="AA141" i="8"/>
  <c r="AB141" i="8"/>
  <c r="AC141" i="8"/>
  <c r="AD141" i="8"/>
  <c r="Q142" i="8"/>
  <c r="R142" i="8"/>
  <c r="S142" i="8"/>
  <c r="T142" i="8"/>
  <c r="U142" i="8"/>
  <c r="V142" i="8"/>
  <c r="W142" i="8"/>
  <c r="X142" i="8"/>
  <c r="Y142" i="8"/>
  <c r="Z142" i="8"/>
  <c r="AA142" i="8"/>
  <c r="AB142" i="8"/>
  <c r="AC142" i="8"/>
  <c r="AD142" i="8"/>
  <c r="Q143" i="8"/>
  <c r="R143" i="8"/>
  <c r="S143" i="8"/>
  <c r="T143" i="8"/>
  <c r="U143" i="8"/>
  <c r="V143" i="8"/>
  <c r="W143" i="8"/>
  <c r="X143" i="8"/>
  <c r="Y143" i="8"/>
  <c r="Z143" i="8"/>
  <c r="AA143" i="8"/>
  <c r="AB143" i="8"/>
  <c r="AC143" i="8"/>
  <c r="AD143" i="8"/>
  <c r="Q144" i="8"/>
  <c r="R144" i="8"/>
  <c r="S144" i="8"/>
  <c r="T144" i="8"/>
  <c r="U144" i="8"/>
  <c r="V144" i="8"/>
  <c r="W144" i="8"/>
  <c r="X144" i="8"/>
  <c r="Y144" i="8"/>
  <c r="Z144" i="8"/>
  <c r="AA144" i="8"/>
  <c r="AB144" i="8"/>
  <c r="AC144" i="8"/>
  <c r="AD144" i="8"/>
  <c r="Q145" i="8"/>
  <c r="R145" i="8"/>
  <c r="S145" i="8"/>
  <c r="T145" i="8"/>
  <c r="U145" i="8"/>
  <c r="V145" i="8"/>
  <c r="W145" i="8"/>
  <c r="X145" i="8"/>
  <c r="Y145" i="8"/>
  <c r="Z145" i="8"/>
  <c r="AA145" i="8"/>
  <c r="AB145" i="8"/>
  <c r="AC145" i="8"/>
  <c r="AD145" i="8"/>
  <c r="Q146" i="8"/>
  <c r="R146" i="8"/>
  <c r="S146" i="8"/>
  <c r="T146" i="8"/>
  <c r="U146" i="8"/>
  <c r="V146" i="8"/>
  <c r="W146" i="8"/>
  <c r="X146" i="8"/>
  <c r="Y146" i="8"/>
  <c r="Z146" i="8"/>
  <c r="AA146" i="8"/>
  <c r="AB146" i="8"/>
  <c r="AC146" i="8"/>
  <c r="AD146" i="8"/>
  <c r="Q147" i="8"/>
  <c r="R147" i="8"/>
  <c r="S147" i="8"/>
  <c r="T147" i="8"/>
  <c r="U147" i="8"/>
  <c r="V147" i="8"/>
  <c r="W147" i="8"/>
  <c r="X147" i="8"/>
  <c r="Y147" i="8"/>
  <c r="Z147" i="8"/>
  <c r="AA147" i="8"/>
  <c r="AB147" i="8"/>
  <c r="AC147" i="8"/>
  <c r="AD147" i="8"/>
  <c r="Q148" i="8"/>
  <c r="R148" i="8"/>
  <c r="S148" i="8"/>
  <c r="T148" i="8"/>
  <c r="U148" i="8"/>
  <c r="V148" i="8"/>
  <c r="W148" i="8"/>
  <c r="X148" i="8"/>
  <c r="Y148" i="8"/>
  <c r="Z148" i="8"/>
  <c r="AA148" i="8"/>
  <c r="AB148" i="8"/>
  <c r="AC148" i="8"/>
  <c r="AD148" i="8"/>
  <c r="Q149" i="8"/>
  <c r="R149" i="8"/>
  <c r="S149" i="8"/>
  <c r="T149" i="8"/>
  <c r="U149" i="8"/>
  <c r="V149" i="8"/>
  <c r="W149" i="8"/>
  <c r="X149" i="8"/>
  <c r="Y149" i="8"/>
  <c r="Z149" i="8"/>
  <c r="AA149" i="8"/>
  <c r="AB149" i="8"/>
  <c r="AC149" i="8"/>
  <c r="AD149" i="8"/>
  <c r="Q150" i="8"/>
  <c r="R150" i="8"/>
  <c r="S150" i="8"/>
  <c r="T150" i="8"/>
  <c r="U150" i="8"/>
  <c r="V150" i="8"/>
  <c r="W150" i="8"/>
  <c r="X150" i="8"/>
  <c r="Y150" i="8"/>
  <c r="Z150" i="8"/>
  <c r="AA150" i="8"/>
  <c r="AB150" i="8"/>
  <c r="AC150" i="8"/>
  <c r="AD150" i="8"/>
  <c r="Q151" i="8"/>
  <c r="R151" i="8"/>
  <c r="S151" i="8"/>
  <c r="T151" i="8"/>
  <c r="U151" i="8"/>
  <c r="V151" i="8"/>
  <c r="W151" i="8"/>
  <c r="X151" i="8"/>
  <c r="Y151" i="8"/>
  <c r="Z151" i="8"/>
  <c r="AA151" i="8"/>
  <c r="AB151" i="8"/>
  <c r="AC151" i="8"/>
  <c r="AD151" i="8"/>
  <c r="Q152" i="8"/>
  <c r="R152" i="8"/>
  <c r="S152" i="8"/>
  <c r="T152" i="8"/>
  <c r="U152" i="8"/>
  <c r="V152" i="8"/>
  <c r="W152" i="8"/>
  <c r="X152" i="8"/>
  <c r="Y152" i="8"/>
  <c r="Z152" i="8"/>
  <c r="AA152" i="8"/>
  <c r="AB152" i="8"/>
  <c r="AC152" i="8"/>
  <c r="AD152" i="8"/>
  <c r="Q153" i="8"/>
  <c r="R153" i="8"/>
  <c r="S153" i="8"/>
  <c r="T153" i="8"/>
  <c r="U153" i="8"/>
  <c r="V153" i="8"/>
  <c r="W153" i="8"/>
  <c r="X153" i="8"/>
  <c r="Y153" i="8"/>
  <c r="Z153" i="8"/>
  <c r="AA153" i="8"/>
  <c r="AB153" i="8"/>
  <c r="AC153" i="8"/>
  <c r="AD153" i="8"/>
  <c r="Q154" i="8"/>
  <c r="R154" i="8"/>
  <c r="S154" i="8"/>
  <c r="T154" i="8"/>
  <c r="U154" i="8"/>
  <c r="V154" i="8"/>
  <c r="W154" i="8"/>
  <c r="X154" i="8"/>
  <c r="Y154" i="8"/>
  <c r="Z154" i="8"/>
  <c r="AA154" i="8"/>
  <c r="AB154" i="8"/>
  <c r="AC154" i="8"/>
  <c r="AD154" i="8"/>
  <c r="Q155" i="8"/>
  <c r="R155" i="8"/>
  <c r="S155" i="8"/>
  <c r="T155" i="8"/>
  <c r="U155" i="8"/>
  <c r="V155" i="8"/>
  <c r="W155" i="8"/>
  <c r="X155" i="8"/>
  <c r="Y155" i="8"/>
  <c r="Z155" i="8"/>
  <c r="AA155" i="8"/>
  <c r="AB155" i="8"/>
  <c r="AC155" i="8"/>
  <c r="AD155" i="8"/>
  <c r="Q156" i="8"/>
  <c r="R156" i="8"/>
  <c r="S156" i="8"/>
  <c r="T156" i="8"/>
  <c r="U156" i="8"/>
  <c r="V156" i="8"/>
  <c r="W156" i="8"/>
  <c r="X156" i="8"/>
  <c r="Y156" i="8"/>
  <c r="Z156" i="8"/>
  <c r="AA156" i="8"/>
  <c r="AB156" i="8"/>
  <c r="AC156" i="8"/>
  <c r="AD156" i="8"/>
  <c r="Q157" i="8"/>
  <c r="R157" i="8"/>
  <c r="S157" i="8"/>
  <c r="T157" i="8"/>
  <c r="U157" i="8"/>
  <c r="V157" i="8"/>
  <c r="W157" i="8"/>
  <c r="X157" i="8"/>
  <c r="Y157" i="8"/>
  <c r="Z157" i="8"/>
  <c r="AA157" i="8"/>
  <c r="AB157" i="8"/>
  <c r="AC157" i="8"/>
  <c r="AD157" i="8"/>
  <c r="Q158" i="8"/>
  <c r="R158" i="8"/>
  <c r="S158" i="8"/>
  <c r="T158" i="8"/>
  <c r="U158" i="8"/>
  <c r="V158" i="8"/>
  <c r="W158" i="8"/>
  <c r="X158" i="8"/>
  <c r="Y158" i="8"/>
  <c r="Z158" i="8"/>
  <c r="AA158" i="8"/>
  <c r="AB158" i="8"/>
  <c r="AC158" i="8"/>
  <c r="AD158" i="8"/>
  <c r="Q159" i="8"/>
  <c r="R159" i="8"/>
  <c r="S159" i="8"/>
  <c r="T159" i="8"/>
  <c r="U159" i="8"/>
  <c r="V159" i="8"/>
  <c r="W159" i="8"/>
  <c r="X159" i="8"/>
  <c r="Y159" i="8"/>
  <c r="Z159" i="8"/>
  <c r="AA159" i="8"/>
  <c r="AB159" i="8"/>
  <c r="AC159" i="8"/>
  <c r="AD159" i="8"/>
  <c r="Q160" i="8"/>
  <c r="R160" i="8"/>
  <c r="S160" i="8"/>
  <c r="T160" i="8"/>
  <c r="U160" i="8"/>
  <c r="V160" i="8"/>
  <c r="W160" i="8"/>
  <c r="X160" i="8"/>
  <c r="Y160" i="8"/>
  <c r="Z160" i="8"/>
  <c r="AA160" i="8"/>
  <c r="AB160" i="8"/>
  <c r="AC160" i="8"/>
  <c r="AD160" i="8"/>
  <c r="Q161" i="8"/>
  <c r="R161" i="8"/>
  <c r="S161" i="8"/>
  <c r="T161" i="8"/>
  <c r="U161" i="8"/>
  <c r="V161" i="8"/>
  <c r="W161" i="8"/>
  <c r="X161" i="8"/>
  <c r="Y161" i="8"/>
  <c r="Z161" i="8"/>
  <c r="AA161" i="8"/>
  <c r="AB161" i="8"/>
  <c r="AC161" i="8"/>
  <c r="AD161" i="8"/>
  <c r="Q162" i="8"/>
  <c r="R162" i="8"/>
  <c r="S162" i="8"/>
  <c r="T162" i="8"/>
  <c r="U162" i="8"/>
  <c r="V162" i="8"/>
  <c r="W162" i="8"/>
  <c r="X162" i="8"/>
  <c r="Y162" i="8"/>
  <c r="Z162" i="8"/>
  <c r="AA162" i="8"/>
  <c r="AB162" i="8"/>
  <c r="AC162" i="8"/>
  <c r="AD162" i="8"/>
  <c r="Q163" i="8"/>
  <c r="R163" i="8"/>
  <c r="S163" i="8"/>
  <c r="T163" i="8"/>
  <c r="U163" i="8"/>
  <c r="V163" i="8"/>
  <c r="W163" i="8"/>
  <c r="X163" i="8"/>
  <c r="Y163" i="8"/>
  <c r="Z163" i="8"/>
  <c r="AA163" i="8"/>
  <c r="AB163" i="8"/>
  <c r="AC163" i="8"/>
  <c r="AD163" i="8"/>
  <c r="Q164" i="8"/>
  <c r="R164" i="8"/>
  <c r="S164" i="8"/>
  <c r="T164" i="8"/>
  <c r="U164" i="8"/>
  <c r="V164" i="8"/>
  <c r="W164" i="8"/>
  <c r="X164" i="8"/>
  <c r="Y164" i="8"/>
  <c r="Z164" i="8"/>
  <c r="AA164" i="8"/>
  <c r="AB164" i="8"/>
  <c r="AC164" i="8"/>
  <c r="AD164" i="8"/>
  <c r="Q165" i="8"/>
  <c r="R165" i="8"/>
  <c r="S165" i="8"/>
  <c r="T165" i="8"/>
  <c r="U165" i="8"/>
  <c r="V165" i="8"/>
  <c r="W165" i="8"/>
  <c r="X165" i="8"/>
  <c r="Y165" i="8"/>
  <c r="Z165" i="8"/>
  <c r="AA165" i="8"/>
  <c r="AB165" i="8"/>
  <c r="AC165" i="8"/>
  <c r="AD165" i="8"/>
  <c r="Q166" i="8"/>
  <c r="R166" i="8"/>
  <c r="S166" i="8"/>
  <c r="T166" i="8"/>
  <c r="U166" i="8"/>
  <c r="V166" i="8"/>
  <c r="W166" i="8"/>
  <c r="X166" i="8"/>
  <c r="Y166" i="8"/>
  <c r="Z166" i="8"/>
  <c r="AA166" i="8"/>
  <c r="AB166" i="8"/>
  <c r="AC166" i="8"/>
  <c r="AD166" i="8"/>
  <c r="Q167" i="8"/>
  <c r="R167" i="8"/>
  <c r="S167" i="8"/>
  <c r="T167" i="8"/>
  <c r="U167" i="8"/>
  <c r="V167" i="8"/>
  <c r="W167" i="8"/>
  <c r="X167" i="8"/>
  <c r="Y167" i="8"/>
  <c r="Z167" i="8"/>
  <c r="AA167" i="8"/>
  <c r="AB167" i="8"/>
  <c r="AC167" i="8"/>
  <c r="AD167" i="8"/>
  <c r="Q168" i="8"/>
  <c r="R168" i="8"/>
  <c r="S168" i="8"/>
  <c r="T168" i="8"/>
  <c r="U168" i="8"/>
  <c r="V168" i="8"/>
  <c r="W168" i="8"/>
  <c r="X168" i="8"/>
  <c r="Y168" i="8"/>
  <c r="Z168" i="8"/>
  <c r="AA168" i="8"/>
  <c r="AB168" i="8"/>
  <c r="AC168" i="8"/>
  <c r="AD168" i="8"/>
  <c r="Q169" i="8"/>
  <c r="R169" i="8"/>
  <c r="S169" i="8"/>
  <c r="T169" i="8"/>
  <c r="U169" i="8"/>
  <c r="V169" i="8"/>
  <c r="W169" i="8"/>
  <c r="X169" i="8"/>
  <c r="Y169" i="8"/>
  <c r="Z169" i="8"/>
  <c r="AA169" i="8"/>
  <c r="AB169" i="8"/>
  <c r="AC169" i="8"/>
  <c r="AD169" i="8"/>
  <c r="Q170" i="8"/>
  <c r="R170" i="8"/>
  <c r="S170" i="8"/>
  <c r="T170" i="8"/>
  <c r="U170" i="8"/>
  <c r="V170" i="8"/>
  <c r="W170" i="8"/>
  <c r="X170" i="8"/>
  <c r="Y170" i="8"/>
  <c r="Z170" i="8"/>
  <c r="AA170" i="8"/>
  <c r="AB170" i="8"/>
  <c r="AC170" i="8"/>
  <c r="AD170" i="8"/>
  <c r="Q171" i="8"/>
  <c r="R171" i="8"/>
  <c r="S171" i="8"/>
  <c r="T171" i="8"/>
  <c r="U171" i="8"/>
  <c r="V171" i="8"/>
  <c r="W171" i="8"/>
  <c r="X171" i="8"/>
  <c r="Y171" i="8"/>
  <c r="Z171" i="8"/>
  <c r="AA171" i="8"/>
  <c r="AB171" i="8"/>
  <c r="AC171" i="8"/>
  <c r="AD171" i="8"/>
  <c r="Q172" i="8"/>
  <c r="R172" i="8"/>
  <c r="S172" i="8"/>
  <c r="T172" i="8"/>
  <c r="U172" i="8"/>
  <c r="V172" i="8"/>
  <c r="W172" i="8"/>
  <c r="X172" i="8"/>
  <c r="Y172" i="8"/>
  <c r="Z172" i="8"/>
  <c r="AA172" i="8"/>
  <c r="AB172" i="8"/>
  <c r="AC172" i="8"/>
  <c r="AD172" i="8"/>
  <c r="Q173" i="8"/>
  <c r="R173" i="8"/>
  <c r="S173" i="8"/>
  <c r="T173" i="8"/>
  <c r="U173" i="8"/>
  <c r="V173" i="8"/>
  <c r="W173" i="8"/>
  <c r="X173" i="8"/>
  <c r="Y173" i="8"/>
  <c r="Z173" i="8"/>
  <c r="AA173" i="8"/>
  <c r="AB173" i="8"/>
  <c r="AC173" i="8"/>
  <c r="AD173" i="8"/>
  <c r="Q174" i="8"/>
  <c r="R174" i="8"/>
  <c r="S174" i="8"/>
  <c r="T174" i="8"/>
  <c r="U174" i="8"/>
  <c r="V174" i="8"/>
  <c r="W174" i="8"/>
  <c r="X174" i="8"/>
  <c r="Y174" i="8"/>
  <c r="Z174" i="8"/>
  <c r="AA174" i="8"/>
  <c r="AB174" i="8"/>
  <c r="AC174" i="8"/>
  <c r="AD174" i="8"/>
  <c r="Q175" i="8"/>
  <c r="R175" i="8"/>
  <c r="S175" i="8"/>
  <c r="T175" i="8"/>
  <c r="U175" i="8"/>
  <c r="V175" i="8"/>
  <c r="W175" i="8"/>
  <c r="X175" i="8"/>
  <c r="Y175" i="8"/>
  <c r="Z175" i="8"/>
  <c r="AA175" i="8"/>
  <c r="AB175" i="8"/>
  <c r="AC175" i="8"/>
  <c r="AD175" i="8"/>
  <c r="Q176" i="8"/>
  <c r="R176" i="8"/>
  <c r="S176" i="8"/>
  <c r="T176" i="8"/>
  <c r="U176" i="8"/>
  <c r="V176" i="8"/>
  <c r="W176" i="8"/>
  <c r="X176" i="8"/>
  <c r="Y176" i="8"/>
  <c r="Z176" i="8"/>
  <c r="AA176" i="8"/>
  <c r="AB176" i="8"/>
  <c r="AC176" i="8"/>
  <c r="AD176" i="8"/>
  <c r="Q177" i="8"/>
  <c r="R177" i="8"/>
  <c r="S177" i="8"/>
  <c r="T177" i="8"/>
  <c r="U177" i="8"/>
  <c r="V177" i="8"/>
  <c r="W177" i="8"/>
  <c r="X177" i="8"/>
  <c r="Y177" i="8"/>
  <c r="Z177" i="8"/>
  <c r="AA177" i="8"/>
  <c r="AB177" i="8"/>
  <c r="AC177" i="8"/>
  <c r="AD177" i="8"/>
  <c r="Q178" i="8"/>
  <c r="R178" i="8"/>
  <c r="S178" i="8"/>
  <c r="T178" i="8"/>
  <c r="U178" i="8"/>
  <c r="V178" i="8"/>
  <c r="W178" i="8"/>
  <c r="X178" i="8"/>
  <c r="Y178" i="8"/>
  <c r="Z178" i="8"/>
  <c r="AA178" i="8"/>
  <c r="AB178" i="8"/>
  <c r="AC178" i="8"/>
  <c r="AD178" i="8"/>
  <c r="Q179" i="8"/>
  <c r="R179" i="8"/>
  <c r="S179" i="8"/>
  <c r="T179" i="8"/>
  <c r="U179" i="8"/>
  <c r="V179" i="8"/>
  <c r="W179" i="8"/>
  <c r="X179" i="8"/>
  <c r="Y179" i="8"/>
  <c r="Z179" i="8"/>
  <c r="AA179" i="8"/>
  <c r="AB179" i="8"/>
  <c r="AC179" i="8"/>
  <c r="AD179" i="8"/>
  <c r="Q180" i="8"/>
  <c r="R180" i="8"/>
  <c r="S180" i="8"/>
  <c r="T180" i="8"/>
  <c r="U180" i="8"/>
  <c r="V180" i="8"/>
  <c r="W180" i="8"/>
  <c r="X180" i="8"/>
  <c r="Y180" i="8"/>
  <c r="Z180" i="8"/>
  <c r="AA180" i="8"/>
  <c r="AB180" i="8"/>
  <c r="AC180" i="8"/>
  <c r="AD180" i="8"/>
  <c r="Q181" i="8"/>
  <c r="R181" i="8"/>
  <c r="S181" i="8"/>
  <c r="T181" i="8"/>
  <c r="U181" i="8"/>
  <c r="V181" i="8"/>
  <c r="W181" i="8"/>
  <c r="X181" i="8"/>
  <c r="Y181" i="8"/>
  <c r="Z181" i="8"/>
  <c r="AA181" i="8"/>
  <c r="AB181" i="8"/>
  <c r="AC181" i="8"/>
  <c r="AD181" i="8"/>
  <c r="Q182" i="8"/>
  <c r="R182" i="8"/>
  <c r="S182" i="8"/>
  <c r="T182" i="8"/>
  <c r="U182" i="8"/>
  <c r="V182" i="8"/>
  <c r="W182" i="8"/>
  <c r="X182" i="8"/>
  <c r="Y182" i="8"/>
  <c r="Z182" i="8"/>
  <c r="AA182" i="8"/>
  <c r="AB182" i="8"/>
  <c r="AC182" i="8"/>
  <c r="AD182" i="8"/>
  <c r="Q183" i="8"/>
  <c r="R183" i="8"/>
  <c r="S183" i="8"/>
  <c r="T183" i="8"/>
  <c r="U183" i="8"/>
  <c r="V183" i="8"/>
  <c r="W183" i="8"/>
  <c r="X183" i="8"/>
  <c r="Y183" i="8"/>
  <c r="Z183" i="8"/>
  <c r="AA183" i="8"/>
  <c r="AB183" i="8"/>
  <c r="AC183" i="8"/>
  <c r="AD183" i="8"/>
  <c r="Q184" i="8"/>
  <c r="R184" i="8"/>
  <c r="S184" i="8"/>
  <c r="T184" i="8"/>
  <c r="U184" i="8"/>
  <c r="V184" i="8"/>
  <c r="W184" i="8"/>
  <c r="X184" i="8"/>
  <c r="Y184" i="8"/>
  <c r="Z184" i="8"/>
  <c r="AA184" i="8"/>
  <c r="AB184" i="8"/>
  <c r="AC184" i="8"/>
  <c r="AD184" i="8"/>
  <c r="Q185" i="8"/>
  <c r="R185" i="8"/>
  <c r="S185" i="8"/>
  <c r="T185" i="8"/>
  <c r="U185" i="8"/>
  <c r="V185" i="8"/>
  <c r="W185" i="8"/>
  <c r="X185" i="8"/>
  <c r="Y185" i="8"/>
  <c r="Z185" i="8"/>
  <c r="AA185" i="8"/>
  <c r="AB185" i="8"/>
  <c r="AC185" i="8"/>
  <c r="AD185" i="8"/>
  <c r="Q186" i="8"/>
  <c r="R186" i="8"/>
  <c r="S186" i="8"/>
  <c r="T186" i="8"/>
  <c r="U186" i="8"/>
  <c r="V186" i="8"/>
  <c r="W186" i="8"/>
  <c r="X186" i="8"/>
  <c r="Y186" i="8"/>
  <c r="Z186" i="8"/>
  <c r="AA186" i="8"/>
  <c r="AB186" i="8"/>
  <c r="AC186" i="8"/>
  <c r="AD186" i="8"/>
  <c r="Q187" i="8"/>
  <c r="R187" i="8"/>
  <c r="S187" i="8"/>
  <c r="T187" i="8"/>
  <c r="U187" i="8"/>
  <c r="V187" i="8"/>
  <c r="W187" i="8"/>
  <c r="X187" i="8"/>
  <c r="Y187" i="8"/>
  <c r="Z187" i="8"/>
  <c r="AA187" i="8"/>
  <c r="AB187" i="8"/>
  <c r="AC187" i="8"/>
  <c r="AD187" i="8"/>
  <c r="Q188" i="8"/>
  <c r="R188" i="8"/>
  <c r="S188" i="8"/>
  <c r="T188" i="8"/>
  <c r="U188" i="8"/>
  <c r="V188" i="8"/>
  <c r="W188" i="8"/>
  <c r="X188" i="8"/>
  <c r="Y188" i="8"/>
  <c r="Z188" i="8"/>
  <c r="AA188" i="8"/>
  <c r="AB188" i="8"/>
  <c r="AC188" i="8"/>
  <c r="AD188" i="8"/>
  <c r="Q189" i="8"/>
  <c r="R189" i="8"/>
  <c r="S189" i="8"/>
  <c r="T189" i="8"/>
  <c r="U189" i="8"/>
  <c r="V189" i="8"/>
  <c r="W189" i="8"/>
  <c r="X189" i="8"/>
  <c r="Y189" i="8"/>
  <c r="Z189" i="8"/>
  <c r="AA189" i="8"/>
  <c r="AB189" i="8"/>
  <c r="AC189" i="8"/>
  <c r="AD189" i="8"/>
  <c r="Q190" i="8"/>
  <c r="R190" i="8"/>
  <c r="S190" i="8"/>
  <c r="T190" i="8"/>
  <c r="U190" i="8"/>
  <c r="V190" i="8"/>
  <c r="W190" i="8"/>
  <c r="X190" i="8"/>
  <c r="Y190" i="8"/>
  <c r="Z190" i="8"/>
  <c r="AA190" i="8"/>
  <c r="AB190" i="8"/>
  <c r="AC190" i="8"/>
  <c r="AD190" i="8"/>
  <c r="Q191" i="8"/>
  <c r="R191" i="8"/>
  <c r="S191" i="8"/>
  <c r="T191" i="8"/>
  <c r="U191" i="8"/>
  <c r="V191" i="8"/>
  <c r="W191" i="8"/>
  <c r="X191" i="8"/>
  <c r="Y191" i="8"/>
  <c r="Z191" i="8"/>
  <c r="AA191" i="8"/>
  <c r="AB191" i="8"/>
  <c r="AC191" i="8"/>
  <c r="AD191" i="8"/>
  <c r="Q192" i="8"/>
  <c r="R192" i="8"/>
  <c r="S192" i="8"/>
  <c r="T192" i="8"/>
  <c r="U192" i="8"/>
  <c r="V192" i="8"/>
  <c r="W192" i="8"/>
  <c r="X192" i="8"/>
  <c r="Y192" i="8"/>
  <c r="Z192" i="8"/>
  <c r="AA192" i="8"/>
  <c r="AB192" i="8"/>
  <c r="AC192" i="8"/>
  <c r="AD192" i="8"/>
  <c r="Q193" i="8"/>
  <c r="R193" i="8"/>
  <c r="S193" i="8"/>
  <c r="T193" i="8"/>
  <c r="U193" i="8"/>
  <c r="V193" i="8"/>
  <c r="W193" i="8"/>
  <c r="X193" i="8"/>
  <c r="Y193" i="8"/>
  <c r="Z193" i="8"/>
  <c r="AA193" i="8"/>
  <c r="AB193" i="8"/>
  <c r="AC193" i="8"/>
  <c r="AD193" i="8"/>
  <c r="Q194" i="8"/>
  <c r="R194" i="8"/>
  <c r="S194" i="8"/>
  <c r="T194" i="8"/>
  <c r="U194" i="8"/>
  <c r="V194" i="8"/>
  <c r="W194" i="8"/>
  <c r="X194" i="8"/>
  <c r="Y194" i="8"/>
  <c r="Z194" i="8"/>
  <c r="AA194" i="8"/>
  <c r="AB194" i="8"/>
  <c r="AC194" i="8"/>
  <c r="AD194" i="8"/>
  <c r="Q195" i="8"/>
  <c r="R195" i="8"/>
  <c r="S195" i="8"/>
  <c r="T195" i="8"/>
  <c r="U195" i="8"/>
  <c r="V195" i="8"/>
  <c r="W195" i="8"/>
  <c r="X195" i="8"/>
  <c r="Y195" i="8"/>
  <c r="Z195" i="8"/>
  <c r="AA195" i="8"/>
  <c r="AB195" i="8"/>
  <c r="AC195" i="8"/>
  <c r="AD195" i="8"/>
  <c r="Q196" i="8"/>
  <c r="R196" i="8"/>
  <c r="S196" i="8"/>
  <c r="T196" i="8"/>
  <c r="U196" i="8"/>
  <c r="V196" i="8"/>
  <c r="W196" i="8"/>
  <c r="X196" i="8"/>
  <c r="Y196" i="8"/>
  <c r="Z196" i="8"/>
  <c r="AA196" i="8"/>
  <c r="AB196" i="8"/>
  <c r="AC196" i="8"/>
  <c r="AD196" i="8"/>
  <c r="Q197" i="8"/>
  <c r="R197" i="8"/>
  <c r="S197" i="8"/>
  <c r="T197" i="8"/>
  <c r="U197" i="8"/>
  <c r="V197" i="8"/>
  <c r="W197" i="8"/>
  <c r="X197" i="8"/>
  <c r="Y197" i="8"/>
  <c r="Z197" i="8"/>
  <c r="AA197" i="8"/>
  <c r="AB197" i="8"/>
  <c r="AC197" i="8"/>
  <c r="AD197" i="8"/>
  <c r="Q198" i="8"/>
  <c r="R198" i="8"/>
  <c r="S198" i="8"/>
  <c r="T198" i="8"/>
  <c r="U198" i="8"/>
  <c r="V198" i="8"/>
  <c r="W198" i="8"/>
  <c r="X198" i="8"/>
  <c r="Y198" i="8"/>
  <c r="Z198" i="8"/>
  <c r="AA198" i="8"/>
  <c r="AB198" i="8"/>
  <c r="AC198" i="8"/>
  <c r="AD198" i="8"/>
  <c r="Q199" i="8"/>
  <c r="R199" i="8"/>
  <c r="S199" i="8"/>
  <c r="T199" i="8"/>
  <c r="U199" i="8"/>
  <c r="V199" i="8"/>
  <c r="W199" i="8"/>
  <c r="X199" i="8"/>
  <c r="Y199" i="8"/>
  <c r="Z199" i="8"/>
  <c r="AA199" i="8"/>
  <c r="AB199" i="8"/>
  <c r="AC199" i="8"/>
  <c r="AD199" i="8"/>
  <c r="Q200" i="8"/>
  <c r="R200" i="8"/>
  <c r="S200" i="8"/>
  <c r="T200" i="8"/>
  <c r="U200" i="8"/>
  <c r="V200" i="8"/>
  <c r="W200" i="8"/>
  <c r="X200" i="8"/>
  <c r="Y200" i="8"/>
  <c r="Z200" i="8"/>
  <c r="AA200" i="8"/>
  <c r="AB200" i="8"/>
  <c r="AC200" i="8"/>
  <c r="AD200" i="8"/>
  <c r="Q201" i="8"/>
  <c r="R201" i="8"/>
  <c r="S201" i="8"/>
  <c r="T201" i="8"/>
  <c r="U201" i="8"/>
  <c r="V201" i="8"/>
  <c r="W201" i="8"/>
  <c r="X201" i="8"/>
  <c r="Y201" i="8"/>
  <c r="Z201" i="8"/>
  <c r="AA201" i="8"/>
  <c r="AB201" i="8"/>
  <c r="AC201" i="8"/>
  <c r="AD201" i="8"/>
  <c r="Q202" i="8"/>
  <c r="R202" i="8"/>
  <c r="S202" i="8"/>
  <c r="T202" i="8"/>
  <c r="U202" i="8"/>
  <c r="V202" i="8"/>
  <c r="W202" i="8"/>
  <c r="X202" i="8"/>
  <c r="Y202" i="8"/>
  <c r="Z202" i="8"/>
  <c r="AA202" i="8"/>
  <c r="AB202" i="8"/>
  <c r="AC202" i="8"/>
  <c r="AD202" i="8"/>
  <c r="Q203" i="8"/>
  <c r="R203" i="8"/>
  <c r="S203" i="8"/>
  <c r="T203" i="8"/>
  <c r="U203" i="8"/>
  <c r="V203" i="8"/>
  <c r="W203" i="8"/>
  <c r="X203" i="8"/>
  <c r="Y203" i="8"/>
  <c r="Z203" i="8"/>
  <c r="AA203" i="8"/>
  <c r="AB203" i="8"/>
  <c r="AC203" i="8"/>
  <c r="AD203" i="8"/>
  <c r="Q204" i="8"/>
  <c r="R204" i="8"/>
  <c r="S204" i="8"/>
  <c r="T204" i="8"/>
  <c r="U204" i="8"/>
  <c r="V204" i="8"/>
  <c r="W204" i="8"/>
  <c r="X204" i="8"/>
  <c r="Y204" i="8"/>
  <c r="Z204" i="8"/>
  <c r="AA204" i="8"/>
  <c r="AB204" i="8"/>
  <c r="AC204" i="8"/>
  <c r="AD204" i="8"/>
  <c r="Q205" i="8"/>
  <c r="R205" i="8"/>
  <c r="S205" i="8"/>
  <c r="T205" i="8"/>
  <c r="U205" i="8"/>
  <c r="V205" i="8"/>
  <c r="W205" i="8"/>
  <c r="X205" i="8"/>
  <c r="Y205" i="8"/>
  <c r="Z205" i="8"/>
  <c r="AA205" i="8"/>
  <c r="AB205" i="8"/>
  <c r="AC205" i="8"/>
  <c r="AD205" i="8"/>
  <c r="Q206" i="8"/>
  <c r="R206" i="8"/>
  <c r="S206" i="8"/>
  <c r="T206" i="8"/>
  <c r="U206" i="8"/>
  <c r="V206" i="8"/>
  <c r="W206" i="8"/>
  <c r="X206" i="8"/>
  <c r="Y206" i="8"/>
  <c r="Z206" i="8"/>
  <c r="AA206" i="8"/>
  <c r="AB206" i="8"/>
  <c r="AC206" i="8"/>
  <c r="AD206" i="8"/>
  <c r="Q207" i="8"/>
  <c r="R207" i="8"/>
  <c r="S207" i="8"/>
  <c r="T207" i="8"/>
  <c r="U207" i="8"/>
  <c r="V207" i="8"/>
  <c r="W207" i="8"/>
  <c r="X207" i="8"/>
  <c r="Y207" i="8"/>
  <c r="Z207" i="8"/>
  <c r="AA207" i="8"/>
  <c r="AB207" i="8"/>
  <c r="AC207" i="8"/>
  <c r="AD207" i="8"/>
  <c r="Q208" i="8"/>
  <c r="R208" i="8"/>
  <c r="S208" i="8"/>
  <c r="T208" i="8"/>
  <c r="U208" i="8"/>
  <c r="V208" i="8"/>
  <c r="W208" i="8"/>
  <c r="X208" i="8"/>
  <c r="Y208" i="8"/>
  <c r="Z208" i="8"/>
  <c r="AA208" i="8"/>
  <c r="AB208" i="8"/>
  <c r="AC208" i="8"/>
  <c r="AD208" i="8"/>
  <c r="Q209" i="8"/>
  <c r="R209" i="8"/>
  <c r="S209" i="8"/>
  <c r="T209" i="8"/>
  <c r="U209" i="8"/>
  <c r="V209" i="8"/>
  <c r="W209" i="8"/>
  <c r="X209" i="8"/>
  <c r="Y209" i="8"/>
  <c r="Z209" i="8"/>
  <c r="AA209" i="8"/>
  <c r="AB209" i="8"/>
  <c r="AC209" i="8"/>
  <c r="AD209" i="8"/>
  <c r="Q210" i="8"/>
  <c r="R210" i="8"/>
  <c r="S210" i="8"/>
  <c r="T210" i="8"/>
  <c r="U210" i="8"/>
  <c r="V210" i="8"/>
  <c r="W210" i="8"/>
  <c r="X210" i="8"/>
  <c r="Y210" i="8"/>
  <c r="Z210" i="8"/>
  <c r="AA210" i="8"/>
  <c r="AB210" i="8"/>
  <c r="AC210" i="8"/>
  <c r="AD210" i="8"/>
  <c r="Q211" i="8"/>
  <c r="R211" i="8"/>
  <c r="S211" i="8"/>
  <c r="T211" i="8"/>
  <c r="U211" i="8"/>
  <c r="V211" i="8"/>
  <c r="W211" i="8"/>
  <c r="X211" i="8"/>
  <c r="Y211" i="8"/>
  <c r="Z211" i="8"/>
  <c r="AA211" i="8"/>
  <c r="AB211" i="8"/>
  <c r="AC211" i="8"/>
  <c r="AD211" i="8"/>
  <c r="Q212" i="8"/>
  <c r="R212" i="8"/>
  <c r="S212" i="8"/>
  <c r="T212" i="8"/>
  <c r="U212" i="8"/>
  <c r="V212" i="8"/>
  <c r="W212" i="8"/>
  <c r="X212" i="8"/>
  <c r="Y212" i="8"/>
  <c r="Z212" i="8"/>
  <c r="AA212" i="8"/>
  <c r="AB212" i="8"/>
  <c r="AC212" i="8"/>
  <c r="AD212" i="8"/>
  <c r="Q213" i="8"/>
  <c r="R213" i="8"/>
  <c r="S213" i="8"/>
  <c r="T213" i="8"/>
  <c r="U213" i="8"/>
  <c r="V213" i="8"/>
  <c r="W213" i="8"/>
  <c r="X213" i="8"/>
  <c r="Y213" i="8"/>
  <c r="Z213" i="8"/>
  <c r="AA213" i="8"/>
  <c r="AB213" i="8"/>
  <c r="AC213" i="8"/>
  <c r="AD213" i="8"/>
  <c r="Q214" i="8"/>
  <c r="R214" i="8"/>
  <c r="S214" i="8"/>
  <c r="T214" i="8"/>
  <c r="U214" i="8"/>
  <c r="V214" i="8"/>
  <c r="W214" i="8"/>
  <c r="X214" i="8"/>
  <c r="Y214" i="8"/>
  <c r="Z214" i="8"/>
  <c r="AA214" i="8"/>
  <c r="AB214" i="8"/>
  <c r="AC214" i="8"/>
  <c r="AD214" i="8"/>
  <c r="Q215" i="8"/>
  <c r="R215" i="8"/>
  <c r="S215" i="8"/>
  <c r="T215" i="8"/>
  <c r="U215" i="8"/>
  <c r="V215" i="8"/>
  <c r="W215" i="8"/>
  <c r="X215" i="8"/>
  <c r="Y215" i="8"/>
  <c r="Z215" i="8"/>
  <c r="AA215" i="8"/>
  <c r="AB215" i="8"/>
  <c r="AC215" i="8"/>
  <c r="AD215" i="8"/>
  <c r="Q216" i="8"/>
  <c r="R216" i="8"/>
  <c r="S216" i="8"/>
  <c r="T216" i="8"/>
  <c r="U216" i="8"/>
  <c r="V216" i="8"/>
  <c r="W216" i="8"/>
  <c r="X216" i="8"/>
  <c r="Y216" i="8"/>
  <c r="Z216" i="8"/>
  <c r="AA216" i="8"/>
  <c r="AB216" i="8"/>
  <c r="AC216" i="8"/>
  <c r="AD216" i="8"/>
  <c r="Q217" i="8"/>
  <c r="R217" i="8"/>
  <c r="S217" i="8"/>
  <c r="T217" i="8"/>
  <c r="U217" i="8"/>
  <c r="V217" i="8"/>
  <c r="W217" i="8"/>
  <c r="X217" i="8"/>
  <c r="Y217" i="8"/>
  <c r="Z217" i="8"/>
  <c r="AA217" i="8"/>
  <c r="AB217" i="8"/>
  <c r="AC217" i="8"/>
  <c r="AD217" i="8"/>
  <c r="Q218" i="8"/>
  <c r="R218" i="8"/>
  <c r="S218" i="8"/>
  <c r="T218" i="8"/>
  <c r="U218" i="8"/>
  <c r="V218" i="8"/>
  <c r="W218" i="8"/>
  <c r="X218" i="8"/>
  <c r="Y218" i="8"/>
  <c r="Z218" i="8"/>
  <c r="AA218" i="8"/>
  <c r="AB218" i="8"/>
  <c r="AC218" i="8"/>
  <c r="AD218" i="8"/>
  <c r="Q219" i="8"/>
  <c r="R219" i="8"/>
  <c r="S219" i="8"/>
  <c r="T219" i="8"/>
  <c r="U219" i="8"/>
  <c r="V219" i="8"/>
  <c r="W219" i="8"/>
  <c r="X219" i="8"/>
  <c r="Y219" i="8"/>
  <c r="Z219" i="8"/>
  <c r="AA219" i="8"/>
  <c r="AB219" i="8"/>
  <c r="AC219" i="8"/>
  <c r="AD219" i="8"/>
  <c r="Q220" i="8"/>
  <c r="R220" i="8"/>
  <c r="S220" i="8"/>
  <c r="T220" i="8"/>
  <c r="U220" i="8"/>
  <c r="V220" i="8"/>
  <c r="W220" i="8"/>
  <c r="X220" i="8"/>
  <c r="Y220" i="8"/>
  <c r="Z220" i="8"/>
  <c r="AA220" i="8"/>
  <c r="AB220" i="8"/>
  <c r="AC220" i="8"/>
  <c r="AD220" i="8"/>
  <c r="Q221" i="8"/>
  <c r="R221" i="8"/>
  <c r="S221" i="8"/>
  <c r="T221" i="8"/>
  <c r="U221" i="8"/>
  <c r="V221" i="8"/>
  <c r="W221" i="8"/>
  <c r="X221" i="8"/>
  <c r="Y221" i="8"/>
  <c r="Z221" i="8"/>
  <c r="AA221" i="8"/>
  <c r="AB221" i="8"/>
  <c r="AC221" i="8"/>
  <c r="AD221" i="8"/>
  <c r="Q222" i="8"/>
  <c r="R222" i="8"/>
  <c r="S222" i="8"/>
  <c r="T222" i="8"/>
  <c r="U222" i="8"/>
  <c r="V222" i="8"/>
  <c r="W222" i="8"/>
  <c r="X222" i="8"/>
  <c r="Y222" i="8"/>
  <c r="Z222" i="8"/>
  <c r="AA222" i="8"/>
  <c r="AB222" i="8"/>
  <c r="AC222" i="8"/>
  <c r="AD222" i="8"/>
  <c r="Q223" i="8"/>
  <c r="R223" i="8"/>
  <c r="S223" i="8"/>
  <c r="T223" i="8"/>
  <c r="U223" i="8"/>
  <c r="V223" i="8"/>
  <c r="W223" i="8"/>
  <c r="X223" i="8"/>
  <c r="Y223" i="8"/>
  <c r="Z223" i="8"/>
  <c r="AA223" i="8"/>
  <c r="AB223" i="8"/>
  <c r="AC223" i="8"/>
  <c r="AD223" i="8"/>
  <c r="Q224" i="8"/>
  <c r="R224" i="8"/>
  <c r="S224" i="8"/>
  <c r="T224" i="8"/>
  <c r="U224" i="8"/>
  <c r="V224" i="8"/>
  <c r="W224" i="8"/>
  <c r="X224" i="8"/>
  <c r="Y224" i="8"/>
  <c r="Z224" i="8"/>
  <c r="AA224" i="8"/>
  <c r="AB224" i="8"/>
  <c r="AC224" i="8"/>
  <c r="AD224" i="8"/>
  <c r="Q225" i="8"/>
  <c r="R225" i="8"/>
  <c r="S225" i="8"/>
  <c r="T225" i="8"/>
  <c r="U225" i="8"/>
  <c r="V225" i="8"/>
  <c r="W225" i="8"/>
  <c r="X225" i="8"/>
  <c r="Y225" i="8"/>
  <c r="Z225" i="8"/>
  <c r="AA225" i="8"/>
  <c r="AB225" i="8"/>
  <c r="AC225" i="8"/>
  <c r="AD225" i="8"/>
  <c r="Q226" i="8"/>
  <c r="R226" i="8"/>
  <c r="S226" i="8"/>
  <c r="T226" i="8"/>
  <c r="U226" i="8"/>
  <c r="V226" i="8"/>
  <c r="W226" i="8"/>
  <c r="X226" i="8"/>
  <c r="Y226" i="8"/>
  <c r="Z226" i="8"/>
  <c r="AA226" i="8"/>
  <c r="AB226" i="8"/>
  <c r="AC226" i="8"/>
  <c r="AD226" i="8"/>
  <c r="Q227" i="8"/>
  <c r="R227" i="8"/>
  <c r="S227" i="8"/>
  <c r="T227" i="8"/>
  <c r="U227" i="8"/>
  <c r="V227" i="8"/>
  <c r="W227" i="8"/>
  <c r="X227" i="8"/>
  <c r="Y227" i="8"/>
  <c r="Z227" i="8"/>
  <c r="AA227" i="8"/>
  <c r="AB227" i="8"/>
  <c r="AC227" i="8"/>
  <c r="AD227" i="8"/>
  <c r="Q228" i="8"/>
  <c r="R228" i="8"/>
  <c r="S228" i="8"/>
  <c r="T228" i="8"/>
  <c r="U228" i="8"/>
  <c r="V228" i="8"/>
  <c r="W228" i="8"/>
  <c r="X228" i="8"/>
  <c r="Y228" i="8"/>
  <c r="Z228" i="8"/>
  <c r="AA228" i="8"/>
  <c r="AB228" i="8"/>
  <c r="AC228" i="8"/>
  <c r="AD228" i="8"/>
  <c r="Q229" i="8"/>
  <c r="R229" i="8"/>
  <c r="S229" i="8"/>
  <c r="T229" i="8"/>
  <c r="U229" i="8"/>
  <c r="V229" i="8"/>
  <c r="W229" i="8"/>
  <c r="X229" i="8"/>
  <c r="Y229" i="8"/>
  <c r="Z229" i="8"/>
  <c r="AA229" i="8"/>
  <c r="AB229" i="8"/>
  <c r="AC229" i="8"/>
  <c r="AD229" i="8"/>
  <c r="Q230" i="8"/>
  <c r="R230" i="8"/>
  <c r="S230" i="8"/>
  <c r="T230" i="8"/>
  <c r="U230" i="8"/>
  <c r="V230" i="8"/>
  <c r="W230" i="8"/>
  <c r="X230" i="8"/>
  <c r="Y230" i="8"/>
  <c r="Z230" i="8"/>
  <c r="AA230" i="8"/>
  <c r="AB230" i="8"/>
  <c r="AC230" i="8"/>
  <c r="AD230" i="8"/>
  <c r="Q231" i="8"/>
  <c r="R231" i="8"/>
  <c r="S231" i="8"/>
  <c r="T231" i="8"/>
  <c r="U231" i="8"/>
  <c r="V231" i="8"/>
  <c r="W231" i="8"/>
  <c r="X231" i="8"/>
  <c r="Y231" i="8"/>
  <c r="Z231" i="8"/>
  <c r="AA231" i="8"/>
  <c r="AB231" i="8"/>
  <c r="AC231" i="8"/>
  <c r="AD231" i="8"/>
  <c r="Q232" i="8"/>
  <c r="R232" i="8"/>
  <c r="S232" i="8"/>
  <c r="T232" i="8"/>
  <c r="U232" i="8"/>
  <c r="V232" i="8"/>
  <c r="W232" i="8"/>
  <c r="X232" i="8"/>
  <c r="Y232" i="8"/>
  <c r="Z232" i="8"/>
  <c r="AA232" i="8"/>
  <c r="AB232" i="8"/>
  <c r="AC232" i="8"/>
  <c r="AD232" i="8"/>
  <c r="Q233" i="8"/>
  <c r="R233" i="8"/>
  <c r="S233" i="8"/>
  <c r="T233" i="8"/>
  <c r="U233" i="8"/>
  <c r="V233" i="8"/>
  <c r="W233" i="8"/>
  <c r="X233" i="8"/>
  <c r="Y233" i="8"/>
  <c r="Z233" i="8"/>
  <c r="AA233" i="8"/>
  <c r="AB233" i="8"/>
  <c r="AC233" i="8"/>
  <c r="AD233" i="8"/>
  <c r="Q234" i="8"/>
  <c r="R234" i="8"/>
  <c r="S234" i="8"/>
  <c r="T234" i="8"/>
  <c r="U234" i="8"/>
  <c r="V234" i="8"/>
  <c r="W234" i="8"/>
  <c r="X234" i="8"/>
  <c r="Y234" i="8"/>
  <c r="Z234" i="8"/>
  <c r="AA234" i="8"/>
  <c r="AB234" i="8"/>
  <c r="AC234" i="8"/>
  <c r="AD234" i="8"/>
  <c r="Q235" i="8"/>
  <c r="R235" i="8"/>
  <c r="S235" i="8"/>
  <c r="T235" i="8"/>
  <c r="U235" i="8"/>
  <c r="V235" i="8"/>
  <c r="W235" i="8"/>
  <c r="X235" i="8"/>
  <c r="Y235" i="8"/>
  <c r="Z235" i="8"/>
  <c r="AA235" i="8"/>
  <c r="AB235" i="8"/>
  <c r="AC235" i="8"/>
  <c r="AD235" i="8"/>
  <c r="Q236" i="8"/>
  <c r="R236" i="8"/>
  <c r="S236" i="8"/>
  <c r="T236" i="8"/>
  <c r="U236" i="8"/>
  <c r="V236" i="8"/>
  <c r="W236" i="8"/>
  <c r="X236" i="8"/>
  <c r="Y236" i="8"/>
  <c r="Z236" i="8"/>
  <c r="AA236" i="8"/>
  <c r="AB236" i="8"/>
  <c r="AC236" i="8"/>
  <c r="AD236" i="8"/>
  <c r="Q237" i="8"/>
  <c r="R237" i="8"/>
  <c r="S237" i="8"/>
  <c r="T237" i="8"/>
  <c r="U237" i="8"/>
  <c r="V237" i="8"/>
  <c r="W237" i="8"/>
  <c r="X237" i="8"/>
  <c r="Y237" i="8"/>
  <c r="Z237" i="8"/>
  <c r="AA237" i="8"/>
  <c r="AB237" i="8"/>
  <c r="AC237" i="8"/>
  <c r="AD237" i="8"/>
  <c r="Q238" i="8"/>
  <c r="R238" i="8"/>
  <c r="S238" i="8"/>
  <c r="T238" i="8"/>
  <c r="U238" i="8"/>
  <c r="V238" i="8"/>
  <c r="W238" i="8"/>
  <c r="X238" i="8"/>
  <c r="Y238" i="8"/>
  <c r="Z238" i="8"/>
  <c r="AA238" i="8"/>
  <c r="AB238" i="8"/>
  <c r="AC238" i="8"/>
  <c r="AD238" i="8"/>
  <c r="Q239" i="8"/>
  <c r="R239" i="8"/>
  <c r="S239" i="8"/>
  <c r="T239" i="8"/>
  <c r="U239" i="8"/>
  <c r="V239" i="8"/>
  <c r="W239" i="8"/>
  <c r="X239" i="8"/>
  <c r="Y239" i="8"/>
  <c r="Z239" i="8"/>
  <c r="AA239" i="8"/>
  <c r="AB239" i="8"/>
  <c r="AC239" i="8"/>
  <c r="AD239" i="8"/>
  <c r="Q240" i="8"/>
  <c r="R240" i="8"/>
  <c r="S240" i="8"/>
  <c r="T240" i="8"/>
  <c r="U240" i="8"/>
  <c r="V240" i="8"/>
  <c r="W240" i="8"/>
  <c r="X240" i="8"/>
  <c r="Y240" i="8"/>
  <c r="Z240" i="8"/>
  <c r="AA240" i="8"/>
  <c r="AB240" i="8"/>
  <c r="AC240" i="8"/>
  <c r="AD240" i="8"/>
  <c r="Q241" i="8"/>
  <c r="R241" i="8"/>
  <c r="S241" i="8"/>
  <c r="T241" i="8"/>
  <c r="U241" i="8"/>
  <c r="V241" i="8"/>
  <c r="W241" i="8"/>
  <c r="X241" i="8"/>
  <c r="Y241" i="8"/>
  <c r="Z241" i="8"/>
  <c r="AA241" i="8"/>
  <c r="AB241" i="8"/>
  <c r="AC241" i="8"/>
  <c r="AD241" i="8"/>
  <c r="Q242" i="8"/>
  <c r="R242" i="8"/>
  <c r="S242" i="8"/>
  <c r="T242" i="8"/>
  <c r="U242" i="8"/>
  <c r="V242" i="8"/>
  <c r="W242" i="8"/>
  <c r="X242" i="8"/>
  <c r="Y242" i="8"/>
  <c r="Z242" i="8"/>
  <c r="AA242" i="8"/>
  <c r="AB242" i="8"/>
  <c r="AC242" i="8"/>
  <c r="AD242" i="8"/>
  <c r="Q243" i="8"/>
  <c r="R243" i="8"/>
  <c r="S243" i="8"/>
  <c r="T243" i="8"/>
  <c r="U243" i="8"/>
  <c r="V243" i="8"/>
  <c r="W243" i="8"/>
  <c r="X243" i="8"/>
  <c r="Y243" i="8"/>
  <c r="Z243" i="8"/>
  <c r="AA243" i="8"/>
  <c r="AB243" i="8"/>
  <c r="AC243" i="8"/>
  <c r="AD243" i="8"/>
  <c r="Q244" i="8"/>
  <c r="R244" i="8"/>
  <c r="S244" i="8"/>
  <c r="T244" i="8"/>
  <c r="U244" i="8"/>
  <c r="V244" i="8"/>
  <c r="W244" i="8"/>
  <c r="X244" i="8"/>
  <c r="Y244" i="8"/>
  <c r="Z244" i="8"/>
  <c r="AA244" i="8"/>
  <c r="AB244" i="8"/>
  <c r="AC244" i="8"/>
  <c r="AD244" i="8"/>
  <c r="Q245" i="8"/>
  <c r="R245" i="8"/>
  <c r="S245" i="8"/>
  <c r="T245" i="8"/>
  <c r="U245" i="8"/>
  <c r="V245" i="8"/>
  <c r="W245" i="8"/>
  <c r="X245" i="8"/>
  <c r="Y245" i="8"/>
  <c r="Z245" i="8"/>
  <c r="AA245" i="8"/>
  <c r="AB245" i="8"/>
  <c r="AC245" i="8"/>
  <c r="AD245" i="8"/>
  <c r="Q246" i="8"/>
  <c r="R246" i="8"/>
  <c r="S246" i="8"/>
  <c r="T246" i="8"/>
  <c r="U246" i="8"/>
  <c r="V246" i="8"/>
  <c r="W246" i="8"/>
  <c r="X246" i="8"/>
  <c r="Y246" i="8"/>
  <c r="Z246" i="8"/>
  <c r="AA246" i="8"/>
  <c r="AB246" i="8"/>
  <c r="AC246" i="8"/>
  <c r="AD246" i="8"/>
  <c r="Q247" i="8"/>
  <c r="R247" i="8"/>
  <c r="S247" i="8"/>
  <c r="T247" i="8"/>
  <c r="U247" i="8"/>
  <c r="V247" i="8"/>
  <c r="W247" i="8"/>
  <c r="X247" i="8"/>
  <c r="Y247" i="8"/>
  <c r="Z247" i="8"/>
  <c r="AA247" i="8"/>
  <c r="AB247" i="8"/>
  <c r="AC247" i="8"/>
  <c r="AD247" i="8"/>
  <c r="Q248" i="8"/>
  <c r="R248" i="8"/>
  <c r="S248" i="8"/>
  <c r="T248" i="8"/>
  <c r="U248" i="8"/>
  <c r="V248" i="8"/>
  <c r="W248" i="8"/>
  <c r="X248" i="8"/>
  <c r="Y248" i="8"/>
  <c r="Z248" i="8"/>
  <c r="AA248" i="8"/>
  <c r="AB248" i="8"/>
  <c r="AC248" i="8"/>
  <c r="AD248" i="8"/>
  <c r="Q249" i="8"/>
  <c r="R249" i="8"/>
  <c r="S249" i="8"/>
  <c r="T249" i="8"/>
  <c r="U249" i="8"/>
  <c r="V249" i="8"/>
  <c r="W249" i="8"/>
  <c r="X249" i="8"/>
  <c r="Y249" i="8"/>
  <c r="Z249" i="8"/>
  <c r="AA249" i="8"/>
  <c r="AB249" i="8"/>
  <c r="AC249" i="8"/>
  <c r="AD249" i="8"/>
  <c r="Q250" i="8"/>
  <c r="R250" i="8"/>
  <c r="S250" i="8"/>
  <c r="T250" i="8"/>
  <c r="U250" i="8"/>
  <c r="V250" i="8"/>
  <c r="W250" i="8"/>
  <c r="X250" i="8"/>
  <c r="Y250" i="8"/>
  <c r="Z250" i="8"/>
  <c r="AA250" i="8"/>
  <c r="AB250" i="8"/>
  <c r="AC250" i="8"/>
  <c r="AD250" i="8"/>
  <c r="Q251" i="8"/>
  <c r="R251" i="8"/>
  <c r="S251" i="8"/>
  <c r="T251" i="8"/>
  <c r="U251" i="8"/>
  <c r="V251" i="8"/>
  <c r="W251" i="8"/>
  <c r="X251" i="8"/>
  <c r="Y251" i="8"/>
  <c r="Z251" i="8"/>
  <c r="AA251" i="8"/>
  <c r="AB251" i="8"/>
  <c r="AC251" i="8"/>
  <c r="AD251" i="8"/>
  <c r="Q252" i="8"/>
  <c r="R252" i="8"/>
  <c r="S252" i="8"/>
  <c r="T252" i="8"/>
  <c r="U252" i="8"/>
  <c r="V252" i="8"/>
  <c r="W252" i="8"/>
  <c r="X252" i="8"/>
  <c r="Y252" i="8"/>
  <c r="Z252" i="8"/>
  <c r="AA252" i="8"/>
  <c r="AB252" i="8"/>
  <c r="AC252" i="8"/>
  <c r="AD252" i="8"/>
  <c r="Q253" i="8"/>
  <c r="R253" i="8"/>
  <c r="S253" i="8"/>
  <c r="T253" i="8"/>
  <c r="U253" i="8"/>
  <c r="V253" i="8"/>
  <c r="W253" i="8"/>
  <c r="X253" i="8"/>
  <c r="Y253" i="8"/>
  <c r="Z253" i="8"/>
  <c r="AA253" i="8"/>
  <c r="AB253" i="8"/>
  <c r="AC253" i="8"/>
  <c r="AD253" i="8"/>
  <c r="Q254" i="8"/>
  <c r="R254" i="8"/>
  <c r="S254" i="8"/>
  <c r="T254" i="8"/>
  <c r="U254" i="8"/>
  <c r="V254" i="8"/>
  <c r="W254" i="8"/>
  <c r="X254" i="8"/>
  <c r="Y254" i="8"/>
  <c r="Z254" i="8"/>
  <c r="AA254" i="8"/>
  <c r="AB254" i="8"/>
  <c r="AC254" i="8"/>
  <c r="AD254" i="8"/>
  <c r="Q255" i="8"/>
  <c r="R255" i="8"/>
  <c r="S255" i="8"/>
  <c r="T255" i="8"/>
  <c r="U255" i="8"/>
  <c r="V255" i="8"/>
  <c r="W255" i="8"/>
  <c r="X255" i="8"/>
  <c r="Y255" i="8"/>
  <c r="Z255" i="8"/>
  <c r="AA255" i="8"/>
  <c r="AB255" i="8"/>
  <c r="AC255" i="8"/>
  <c r="AD255" i="8"/>
  <c r="Q256" i="8"/>
  <c r="R256" i="8"/>
  <c r="S256" i="8"/>
  <c r="T256" i="8"/>
  <c r="U256" i="8"/>
  <c r="V256" i="8"/>
  <c r="W256" i="8"/>
  <c r="X256" i="8"/>
  <c r="Y256" i="8"/>
  <c r="Z256" i="8"/>
  <c r="AA256" i="8"/>
  <c r="AB256" i="8"/>
  <c r="AC256" i="8"/>
  <c r="AD256" i="8"/>
  <c r="Q257" i="8"/>
  <c r="R257" i="8"/>
  <c r="S257" i="8"/>
  <c r="T257" i="8"/>
  <c r="U257" i="8"/>
  <c r="V257" i="8"/>
  <c r="W257" i="8"/>
  <c r="X257" i="8"/>
  <c r="Y257" i="8"/>
  <c r="Z257" i="8"/>
  <c r="AA257" i="8"/>
  <c r="AB257" i="8"/>
  <c r="AC257" i="8"/>
  <c r="AD257" i="8"/>
  <c r="Q258" i="8"/>
  <c r="R258" i="8"/>
  <c r="S258" i="8"/>
  <c r="T258" i="8"/>
  <c r="U258" i="8"/>
  <c r="V258" i="8"/>
  <c r="W258" i="8"/>
  <c r="X258" i="8"/>
  <c r="Y258" i="8"/>
  <c r="Z258" i="8"/>
  <c r="AA258" i="8"/>
  <c r="AB258" i="8"/>
  <c r="AC258" i="8"/>
  <c r="AD258" i="8"/>
  <c r="Q259" i="8"/>
  <c r="R259" i="8"/>
  <c r="S259" i="8"/>
  <c r="T259" i="8"/>
  <c r="U259" i="8"/>
  <c r="V259" i="8"/>
  <c r="W259" i="8"/>
  <c r="X259" i="8"/>
  <c r="Y259" i="8"/>
  <c r="Z259" i="8"/>
  <c r="AA259" i="8"/>
  <c r="AB259" i="8"/>
  <c r="AC259" i="8"/>
  <c r="AD259" i="8"/>
  <c r="Q260" i="8"/>
  <c r="R260" i="8"/>
  <c r="S260" i="8"/>
  <c r="T260" i="8"/>
  <c r="U260" i="8"/>
  <c r="V260" i="8"/>
  <c r="W260" i="8"/>
  <c r="X260" i="8"/>
  <c r="Y260" i="8"/>
  <c r="Z260" i="8"/>
  <c r="AA260" i="8"/>
  <c r="AB260" i="8"/>
  <c r="AC260" i="8"/>
  <c r="AD260" i="8"/>
  <c r="Q261" i="8"/>
  <c r="R261" i="8"/>
  <c r="S261" i="8"/>
  <c r="T261" i="8"/>
  <c r="U261" i="8"/>
  <c r="V261" i="8"/>
  <c r="W261" i="8"/>
  <c r="X261" i="8"/>
  <c r="Y261" i="8"/>
  <c r="Z261" i="8"/>
  <c r="AA261" i="8"/>
  <c r="AB261" i="8"/>
  <c r="AC261" i="8"/>
  <c r="AD261" i="8"/>
  <c r="Q262" i="8"/>
  <c r="R262" i="8"/>
  <c r="S262" i="8"/>
  <c r="T262" i="8"/>
  <c r="U262" i="8"/>
  <c r="V262" i="8"/>
  <c r="W262" i="8"/>
  <c r="X262" i="8"/>
  <c r="Y262" i="8"/>
  <c r="Z262" i="8"/>
  <c r="AA262" i="8"/>
  <c r="AB262" i="8"/>
  <c r="AC262" i="8"/>
  <c r="AD262" i="8"/>
  <c r="Q263" i="8"/>
  <c r="R263" i="8"/>
  <c r="S263" i="8"/>
  <c r="T263" i="8"/>
  <c r="U263" i="8"/>
  <c r="V263" i="8"/>
  <c r="W263" i="8"/>
  <c r="X263" i="8"/>
  <c r="Y263" i="8"/>
  <c r="Z263" i="8"/>
  <c r="AA263" i="8"/>
  <c r="AB263" i="8"/>
  <c r="AC263" i="8"/>
  <c r="AD263" i="8"/>
  <c r="Q264" i="8"/>
  <c r="R264" i="8"/>
  <c r="S264" i="8"/>
  <c r="T264" i="8"/>
  <c r="U264" i="8"/>
  <c r="V264" i="8"/>
  <c r="W264" i="8"/>
  <c r="X264" i="8"/>
  <c r="Y264" i="8"/>
  <c r="Z264" i="8"/>
  <c r="AA264" i="8"/>
  <c r="AB264" i="8"/>
  <c r="AC264" i="8"/>
  <c r="AD264" i="8"/>
  <c r="Q265" i="8"/>
  <c r="R265" i="8"/>
  <c r="S265" i="8"/>
  <c r="T265" i="8"/>
  <c r="U265" i="8"/>
  <c r="V265" i="8"/>
  <c r="W265" i="8"/>
  <c r="X265" i="8"/>
  <c r="Y265" i="8"/>
  <c r="Z265" i="8"/>
  <c r="AA265" i="8"/>
  <c r="AB265" i="8"/>
  <c r="AC265" i="8"/>
  <c r="AD265" i="8"/>
  <c r="Q266" i="8"/>
  <c r="R266" i="8"/>
  <c r="S266" i="8"/>
  <c r="T266" i="8"/>
  <c r="U266" i="8"/>
  <c r="V266" i="8"/>
  <c r="W266" i="8"/>
  <c r="X266" i="8"/>
  <c r="Y266" i="8"/>
  <c r="Z266" i="8"/>
  <c r="AA266" i="8"/>
  <c r="AB266" i="8"/>
  <c r="AC266" i="8"/>
  <c r="AD266" i="8"/>
  <c r="Q267" i="8"/>
  <c r="R267" i="8"/>
  <c r="S267" i="8"/>
  <c r="T267" i="8"/>
  <c r="U267" i="8"/>
  <c r="V267" i="8"/>
  <c r="W267" i="8"/>
  <c r="X267" i="8"/>
  <c r="Y267" i="8"/>
  <c r="Z267" i="8"/>
  <c r="AA267" i="8"/>
  <c r="AB267" i="8"/>
  <c r="AC267" i="8"/>
  <c r="AD267" i="8"/>
  <c r="Q268" i="8"/>
  <c r="R268" i="8"/>
  <c r="S268" i="8"/>
  <c r="T268" i="8"/>
  <c r="U268" i="8"/>
  <c r="V268" i="8"/>
  <c r="W268" i="8"/>
  <c r="X268" i="8"/>
  <c r="Y268" i="8"/>
  <c r="Z268" i="8"/>
  <c r="AA268" i="8"/>
  <c r="AB268" i="8"/>
  <c r="AC268" i="8"/>
  <c r="AD268" i="8"/>
  <c r="Q269" i="8"/>
  <c r="R269" i="8"/>
  <c r="S269" i="8"/>
  <c r="T269" i="8"/>
  <c r="U269" i="8"/>
  <c r="V269" i="8"/>
  <c r="W269" i="8"/>
  <c r="X269" i="8"/>
  <c r="Y269" i="8"/>
  <c r="Z269" i="8"/>
  <c r="AA269" i="8"/>
  <c r="AB269" i="8"/>
  <c r="AC269" i="8"/>
  <c r="AD269" i="8"/>
  <c r="Q270" i="8"/>
  <c r="R270" i="8"/>
  <c r="S270" i="8"/>
  <c r="T270" i="8"/>
  <c r="U270" i="8"/>
  <c r="V270" i="8"/>
  <c r="W270" i="8"/>
  <c r="X270" i="8"/>
  <c r="Y270" i="8"/>
  <c r="Z270" i="8"/>
  <c r="AA270" i="8"/>
  <c r="AB270" i="8"/>
  <c r="AC270" i="8"/>
  <c r="AD270" i="8"/>
  <c r="Q271" i="8"/>
  <c r="R271" i="8"/>
  <c r="S271" i="8"/>
  <c r="T271" i="8"/>
  <c r="U271" i="8"/>
  <c r="V271" i="8"/>
  <c r="W271" i="8"/>
  <c r="X271" i="8"/>
  <c r="Y271" i="8"/>
  <c r="Z271" i="8"/>
  <c r="AA271" i="8"/>
  <c r="AB271" i="8"/>
  <c r="AC271" i="8"/>
  <c r="AD271" i="8"/>
  <c r="Q272" i="8"/>
  <c r="R272" i="8"/>
  <c r="S272" i="8"/>
  <c r="T272" i="8"/>
  <c r="U272" i="8"/>
  <c r="V272" i="8"/>
  <c r="W272" i="8"/>
  <c r="X272" i="8"/>
  <c r="Y272" i="8"/>
  <c r="Z272" i="8"/>
  <c r="AA272" i="8"/>
  <c r="AB272" i="8"/>
  <c r="AC272" i="8"/>
  <c r="AD272" i="8"/>
  <c r="Q273" i="8"/>
  <c r="R273" i="8"/>
  <c r="S273" i="8"/>
  <c r="T273" i="8"/>
  <c r="U273" i="8"/>
  <c r="V273" i="8"/>
  <c r="W273" i="8"/>
  <c r="X273" i="8"/>
  <c r="Y273" i="8"/>
  <c r="Z273" i="8"/>
  <c r="AA273" i="8"/>
  <c r="AB273" i="8"/>
  <c r="AC273" i="8"/>
  <c r="AD273" i="8"/>
  <c r="Q274" i="8"/>
  <c r="R274" i="8"/>
  <c r="S274" i="8"/>
  <c r="T274" i="8"/>
  <c r="U274" i="8"/>
  <c r="V274" i="8"/>
  <c r="W274" i="8"/>
  <c r="X274" i="8"/>
  <c r="Y274" i="8"/>
  <c r="Z274" i="8"/>
  <c r="AA274" i="8"/>
  <c r="AB274" i="8"/>
  <c r="AC274" i="8"/>
  <c r="AD274" i="8"/>
  <c r="Q275" i="8"/>
  <c r="R275" i="8"/>
  <c r="S275" i="8"/>
  <c r="T275" i="8"/>
  <c r="U275" i="8"/>
  <c r="V275" i="8"/>
  <c r="W275" i="8"/>
  <c r="X275" i="8"/>
  <c r="Y275" i="8"/>
  <c r="Z275" i="8"/>
  <c r="AA275" i="8"/>
  <c r="AB275" i="8"/>
  <c r="AC275" i="8"/>
  <c r="AD275" i="8"/>
  <c r="Q276" i="8"/>
  <c r="R276" i="8"/>
  <c r="S276" i="8"/>
  <c r="T276" i="8"/>
  <c r="U276" i="8"/>
  <c r="V276" i="8"/>
  <c r="W276" i="8"/>
  <c r="X276" i="8"/>
  <c r="Y276" i="8"/>
  <c r="Z276" i="8"/>
  <c r="AA276" i="8"/>
  <c r="AB276" i="8"/>
  <c r="AC276" i="8"/>
  <c r="AD276" i="8"/>
  <c r="Q277" i="8"/>
  <c r="R277" i="8"/>
  <c r="S277" i="8"/>
  <c r="T277" i="8"/>
  <c r="U277" i="8"/>
  <c r="V277" i="8"/>
  <c r="W277" i="8"/>
  <c r="X277" i="8"/>
  <c r="Y277" i="8"/>
  <c r="Z277" i="8"/>
  <c r="AA277" i="8"/>
  <c r="AB277" i="8"/>
  <c r="AC277" i="8"/>
  <c r="AD277" i="8"/>
  <c r="Q278" i="8"/>
  <c r="R278" i="8"/>
  <c r="S278" i="8"/>
  <c r="T278" i="8"/>
  <c r="U278" i="8"/>
  <c r="V278" i="8"/>
  <c r="W278" i="8"/>
  <c r="X278" i="8"/>
  <c r="Y278" i="8"/>
  <c r="Z278" i="8"/>
  <c r="AA278" i="8"/>
  <c r="AB278" i="8"/>
  <c r="AC278" i="8"/>
  <c r="AD278" i="8"/>
  <c r="Q279" i="8"/>
  <c r="R279" i="8"/>
  <c r="S279" i="8"/>
  <c r="T279" i="8"/>
  <c r="U279" i="8"/>
  <c r="V279" i="8"/>
  <c r="W279" i="8"/>
  <c r="X279" i="8"/>
  <c r="Y279" i="8"/>
  <c r="Z279" i="8"/>
  <c r="AA279" i="8"/>
  <c r="AB279" i="8"/>
  <c r="AC279" i="8"/>
  <c r="AD279" i="8"/>
  <c r="Q280" i="8"/>
  <c r="R280" i="8"/>
  <c r="S280" i="8"/>
  <c r="T280" i="8"/>
  <c r="U280" i="8"/>
  <c r="V280" i="8"/>
  <c r="W280" i="8"/>
  <c r="X280" i="8"/>
  <c r="Y280" i="8"/>
  <c r="Z280" i="8"/>
  <c r="AA280" i="8"/>
  <c r="AB280" i="8"/>
  <c r="AC280" i="8"/>
  <c r="AD280" i="8"/>
  <c r="Q305" i="8"/>
  <c r="R305" i="8"/>
  <c r="S305" i="8"/>
  <c r="T305" i="8"/>
  <c r="U305" i="8"/>
  <c r="V305" i="8"/>
  <c r="W305" i="8"/>
  <c r="X305" i="8"/>
  <c r="Y305" i="8"/>
  <c r="Z305" i="8"/>
  <c r="AA305" i="8"/>
  <c r="AB305" i="8"/>
  <c r="AC305" i="8"/>
  <c r="AD305" i="8"/>
  <c r="Q306" i="8"/>
  <c r="R306" i="8"/>
  <c r="S306" i="8"/>
  <c r="T306" i="8"/>
  <c r="U306" i="8"/>
  <c r="V306" i="8"/>
  <c r="W306" i="8"/>
  <c r="X306" i="8"/>
  <c r="Y306" i="8"/>
  <c r="Z306" i="8"/>
  <c r="AA306" i="8"/>
  <c r="AB306" i="8"/>
  <c r="AC306" i="8"/>
  <c r="AD306" i="8"/>
  <c r="Q307" i="8"/>
  <c r="R307" i="8"/>
  <c r="S307" i="8"/>
  <c r="T307" i="8"/>
  <c r="U307" i="8"/>
  <c r="V307" i="8"/>
  <c r="W307" i="8"/>
  <c r="X307" i="8"/>
  <c r="Y307" i="8"/>
  <c r="Z307" i="8"/>
  <c r="AA307" i="8"/>
  <c r="AB307" i="8"/>
  <c r="AC307" i="8"/>
  <c r="AD307" i="8"/>
  <c r="Q308" i="8"/>
  <c r="R308" i="8"/>
  <c r="S308" i="8"/>
  <c r="T308" i="8"/>
  <c r="U308" i="8"/>
  <c r="V308" i="8"/>
  <c r="W308" i="8"/>
  <c r="X308" i="8"/>
  <c r="Y308" i="8"/>
  <c r="Z308" i="8"/>
  <c r="AA308" i="8"/>
  <c r="AB308" i="8"/>
  <c r="AC308" i="8"/>
  <c r="AD308" i="8"/>
  <c r="Q309" i="8"/>
  <c r="R309" i="8"/>
  <c r="S309" i="8"/>
  <c r="T309" i="8"/>
  <c r="U309" i="8"/>
  <c r="V309" i="8"/>
  <c r="W309" i="8"/>
  <c r="X309" i="8"/>
  <c r="Y309" i="8"/>
  <c r="Z309" i="8"/>
  <c r="AA309" i="8"/>
  <c r="AB309" i="8"/>
  <c r="AC309" i="8"/>
  <c r="AD309" i="8"/>
  <c r="Q323" i="8"/>
  <c r="R323" i="8"/>
  <c r="S323" i="8"/>
  <c r="T323" i="8"/>
  <c r="U323" i="8"/>
  <c r="V323" i="8"/>
  <c r="W323" i="8"/>
  <c r="X323" i="8"/>
  <c r="Y323" i="8"/>
  <c r="Z323" i="8"/>
  <c r="AA323" i="8"/>
  <c r="AB323" i="8"/>
  <c r="AC323" i="8"/>
  <c r="AD323" i="8"/>
  <c r="Q324" i="8"/>
  <c r="R324" i="8"/>
  <c r="S324" i="8"/>
  <c r="T324" i="8"/>
  <c r="U324" i="8"/>
  <c r="V324" i="8"/>
  <c r="W324" i="8"/>
  <c r="X324" i="8"/>
  <c r="Y324" i="8"/>
  <c r="Z324" i="8"/>
  <c r="AA324" i="8"/>
  <c r="AB324" i="8"/>
  <c r="AC324" i="8"/>
  <c r="AD324" i="8"/>
  <c r="Q325" i="8"/>
  <c r="R325" i="8"/>
  <c r="S325" i="8"/>
  <c r="T325" i="8"/>
  <c r="U325" i="8"/>
  <c r="V325" i="8"/>
  <c r="W325" i="8"/>
  <c r="X325" i="8"/>
  <c r="Y325" i="8"/>
  <c r="Z325" i="8"/>
  <c r="AA325" i="8"/>
  <c r="AB325" i="8"/>
  <c r="AC325" i="8"/>
  <c r="AD325" i="8"/>
  <c r="Q326" i="8"/>
  <c r="R326" i="8"/>
  <c r="S326" i="8"/>
  <c r="T326" i="8"/>
  <c r="U326" i="8"/>
  <c r="V326" i="8"/>
  <c r="W326" i="8"/>
  <c r="X326" i="8"/>
  <c r="Y326" i="8"/>
  <c r="Z326" i="8"/>
  <c r="AA326" i="8"/>
  <c r="AB326" i="8"/>
  <c r="AC326" i="8"/>
  <c r="AD326" i="8"/>
  <c r="Q327" i="8"/>
  <c r="R327" i="8"/>
  <c r="S327" i="8"/>
  <c r="T327" i="8"/>
  <c r="U327" i="8"/>
  <c r="V327" i="8"/>
  <c r="W327" i="8"/>
  <c r="X327" i="8"/>
  <c r="Y327" i="8"/>
  <c r="Z327" i="8"/>
  <c r="AA327" i="8"/>
  <c r="AB327" i="8"/>
  <c r="AC327" i="8"/>
  <c r="AD327" i="8"/>
  <c r="Q328" i="8"/>
  <c r="R328" i="8"/>
  <c r="S328" i="8"/>
  <c r="T328" i="8"/>
  <c r="U328" i="8"/>
  <c r="V328" i="8"/>
  <c r="W328" i="8"/>
  <c r="X328" i="8"/>
  <c r="Y328" i="8"/>
  <c r="Z328" i="8"/>
  <c r="AA328" i="8"/>
  <c r="AB328" i="8"/>
  <c r="AC328" i="8"/>
  <c r="AD328" i="8"/>
  <c r="Q329" i="8"/>
  <c r="R329" i="8"/>
  <c r="S329" i="8"/>
  <c r="T329" i="8"/>
  <c r="U329" i="8"/>
  <c r="V329" i="8"/>
  <c r="W329" i="8"/>
  <c r="X329" i="8"/>
  <c r="Y329" i="8"/>
  <c r="Z329" i="8"/>
  <c r="AA329" i="8"/>
  <c r="AB329" i="8"/>
  <c r="AC329" i="8"/>
  <c r="AD329" i="8"/>
  <c r="Q330" i="8"/>
  <c r="R330" i="8"/>
  <c r="S330" i="8"/>
  <c r="T330" i="8"/>
  <c r="U330" i="8"/>
  <c r="V330" i="8"/>
  <c r="W330" i="8"/>
  <c r="X330" i="8"/>
  <c r="Y330" i="8"/>
  <c r="Z330" i="8"/>
  <c r="AA330" i="8"/>
  <c r="AB330" i="8"/>
  <c r="AC330" i="8"/>
  <c r="AD330" i="8"/>
  <c r="Q331" i="8"/>
  <c r="R331" i="8"/>
  <c r="S331" i="8"/>
  <c r="T331" i="8"/>
  <c r="U331" i="8"/>
  <c r="V331" i="8"/>
  <c r="W331" i="8"/>
  <c r="X331" i="8"/>
  <c r="Y331" i="8"/>
  <c r="Z331" i="8"/>
  <c r="AA331" i="8"/>
  <c r="AB331" i="8"/>
  <c r="AC331" i="8"/>
  <c r="AD331" i="8"/>
  <c r="Q332" i="8"/>
  <c r="R332" i="8"/>
  <c r="S332" i="8"/>
  <c r="T332" i="8"/>
  <c r="U332" i="8"/>
  <c r="V332" i="8"/>
  <c r="W332" i="8"/>
  <c r="X332" i="8"/>
  <c r="Y332" i="8"/>
  <c r="Z332" i="8"/>
  <c r="AA332" i="8"/>
  <c r="AB332" i="8"/>
  <c r="AC332" i="8"/>
  <c r="AD332" i="8"/>
  <c r="Q333" i="8"/>
  <c r="R333" i="8"/>
  <c r="S333" i="8"/>
  <c r="T333" i="8"/>
  <c r="U333" i="8"/>
  <c r="V333" i="8"/>
  <c r="W333" i="8"/>
  <c r="X333" i="8"/>
  <c r="Y333" i="8"/>
  <c r="Z333" i="8"/>
  <c r="AA333" i="8"/>
  <c r="AB333" i="8"/>
  <c r="AC333" i="8"/>
  <c r="AD333" i="8"/>
  <c r="Q334" i="8"/>
  <c r="R334" i="8"/>
  <c r="S334" i="8"/>
  <c r="T334" i="8"/>
  <c r="U334" i="8"/>
  <c r="V334" i="8"/>
  <c r="W334" i="8"/>
  <c r="X334" i="8"/>
  <c r="Y334" i="8"/>
  <c r="Z334" i="8"/>
  <c r="AA334" i="8"/>
  <c r="AB334" i="8"/>
  <c r="AC334" i="8"/>
  <c r="AD334" i="8"/>
  <c r="Q335" i="8"/>
  <c r="R335" i="8"/>
  <c r="S335" i="8"/>
  <c r="T335" i="8"/>
  <c r="U335" i="8"/>
  <c r="V335" i="8"/>
  <c r="W335" i="8"/>
  <c r="X335" i="8"/>
  <c r="Y335" i="8"/>
  <c r="Z335" i="8"/>
  <c r="AA335" i="8"/>
  <c r="AB335" i="8"/>
  <c r="AC335" i="8"/>
  <c r="AD335" i="8"/>
  <c r="Q336" i="8"/>
  <c r="R336" i="8"/>
  <c r="S336" i="8"/>
  <c r="T336" i="8"/>
  <c r="U336" i="8"/>
  <c r="V336" i="8"/>
  <c r="W336" i="8"/>
  <c r="X336" i="8"/>
  <c r="Y336" i="8"/>
  <c r="Z336" i="8"/>
  <c r="AA336" i="8"/>
  <c r="AB336" i="8"/>
  <c r="AC336" i="8"/>
  <c r="AD336" i="8"/>
  <c r="Q337" i="8"/>
  <c r="R337" i="8"/>
  <c r="S337" i="8"/>
  <c r="T337" i="8"/>
  <c r="U337" i="8"/>
  <c r="V337" i="8"/>
  <c r="W337" i="8"/>
  <c r="X337" i="8"/>
  <c r="Y337" i="8"/>
  <c r="Z337" i="8"/>
  <c r="AA337" i="8"/>
  <c r="AB337" i="8"/>
  <c r="AC337" i="8"/>
  <c r="AD337" i="8"/>
  <c r="Q338" i="8"/>
  <c r="R338" i="8"/>
  <c r="S338" i="8"/>
  <c r="T338" i="8"/>
  <c r="U338" i="8"/>
  <c r="V338" i="8"/>
  <c r="W338" i="8"/>
  <c r="X338" i="8"/>
  <c r="Y338" i="8"/>
  <c r="Z338" i="8"/>
  <c r="AA338" i="8"/>
  <c r="AB338" i="8"/>
  <c r="AC338" i="8"/>
  <c r="AD338" i="8"/>
  <c r="Q339" i="8"/>
  <c r="R339" i="8"/>
  <c r="S339" i="8"/>
  <c r="T339" i="8"/>
  <c r="U339" i="8"/>
  <c r="V339" i="8"/>
  <c r="W339" i="8"/>
  <c r="X339" i="8"/>
  <c r="Y339" i="8"/>
  <c r="Z339" i="8"/>
  <c r="AA339" i="8"/>
  <c r="AB339" i="8"/>
  <c r="AC339" i="8"/>
  <c r="AD339" i="8"/>
  <c r="Q340" i="8"/>
  <c r="R340" i="8"/>
  <c r="S340" i="8"/>
  <c r="T340" i="8"/>
  <c r="U340" i="8"/>
  <c r="V340" i="8"/>
  <c r="W340" i="8"/>
  <c r="X340" i="8"/>
  <c r="Y340" i="8"/>
  <c r="Z340" i="8"/>
  <c r="AA340" i="8"/>
  <c r="AB340" i="8"/>
  <c r="AC340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Q372" i="8"/>
  <c r="R372" i="8"/>
  <c r="S372" i="8"/>
  <c r="T372" i="8"/>
  <c r="U372" i="8"/>
  <c r="V372" i="8"/>
  <c r="W372" i="8"/>
  <c r="X372" i="8"/>
  <c r="Y372" i="8"/>
  <c r="Z372" i="8"/>
  <c r="AA372" i="8"/>
  <c r="AB372" i="8"/>
  <c r="AC372" i="8"/>
  <c r="AD372" i="8"/>
  <c r="Q373" i="8"/>
  <c r="R373" i="8"/>
  <c r="S373" i="8"/>
  <c r="T373" i="8"/>
  <c r="U373" i="8"/>
  <c r="V373" i="8"/>
  <c r="W373" i="8"/>
  <c r="X373" i="8"/>
  <c r="Y373" i="8"/>
  <c r="Z373" i="8"/>
  <c r="AA373" i="8"/>
  <c r="AB373" i="8"/>
  <c r="AC373" i="8"/>
  <c r="AD373" i="8"/>
  <c r="Q374" i="8"/>
  <c r="R374" i="8"/>
  <c r="S374" i="8"/>
  <c r="T374" i="8"/>
  <c r="U374" i="8"/>
  <c r="V374" i="8"/>
  <c r="W374" i="8"/>
  <c r="X374" i="8"/>
  <c r="Y374" i="8"/>
  <c r="Z374" i="8"/>
  <c r="AA374" i="8"/>
  <c r="AB374" i="8"/>
  <c r="AC374" i="8"/>
  <c r="AD374" i="8"/>
  <c r="Q375" i="8"/>
  <c r="R375" i="8"/>
  <c r="S375" i="8"/>
  <c r="T375" i="8"/>
  <c r="U375" i="8"/>
  <c r="V375" i="8"/>
  <c r="W375" i="8"/>
  <c r="X375" i="8"/>
  <c r="Y375" i="8"/>
  <c r="Z375" i="8"/>
  <c r="AA375" i="8"/>
  <c r="AB375" i="8"/>
  <c r="AC375" i="8"/>
  <c r="AD375" i="8"/>
  <c r="Q376" i="8"/>
  <c r="R376" i="8"/>
  <c r="S376" i="8"/>
  <c r="T376" i="8"/>
  <c r="U376" i="8"/>
  <c r="V376" i="8"/>
  <c r="W376" i="8"/>
  <c r="X376" i="8"/>
  <c r="Y376" i="8"/>
  <c r="Z376" i="8"/>
  <c r="AA376" i="8"/>
  <c r="AB376" i="8"/>
  <c r="AC376" i="8"/>
  <c r="AD376" i="8"/>
  <c r="Q377" i="8"/>
  <c r="R377" i="8"/>
  <c r="S377" i="8"/>
  <c r="T377" i="8"/>
  <c r="U377" i="8"/>
  <c r="V377" i="8"/>
  <c r="W377" i="8"/>
  <c r="X377" i="8"/>
  <c r="Y377" i="8"/>
  <c r="Z377" i="8"/>
  <c r="AA377" i="8"/>
  <c r="AB377" i="8"/>
  <c r="AC377" i="8"/>
  <c r="AD377" i="8"/>
  <c r="Q378" i="8"/>
  <c r="R378" i="8"/>
  <c r="S378" i="8"/>
  <c r="T378" i="8"/>
  <c r="U378" i="8"/>
  <c r="V378" i="8"/>
  <c r="W378" i="8"/>
  <c r="X378" i="8"/>
  <c r="Y378" i="8"/>
  <c r="Z378" i="8"/>
  <c r="AA378" i="8"/>
  <c r="AB378" i="8"/>
  <c r="AC378" i="8"/>
  <c r="AD378" i="8"/>
  <c r="Q379" i="8"/>
  <c r="R379" i="8"/>
  <c r="S379" i="8"/>
  <c r="T379" i="8"/>
  <c r="U379" i="8"/>
  <c r="V379" i="8"/>
  <c r="W379" i="8"/>
  <c r="X379" i="8"/>
  <c r="Y379" i="8"/>
  <c r="Z379" i="8"/>
  <c r="AA379" i="8"/>
  <c r="AB379" i="8"/>
  <c r="AC379" i="8"/>
  <c r="AD379" i="8"/>
  <c r="Q380" i="8"/>
  <c r="R380" i="8"/>
  <c r="S380" i="8"/>
  <c r="T380" i="8"/>
  <c r="U380" i="8"/>
  <c r="V380" i="8"/>
  <c r="W380" i="8"/>
  <c r="X380" i="8"/>
  <c r="Y380" i="8"/>
  <c r="Z380" i="8"/>
  <c r="AA380" i="8"/>
  <c r="AB380" i="8"/>
  <c r="AC380" i="8"/>
  <c r="AD380" i="8"/>
  <c r="Q381" i="8"/>
  <c r="R381" i="8"/>
  <c r="S381" i="8"/>
  <c r="T381" i="8"/>
  <c r="U381" i="8"/>
  <c r="V381" i="8"/>
  <c r="W381" i="8"/>
  <c r="X381" i="8"/>
  <c r="Y381" i="8"/>
  <c r="Z381" i="8"/>
  <c r="AA381" i="8"/>
  <c r="AB381" i="8"/>
  <c r="AC381" i="8"/>
  <c r="AD381" i="8"/>
  <c r="Q382" i="8"/>
  <c r="R382" i="8"/>
  <c r="S382" i="8"/>
  <c r="T382" i="8"/>
  <c r="U382" i="8"/>
  <c r="V382" i="8"/>
  <c r="W382" i="8"/>
  <c r="X382" i="8"/>
  <c r="Y382" i="8"/>
  <c r="Z382" i="8"/>
  <c r="AA382" i="8"/>
  <c r="AB382" i="8"/>
  <c r="AC382" i="8"/>
  <c r="AD382" i="8"/>
  <c r="Q383" i="8"/>
  <c r="R383" i="8"/>
  <c r="S383" i="8"/>
  <c r="T383" i="8"/>
  <c r="U383" i="8"/>
  <c r="V383" i="8"/>
  <c r="W383" i="8"/>
  <c r="X383" i="8"/>
  <c r="Y383" i="8"/>
  <c r="Z383" i="8"/>
  <c r="AA383" i="8"/>
  <c r="AB383" i="8"/>
  <c r="AC383" i="8"/>
  <c r="AD383" i="8"/>
  <c r="Q384" i="8"/>
  <c r="R384" i="8"/>
  <c r="S384" i="8"/>
  <c r="T384" i="8"/>
  <c r="U384" i="8"/>
  <c r="V384" i="8"/>
  <c r="W384" i="8"/>
  <c r="X384" i="8"/>
  <c r="Y384" i="8"/>
  <c r="Z384" i="8"/>
  <c r="AA384" i="8"/>
  <c r="AB384" i="8"/>
  <c r="AC384" i="8"/>
  <c r="AD384" i="8"/>
  <c r="Q385" i="8"/>
  <c r="R385" i="8"/>
  <c r="S385" i="8"/>
  <c r="T385" i="8"/>
  <c r="U385" i="8"/>
  <c r="V385" i="8"/>
  <c r="W385" i="8"/>
  <c r="X385" i="8"/>
  <c r="Y385" i="8"/>
  <c r="Z385" i="8"/>
  <c r="AA385" i="8"/>
  <c r="AB385" i="8"/>
  <c r="AC385" i="8"/>
  <c r="AD385" i="8"/>
  <c r="Q386" i="8"/>
  <c r="R386" i="8"/>
  <c r="S386" i="8"/>
  <c r="T386" i="8"/>
  <c r="U386" i="8"/>
  <c r="V386" i="8"/>
  <c r="W386" i="8"/>
  <c r="X386" i="8"/>
  <c r="Y386" i="8"/>
  <c r="Z386" i="8"/>
  <c r="AA386" i="8"/>
  <c r="AB386" i="8"/>
  <c r="AC386" i="8"/>
  <c r="AD386" i="8"/>
  <c r="Q387" i="8"/>
  <c r="R387" i="8"/>
  <c r="S387" i="8"/>
  <c r="T387" i="8"/>
  <c r="U387" i="8"/>
  <c r="V387" i="8"/>
  <c r="W387" i="8"/>
  <c r="X387" i="8"/>
  <c r="Y387" i="8"/>
  <c r="Z387" i="8"/>
  <c r="AA387" i="8"/>
  <c r="AB387" i="8"/>
  <c r="AC387" i="8"/>
  <c r="AD387" i="8"/>
  <c r="Q388" i="8"/>
  <c r="R388" i="8"/>
  <c r="S388" i="8"/>
  <c r="T388" i="8"/>
  <c r="U388" i="8"/>
  <c r="V388" i="8"/>
  <c r="W388" i="8"/>
  <c r="X388" i="8"/>
  <c r="Y388" i="8"/>
  <c r="Z388" i="8"/>
  <c r="AA388" i="8"/>
  <c r="AB388" i="8"/>
  <c r="AC388" i="8"/>
  <c r="AD388" i="8"/>
  <c r="Q389" i="8"/>
  <c r="R389" i="8"/>
  <c r="S389" i="8"/>
  <c r="T389" i="8"/>
  <c r="U389" i="8"/>
  <c r="V389" i="8"/>
  <c r="W389" i="8"/>
  <c r="X389" i="8"/>
  <c r="Y389" i="8"/>
  <c r="Z389" i="8"/>
  <c r="AA389" i="8"/>
  <c r="AB389" i="8"/>
  <c r="AC389" i="8"/>
  <c r="AD389" i="8"/>
  <c r="Q390" i="8"/>
  <c r="R390" i="8"/>
  <c r="S390" i="8"/>
  <c r="T390" i="8"/>
  <c r="U390" i="8"/>
  <c r="V390" i="8"/>
  <c r="W390" i="8"/>
  <c r="X390" i="8"/>
  <c r="Y390" i="8"/>
  <c r="Z390" i="8"/>
  <c r="AA390" i="8"/>
  <c r="AB390" i="8"/>
  <c r="AC390" i="8"/>
  <c r="AD390" i="8"/>
  <c r="Q391" i="8"/>
  <c r="R391" i="8"/>
  <c r="S391" i="8"/>
  <c r="T391" i="8"/>
  <c r="U391" i="8"/>
  <c r="V391" i="8"/>
  <c r="W391" i="8"/>
  <c r="X391" i="8"/>
  <c r="Y391" i="8"/>
  <c r="Z391" i="8"/>
  <c r="AA391" i="8"/>
  <c r="AB391" i="8"/>
  <c r="AC391" i="8"/>
  <c r="AD391" i="8"/>
  <c r="Q392" i="8"/>
  <c r="R392" i="8"/>
  <c r="S392" i="8"/>
  <c r="T392" i="8"/>
  <c r="U392" i="8"/>
  <c r="V392" i="8"/>
  <c r="W392" i="8"/>
  <c r="X392" i="8"/>
  <c r="Y392" i="8"/>
  <c r="Z392" i="8"/>
  <c r="AA392" i="8"/>
  <c r="AB392" i="8"/>
  <c r="AC392" i="8"/>
  <c r="AD392" i="8"/>
  <c r="Q393" i="8"/>
  <c r="R393" i="8"/>
  <c r="S393" i="8"/>
  <c r="T393" i="8"/>
  <c r="U393" i="8"/>
  <c r="V393" i="8"/>
  <c r="W393" i="8"/>
  <c r="X393" i="8"/>
  <c r="Y393" i="8"/>
  <c r="Z393" i="8"/>
  <c r="AA393" i="8"/>
  <c r="AB393" i="8"/>
  <c r="AC393" i="8"/>
  <c r="AD393" i="8"/>
  <c r="Q394" i="8"/>
  <c r="R394" i="8"/>
  <c r="S394" i="8"/>
  <c r="T394" i="8"/>
  <c r="U394" i="8"/>
  <c r="V394" i="8"/>
  <c r="W394" i="8"/>
  <c r="X394" i="8"/>
  <c r="Y394" i="8"/>
  <c r="Z394" i="8"/>
  <c r="AA394" i="8"/>
  <c r="AB394" i="8"/>
  <c r="AC394" i="8"/>
  <c r="AD394" i="8"/>
  <c r="Q395" i="8"/>
  <c r="R395" i="8"/>
  <c r="S395" i="8"/>
  <c r="T395" i="8"/>
  <c r="U395" i="8"/>
  <c r="V395" i="8"/>
  <c r="W395" i="8"/>
  <c r="X395" i="8"/>
  <c r="Y395" i="8"/>
  <c r="Z395" i="8"/>
  <c r="AA395" i="8"/>
  <c r="AB395" i="8"/>
  <c r="AC395" i="8"/>
  <c r="AD395" i="8"/>
  <c r="Q396" i="8"/>
  <c r="R396" i="8"/>
  <c r="S396" i="8"/>
  <c r="T396" i="8"/>
  <c r="U396" i="8"/>
  <c r="V396" i="8"/>
  <c r="W396" i="8"/>
  <c r="X396" i="8"/>
  <c r="Y396" i="8"/>
  <c r="Z396" i="8"/>
  <c r="AA396" i="8"/>
  <c r="AB396" i="8"/>
  <c r="AC396" i="8"/>
  <c r="AD396" i="8"/>
  <c r="Q397" i="8"/>
  <c r="R397" i="8"/>
  <c r="S397" i="8"/>
  <c r="T397" i="8"/>
  <c r="U397" i="8"/>
  <c r="V397" i="8"/>
  <c r="W397" i="8"/>
  <c r="X397" i="8"/>
  <c r="Y397" i="8"/>
  <c r="Z397" i="8"/>
  <c r="AA397" i="8"/>
  <c r="AB397" i="8"/>
  <c r="AC397" i="8"/>
  <c r="AD397" i="8"/>
  <c r="Q398" i="8"/>
  <c r="R398" i="8"/>
  <c r="S398" i="8"/>
  <c r="T398" i="8"/>
  <c r="U398" i="8"/>
  <c r="V398" i="8"/>
  <c r="W398" i="8"/>
  <c r="X398" i="8"/>
  <c r="Y398" i="8"/>
  <c r="Z398" i="8"/>
  <c r="AA398" i="8"/>
  <c r="AB398" i="8"/>
  <c r="AC398" i="8"/>
  <c r="AD398" i="8"/>
  <c r="Q399" i="8"/>
  <c r="R399" i="8"/>
  <c r="S399" i="8"/>
  <c r="T399" i="8"/>
  <c r="U399" i="8"/>
  <c r="V399" i="8"/>
  <c r="W399" i="8"/>
  <c r="X399" i="8"/>
  <c r="Y399" i="8"/>
  <c r="Z399" i="8"/>
  <c r="AA399" i="8"/>
  <c r="AB399" i="8"/>
  <c r="AC399" i="8"/>
  <c r="AD399" i="8"/>
  <c r="Q400" i="8"/>
  <c r="R400" i="8"/>
  <c r="S400" i="8"/>
  <c r="T400" i="8"/>
  <c r="U400" i="8"/>
  <c r="V400" i="8"/>
  <c r="W400" i="8"/>
  <c r="X400" i="8"/>
  <c r="Y400" i="8"/>
  <c r="Z400" i="8"/>
  <c r="AA400" i="8"/>
  <c r="AB400" i="8"/>
  <c r="AC400" i="8"/>
  <c r="AD400" i="8"/>
  <c r="Q401" i="8"/>
  <c r="R401" i="8"/>
  <c r="S401" i="8"/>
  <c r="T401" i="8"/>
  <c r="U401" i="8"/>
  <c r="V401" i="8"/>
  <c r="W401" i="8"/>
  <c r="X401" i="8"/>
  <c r="Y401" i="8"/>
  <c r="Z401" i="8"/>
  <c r="AA401" i="8"/>
  <c r="AB401" i="8"/>
  <c r="AC401" i="8"/>
  <c r="AD401" i="8"/>
  <c r="Q402" i="8"/>
  <c r="R402" i="8"/>
  <c r="S402" i="8"/>
  <c r="T402" i="8"/>
  <c r="U402" i="8"/>
  <c r="V402" i="8"/>
  <c r="W402" i="8"/>
  <c r="X402" i="8"/>
  <c r="Y402" i="8"/>
  <c r="Z402" i="8"/>
  <c r="AA402" i="8"/>
  <c r="AB402" i="8"/>
  <c r="AC402" i="8"/>
  <c r="AD402" i="8"/>
  <c r="Q403" i="8"/>
  <c r="R403" i="8"/>
  <c r="S403" i="8"/>
  <c r="T403" i="8"/>
  <c r="U403" i="8"/>
  <c r="V403" i="8"/>
  <c r="W403" i="8"/>
  <c r="X403" i="8"/>
  <c r="Y403" i="8"/>
  <c r="Z403" i="8"/>
  <c r="AA403" i="8"/>
  <c r="AB403" i="8"/>
  <c r="AC403" i="8"/>
  <c r="AD403" i="8"/>
  <c r="Q404" i="8"/>
  <c r="R404" i="8"/>
  <c r="S404" i="8"/>
  <c r="T404" i="8"/>
  <c r="U404" i="8"/>
  <c r="V404" i="8"/>
  <c r="W404" i="8"/>
  <c r="X404" i="8"/>
  <c r="Y404" i="8"/>
  <c r="Z404" i="8"/>
  <c r="AA404" i="8"/>
  <c r="AB404" i="8"/>
  <c r="AC404" i="8"/>
  <c r="AD404" i="8"/>
  <c r="Q405" i="8"/>
  <c r="R405" i="8"/>
  <c r="S405" i="8"/>
  <c r="T405" i="8"/>
  <c r="U405" i="8"/>
  <c r="V405" i="8"/>
  <c r="W405" i="8"/>
  <c r="X405" i="8"/>
  <c r="Y405" i="8"/>
  <c r="Z405" i="8"/>
  <c r="AA405" i="8"/>
  <c r="AB405" i="8"/>
  <c r="AC405" i="8"/>
  <c r="AD405" i="8"/>
  <c r="Q406" i="8"/>
  <c r="R406" i="8"/>
  <c r="S406" i="8"/>
  <c r="T406" i="8"/>
  <c r="U406" i="8"/>
  <c r="V406" i="8"/>
  <c r="W406" i="8"/>
  <c r="X406" i="8"/>
  <c r="Y406" i="8"/>
  <c r="Z406" i="8"/>
  <c r="AA406" i="8"/>
  <c r="AB406" i="8"/>
  <c r="AC406" i="8"/>
  <c r="AD406" i="8"/>
  <c r="Q407" i="8"/>
  <c r="R407" i="8"/>
  <c r="S407" i="8"/>
  <c r="T407" i="8"/>
  <c r="U407" i="8"/>
  <c r="V407" i="8"/>
  <c r="W407" i="8"/>
  <c r="X407" i="8"/>
  <c r="Y407" i="8"/>
  <c r="Z407" i="8"/>
  <c r="AA407" i="8"/>
  <c r="AB407" i="8"/>
  <c r="AC407" i="8"/>
  <c r="AD407" i="8"/>
  <c r="Q408" i="8"/>
  <c r="R408" i="8"/>
  <c r="S408" i="8"/>
  <c r="T408" i="8"/>
  <c r="U408" i="8"/>
  <c r="V408" i="8"/>
  <c r="W408" i="8"/>
  <c r="X408" i="8"/>
  <c r="Y408" i="8"/>
  <c r="Z408" i="8"/>
  <c r="AA408" i="8"/>
  <c r="AB408" i="8"/>
  <c r="AC408" i="8"/>
  <c r="AD408" i="8"/>
  <c r="Q409" i="8"/>
  <c r="R409" i="8"/>
  <c r="S409" i="8"/>
  <c r="T409" i="8"/>
  <c r="U409" i="8"/>
  <c r="V409" i="8"/>
  <c r="W409" i="8"/>
  <c r="X409" i="8"/>
  <c r="Y409" i="8"/>
  <c r="Z409" i="8"/>
  <c r="AA409" i="8"/>
  <c r="AB409" i="8"/>
  <c r="AC409" i="8"/>
  <c r="AD409" i="8"/>
  <c r="Q410" i="8"/>
  <c r="R410" i="8"/>
  <c r="S410" i="8"/>
  <c r="T410" i="8"/>
  <c r="U410" i="8"/>
  <c r="V410" i="8"/>
  <c r="W410" i="8"/>
  <c r="X410" i="8"/>
  <c r="Y410" i="8"/>
  <c r="Z410" i="8"/>
  <c r="AA410" i="8"/>
  <c r="AB410" i="8"/>
  <c r="AC410" i="8"/>
  <c r="AD410" i="8"/>
  <c r="Q411" i="8"/>
  <c r="R411" i="8"/>
  <c r="S411" i="8"/>
  <c r="T411" i="8"/>
  <c r="U411" i="8"/>
  <c r="V411" i="8"/>
  <c r="W411" i="8"/>
  <c r="X411" i="8"/>
  <c r="Y411" i="8"/>
  <c r="Z411" i="8"/>
  <c r="AA411" i="8"/>
  <c r="AB411" i="8"/>
  <c r="AC411" i="8"/>
  <c r="AD411" i="8"/>
  <c r="Q412" i="8"/>
  <c r="R412" i="8"/>
  <c r="S412" i="8"/>
  <c r="T412" i="8"/>
  <c r="U412" i="8"/>
  <c r="V412" i="8"/>
  <c r="W412" i="8"/>
  <c r="X412" i="8"/>
  <c r="Y412" i="8"/>
  <c r="Z412" i="8"/>
  <c r="AA412" i="8"/>
  <c r="AB412" i="8"/>
  <c r="AC412" i="8"/>
  <c r="AD412" i="8"/>
  <c r="Q413" i="8"/>
  <c r="R413" i="8"/>
  <c r="S413" i="8"/>
  <c r="T413" i="8"/>
  <c r="U413" i="8"/>
  <c r="V413" i="8"/>
  <c r="W413" i="8"/>
  <c r="X413" i="8"/>
  <c r="Y413" i="8"/>
  <c r="Z413" i="8"/>
  <c r="AA413" i="8"/>
  <c r="AB413" i="8"/>
  <c r="AC413" i="8"/>
  <c r="AD413" i="8"/>
  <c r="Q414" i="8"/>
  <c r="R414" i="8"/>
  <c r="S414" i="8"/>
  <c r="T414" i="8"/>
  <c r="U414" i="8"/>
  <c r="V414" i="8"/>
  <c r="W414" i="8"/>
  <c r="X414" i="8"/>
  <c r="Y414" i="8"/>
  <c r="Z414" i="8"/>
  <c r="AA414" i="8"/>
  <c r="AB414" i="8"/>
  <c r="AC414" i="8"/>
  <c r="AD414" i="8"/>
  <c r="Q415" i="8"/>
  <c r="R415" i="8"/>
  <c r="S415" i="8"/>
  <c r="T415" i="8"/>
  <c r="U415" i="8"/>
  <c r="V415" i="8"/>
  <c r="W415" i="8"/>
  <c r="X415" i="8"/>
  <c r="Y415" i="8"/>
  <c r="Z415" i="8"/>
  <c r="AA415" i="8"/>
  <c r="AB415" i="8"/>
  <c r="AC415" i="8"/>
  <c r="AD415" i="8"/>
  <c r="Q416" i="8"/>
  <c r="R416" i="8"/>
  <c r="S416" i="8"/>
  <c r="T416" i="8"/>
  <c r="U416" i="8"/>
  <c r="V416" i="8"/>
  <c r="W416" i="8"/>
  <c r="X416" i="8"/>
  <c r="Y416" i="8"/>
  <c r="Z416" i="8"/>
  <c r="AA416" i="8"/>
  <c r="AB416" i="8"/>
  <c r="AC416" i="8"/>
  <c r="AD416" i="8"/>
  <c r="Q417" i="8"/>
  <c r="R417" i="8"/>
  <c r="S417" i="8"/>
  <c r="T417" i="8"/>
  <c r="U417" i="8"/>
  <c r="V417" i="8"/>
  <c r="W417" i="8"/>
  <c r="X417" i="8"/>
  <c r="Y417" i="8"/>
  <c r="Z417" i="8"/>
  <c r="AA417" i="8"/>
  <c r="AB417" i="8"/>
  <c r="AC417" i="8"/>
  <c r="AD417" i="8"/>
  <c r="Q418" i="8"/>
  <c r="R418" i="8"/>
  <c r="S418" i="8"/>
  <c r="T418" i="8"/>
  <c r="U418" i="8"/>
  <c r="V418" i="8"/>
  <c r="W418" i="8"/>
  <c r="X418" i="8"/>
  <c r="Y418" i="8"/>
  <c r="Z418" i="8"/>
  <c r="AA418" i="8"/>
  <c r="AB418" i="8"/>
  <c r="AC418" i="8"/>
  <c r="AD418" i="8"/>
  <c r="Q419" i="8"/>
  <c r="R419" i="8"/>
  <c r="S419" i="8"/>
  <c r="T419" i="8"/>
  <c r="U419" i="8"/>
  <c r="V419" i="8"/>
  <c r="W419" i="8"/>
  <c r="X419" i="8"/>
  <c r="Y419" i="8"/>
  <c r="Z419" i="8"/>
  <c r="AA419" i="8"/>
  <c r="AB419" i="8"/>
  <c r="AC419" i="8"/>
  <c r="AD419" i="8"/>
  <c r="Q420" i="8"/>
  <c r="R420" i="8"/>
  <c r="S420" i="8"/>
  <c r="T420" i="8"/>
  <c r="U420" i="8"/>
  <c r="V420" i="8"/>
  <c r="W420" i="8"/>
  <c r="X420" i="8"/>
  <c r="Y420" i="8"/>
  <c r="Z420" i="8"/>
  <c r="AA420" i="8"/>
  <c r="AB420" i="8"/>
  <c r="AC420" i="8"/>
  <c r="AD420" i="8"/>
  <c r="Q421" i="8"/>
  <c r="R421" i="8"/>
  <c r="S421" i="8"/>
  <c r="T421" i="8"/>
  <c r="U421" i="8"/>
  <c r="V421" i="8"/>
  <c r="W421" i="8"/>
  <c r="X421" i="8"/>
  <c r="Y421" i="8"/>
  <c r="Z421" i="8"/>
  <c r="AA421" i="8"/>
  <c r="AB421" i="8"/>
  <c r="AC421" i="8"/>
  <c r="AD421" i="8"/>
  <c r="Q422" i="8"/>
  <c r="R422" i="8"/>
  <c r="S422" i="8"/>
  <c r="T422" i="8"/>
  <c r="U422" i="8"/>
  <c r="V422" i="8"/>
  <c r="W422" i="8"/>
  <c r="X422" i="8"/>
  <c r="Y422" i="8"/>
  <c r="Z422" i="8"/>
  <c r="AA422" i="8"/>
  <c r="AB422" i="8"/>
  <c r="AC422" i="8"/>
  <c r="AD422" i="8"/>
  <c r="Q423" i="8"/>
  <c r="R423" i="8"/>
  <c r="S423" i="8"/>
  <c r="T423" i="8"/>
  <c r="U423" i="8"/>
  <c r="V423" i="8"/>
  <c r="W423" i="8"/>
  <c r="X423" i="8"/>
  <c r="Y423" i="8"/>
  <c r="Z423" i="8"/>
  <c r="AA423" i="8"/>
  <c r="AB423" i="8"/>
  <c r="AC423" i="8"/>
  <c r="AD423" i="8"/>
  <c r="Q424" i="8"/>
  <c r="R424" i="8"/>
  <c r="S424" i="8"/>
  <c r="T424" i="8"/>
  <c r="U424" i="8"/>
  <c r="V424" i="8"/>
  <c r="W424" i="8"/>
  <c r="X424" i="8"/>
  <c r="Y424" i="8"/>
  <c r="Z424" i="8"/>
  <c r="AA424" i="8"/>
  <c r="AB424" i="8"/>
  <c r="AC424" i="8"/>
  <c r="AD424" i="8"/>
  <c r="Q425" i="8"/>
  <c r="R425" i="8"/>
  <c r="S425" i="8"/>
  <c r="T425" i="8"/>
  <c r="U425" i="8"/>
  <c r="V425" i="8"/>
  <c r="W425" i="8"/>
  <c r="X425" i="8"/>
  <c r="Y425" i="8"/>
  <c r="Z425" i="8"/>
  <c r="AA425" i="8"/>
  <c r="AB425" i="8"/>
  <c r="AC425" i="8"/>
  <c r="AD425" i="8"/>
  <c r="Q426" i="8"/>
  <c r="R426" i="8"/>
  <c r="S426" i="8"/>
  <c r="T426" i="8"/>
  <c r="U426" i="8"/>
  <c r="V426" i="8"/>
  <c r="W426" i="8"/>
  <c r="X426" i="8"/>
  <c r="Y426" i="8"/>
  <c r="Z426" i="8"/>
  <c r="AA426" i="8"/>
  <c r="AB426" i="8"/>
  <c r="AC426" i="8"/>
  <c r="AD426" i="8"/>
  <c r="Q427" i="8"/>
  <c r="R427" i="8"/>
  <c r="S427" i="8"/>
  <c r="T427" i="8"/>
  <c r="U427" i="8"/>
  <c r="V427" i="8"/>
  <c r="W427" i="8"/>
  <c r="X427" i="8"/>
  <c r="Y427" i="8"/>
  <c r="Z427" i="8"/>
  <c r="AA427" i="8"/>
  <c r="AB427" i="8"/>
  <c r="AC427" i="8"/>
  <c r="AD427" i="8"/>
  <c r="Q428" i="8"/>
  <c r="R428" i="8"/>
  <c r="S428" i="8"/>
  <c r="T428" i="8"/>
  <c r="U428" i="8"/>
  <c r="V428" i="8"/>
  <c r="W428" i="8"/>
  <c r="X428" i="8"/>
  <c r="Y428" i="8"/>
  <c r="Z428" i="8"/>
  <c r="AA428" i="8"/>
  <c r="AB428" i="8"/>
  <c r="AC428" i="8"/>
  <c r="AD428" i="8"/>
  <c r="Q429" i="8"/>
  <c r="R429" i="8"/>
  <c r="S429" i="8"/>
  <c r="T429" i="8"/>
  <c r="U429" i="8"/>
  <c r="V429" i="8"/>
  <c r="W429" i="8"/>
  <c r="X429" i="8"/>
  <c r="Y429" i="8"/>
  <c r="Z429" i="8"/>
  <c r="AA429" i="8"/>
  <c r="AB429" i="8"/>
  <c r="AC429" i="8"/>
  <c r="AD429" i="8"/>
  <c r="Q430" i="8"/>
  <c r="R430" i="8"/>
  <c r="S430" i="8"/>
  <c r="T430" i="8"/>
  <c r="U430" i="8"/>
  <c r="V430" i="8"/>
  <c r="W430" i="8"/>
  <c r="X430" i="8"/>
  <c r="Y430" i="8"/>
  <c r="Z430" i="8"/>
  <c r="AA430" i="8"/>
  <c r="AB430" i="8"/>
  <c r="AC430" i="8"/>
  <c r="AD430" i="8"/>
  <c r="Q431" i="8"/>
  <c r="R431" i="8"/>
  <c r="S431" i="8"/>
  <c r="T431" i="8"/>
  <c r="U431" i="8"/>
  <c r="V431" i="8"/>
  <c r="W431" i="8"/>
  <c r="X431" i="8"/>
  <c r="Y431" i="8"/>
  <c r="Z431" i="8"/>
  <c r="AA431" i="8"/>
  <c r="AB431" i="8"/>
  <c r="AC431" i="8"/>
  <c r="AD431" i="8"/>
  <c r="Q432" i="8"/>
  <c r="R432" i="8"/>
  <c r="S432" i="8"/>
  <c r="T432" i="8"/>
  <c r="U432" i="8"/>
  <c r="V432" i="8"/>
  <c r="W432" i="8"/>
  <c r="X432" i="8"/>
  <c r="Y432" i="8"/>
  <c r="Z432" i="8"/>
  <c r="AA432" i="8"/>
  <c r="AB432" i="8"/>
  <c r="AC432" i="8"/>
  <c r="AD432" i="8"/>
  <c r="Q433" i="8"/>
  <c r="R433" i="8"/>
  <c r="S433" i="8"/>
  <c r="T433" i="8"/>
  <c r="U433" i="8"/>
  <c r="V433" i="8"/>
  <c r="W433" i="8"/>
  <c r="X433" i="8"/>
  <c r="Y433" i="8"/>
  <c r="Z433" i="8"/>
  <c r="AA433" i="8"/>
  <c r="AB433" i="8"/>
  <c r="AC433" i="8"/>
  <c r="AD433" i="8"/>
  <c r="Q434" i="8"/>
  <c r="R434" i="8"/>
  <c r="S434" i="8"/>
  <c r="T434" i="8"/>
  <c r="U434" i="8"/>
  <c r="V434" i="8"/>
  <c r="W434" i="8"/>
  <c r="X434" i="8"/>
  <c r="Y434" i="8"/>
  <c r="Z434" i="8"/>
  <c r="AA434" i="8"/>
  <c r="AB434" i="8"/>
  <c r="AC434" i="8"/>
  <c r="AD434" i="8"/>
  <c r="Q435" i="8"/>
  <c r="R435" i="8"/>
  <c r="S435" i="8"/>
  <c r="T435" i="8"/>
  <c r="U435" i="8"/>
  <c r="V435" i="8"/>
  <c r="W435" i="8"/>
  <c r="X435" i="8"/>
  <c r="Y435" i="8"/>
  <c r="Z435" i="8"/>
  <c r="AA435" i="8"/>
  <c r="AB435" i="8"/>
  <c r="AC435" i="8"/>
  <c r="AD435" i="8"/>
  <c r="Q436" i="8"/>
  <c r="R436" i="8"/>
  <c r="S436" i="8"/>
  <c r="T436" i="8"/>
  <c r="U436" i="8"/>
  <c r="V436" i="8"/>
  <c r="W436" i="8"/>
  <c r="X436" i="8"/>
  <c r="Y436" i="8"/>
  <c r="Z436" i="8"/>
  <c r="AA436" i="8"/>
  <c r="AB436" i="8"/>
  <c r="AC436" i="8"/>
  <c r="AD436" i="8"/>
  <c r="Q437" i="8"/>
  <c r="R437" i="8"/>
  <c r="S437" i="8"/>
  <c r="T437" i="8"/>
  <c r="U437" i="8"/>
  <c r="V437" i="8"/>
  <c r="W437" i="8"/>
  <c r="X437" i="8"/>
  <c r="Y437" i="8"/>
  <c r="Z437" i="8"/>
  <c r="AA437" i="8"/>
  <c r="AB437" i="8"/>
  <c r="AC437" i="8"/>
  <c r="AD437" i="8"/>
  <c r="Q438" i="8"/>
  <c r="R438" i="8"/>
  <c r="S438" i="8"/>
  <c r="T438" i="8"/>
  <c r="U438" i="8"/>
  <c r="V438" i="8"/>
  <c r="W438" i="8"/>
  <c r="X438" i="8"/>
  <c r="Y438" i="8"/>
  <c r="Z438" i="8"/>
  <c r="AA438" i="8"/>
  <c r="AB438" i="8"/>
  <c r="AC438" i="8"/>
  <c r="AD438" i="8"/>
  <c r="Q439" i="8"/>
  <c r="R439" i="8"/>
  <c r="S439" i="8"/>
  <c r="T439" i="8"/>
  <c r="U439" i="8"/>
  <c r="V439" i="8"/>
  <c r="W439" i="8"/>
  <c r="X439" i="8"/>
  <c r="Y439" i="8"/>
  <c r="Z439" i="8"/>
  <c r="AA439" i="8"/>
  <c r="AB439" i="8"/>
  <c r="AC439" i="8"/>
  <c r="AD439" i="8"/>
  <c r="Q440" i="8"/>
  <c r="R440" i="8"/>
  <c r="S440" i="8"/>
  <c r="T440" i="8"/>
  <c r="U440" i="8"/>
  <c r="V440" i="8"/>
  <c r="W440" i="8"/>
  <c r="X440" i="8"/>
  <c r="Y440" i="8"/>
  <c r="Z440" i="8"/>
  <c r="AA440" i="8"/>
  <c r="AB440" i="8"/>
  <c r="AC440" i="8"/>
  <c r="AD440" i="8"/>
  <c r="Q441" i="8"/>
  <c r="R441" i="8"/>
  <c r="S441" i="8"/>
  <c r="T441" i="8"/>
  <c r="U441" i="8"/>
  <c r="V441" i="8"/>
  <c r="W441" i="8"/>
  <c r="X441" i="8"/>
  <c r="Y441" i="8"/>
  <c r="Z441" i="8"/>
  <c r="AA441" i="8"/>
  <c r="AB441" i="8"/>
  <c r="AC441" i="8"/>
  <c r="AD441" i="8"/>
  <c r="Q442" i="8"/>
  <c r="R442" i="8"/>
  <c r="S442" i="8"/>
  <c r="T442" i="8"/>
  <c r="U442" i="8"/>
  <c r="V442" i="8"/>
  <c r="W442" i="8"/>
  <c r="X442" i="8"/>
  <c r="Y442" i="8"/>
  <c r="Z442" i="8"/>
  <c r="AA442" i="8"/>
  <c r="AB442" i="8"/>
  <c r="AC442" i="8"/>
  <c r="AD442" i="8"/>
  <c r="Q443" i="8"/>
  <c r="R443" i="8"/>
  <c r="S443" i="8"/>
  <c r="T443" i="8"/>
  <c r="U443" i="8"/>
  <c r="V443" i="8"/>
  <c r="W443" i="8"/>
  <c r="X443" i="8"/>
  <c r="Y443" i="8"/>
  <c r="Z443" i="8"/>
  <c r="AA443" i="8"/>
  <c r="AB443" i="8"/>
  <c r="AC443" i="8"/>
  <c r="AD443" i="8"/>
  <c r="Q444" i="8"/>
  <c r="R444" i="8"/>
  <c r="S444" i="8"/>
  <c r="T444" i="8"/>
  <c r="U444" i="8"/>
  <c r="V444" i="8"/>
  <c r="W444" i="8"/>
  <c r="X444" i="8"/>
  <c r="Y444" i="8"/>
  <c r="Z444" i="8"/>
  <c r="AA444" i="8"/>
  <c r="AB444" i="8"/>
  <c r="AC444" i="8"/>
  <c r="AD444" i="8"/>
  <c r="Q445" i="8"/>
  <c r="R445" i="8"/>
  <c r="S445" i="8"/>
  <c r="T445" i="8"/>
  <c r="U445" i="8"/>
  <c r="V445" i="8"/>
  <c r="W445" i="8"/>
  <c r="X445" i="8"/>
  <c r="Y445" i="8"/>
  <c r="Z445" i="8"/>
  <c r="AA445" i="8"/>
  <c r="AB445" i="8"/>
  <c r="AC445" i="8"/>
  <c r="AD445" i="8"/>
  <c r="Q446" i="8"/>
  <c r="R446" i="8"/>
  <c r="S446" i="8"/>
  <c r="T446" i="8"/>
  <c r="U446" i="8"/>
  <c r="V446" i="8"/>
  <c r="W446" i="8"/>
  <c r="X446" i="8"/>
  <c r="Y446" i="8"/>
  <c r="Z446" i="8"/>
  <c r="AA446" i="8"/>
  <c r="AB446" i="8"/>
  <c r="AC446" i="8"/>
  <c r="AD446" i="8"/>
  <c r="Q447" i="8"/>
  <c r="R447" i="8"/>
  <c r="S447" i="8"/>
  <c r="T447" i="8"/>
  <c r="U447" i="8"/>
  <c r="V447" i="8"/>
  <c r="W447" i="8"/>
  <c r="X447" i="8"/>
  <c r="Y447" i="8"/>
  <c r="Z447" i="8"/>
  <c r="AA447" i="8"/>
  <c r="AB447" i="8"/>
  <c r="AC447" i="8"/>
  <c r="AD447" i="8"/>
  <c r="Q448" i="8"/>
  <c r="R448" i="8"/>
  <c r="S448" i="8"/>
  <c r="T448" i="8"/>
  <c r="U448" i="8"/>
  <c r="V448" i="8"/>
  <c r="W448" i="8"/>
  <c r="X448" i="8"/>
  <c r="Y448" i="8"/>
  <c r="Z448" i="8"/>
  <c r="AA448" i="8"/>
  <c r="AB448" i="8"/>
  <c r="AC448" i="8"/>
  <c r="AD448" i="8"/>
  <c r="Q449" i="8"/>
  <c r="R449" i="8"/>
  <c r="S449" i="8"/>
  <c r="T449" i="8"/>
  <c r="U449" i="8"/>
  <c r="V449" i="8"/>
  <c r="W449" i="8"/>
  <c r="X449" i="8"/>
  <c r="Y449" i="8"/>
  <c r="Z449" i="8"/>
  <c r="AA449" i="8"/>
  <c r="AB449" i="8"/>
  <c r="AC449" i="8"/>
  <c r="AD449" i="8"/>
  <c r="Q450" i="8"/>
  <c r="R450" i="8"/>
  <c r="S450" i="8"/>
  <c r="T450" i="8"/>
  <c r="U450" i="8"/>
  <c r="V450" i="8"/>
  <c r="W450" i="8"/>
  <c r="X450" i="8"/>
  <c r="Y450" i="8"/>
  <c r="Z450" i="8"/>
  <c r="AA450" i="8"/>
  <c r="AB450" i="8"/>
  <c r="AC450" i="8"/>
  <c r="AD450" i="8"/>
  <c r="Q451" i="8"/>
  <c r="R451" i="8"/>
  <c r="S451" i="8"/>
  <c r="T451" i="8"/>
  <c r="U451" i="8"/>
  <c r="V451" i="8"/>
  <c r="W451" i="8"/>
  <c r="X451" i="8"/>
  <c r="Y451" i="8"/>
  <c r="Z451" i="8"/>
  <c r="AA451" i="8"/>
  <c r="AB451" i="8"/>
  <c r="AC451" i="8"/>
  <c r="AD451" i="8"/>
  <c r="Q452" i="8"/>
  <c r="R452" i="8"/>
  <c r="S452" i="8"/>
  <c r="T452" i="8"/>
  <c r="U452" i="8"/>
  <c r="V452" i="8"/>
  <c r="W452" i="8"/>
  <c r="X452" i="8"/>
  <c r="Y452" i="8"/>
  <c r="Z452" i="8"/>
  <c r="AA452" i="8"/>
  <c r="AB452" i="8"/>
  <c r="AC452" i="8"/>
  <c r="AD452" i="8"/>
  <c r="Q453" i="8"/>
  <c r="R453" i="8"/>
  <c r="S453" i="8"/>
  <c r="T453" i="8"/>
  <c r="U453" i="8"/>
  <c r="V453" i="8"/>
  <c r="W453" i="8"/>
  <c r="X453" i="8"/>
  <c r="Y453" i="8"/>
  <c r="Z453" i="8"/>
  <c r="AA453" i="8"/>
  <c r="AB453" i="8"/>
  <c r="AC453" i="8"/>
  <c r="AD453" i="8"/>
  <c r="Q454" i="8"/>
  <c r="R454" i="8"/>
  <c r="S454" i="8"/>
  <c r="T454" i="8"/>
  <c r="U454" i="8"/>
  <c r="V454" i="8"/>
  <c r="W454" i="8"/>
  <c r="X454" i="8"/>
  <c r="Y454" i="8"/>
  <c r="Z454" i="8"/>
  <c r="AA454" i="8"/>
  <c r="AB454" i="8"/>
  <c r="AC454" i="8"/>
  <c r="AD454" i="8"/>
  <c r="Q455" i="8"/>
  <c r="R455" i="8"/>
  <c r="S455" i="8"/>
  <c r="T455" i="8"/>
  <c r="U455" i="8"/>
  <c r="V455" i="8"/>
  <c r="W455" i="8"/>
  <c r="X455" i="8"/>
  <c r="Y455" i="8"/>
  <c r="Z455" i="8"/>
  <c r="AA455" i="8"/>
  <c r="AB455" i="8"/>
  <c r="AC455" i="8"/>
  <c r="AD455" i="8"/>
  <c r="Q456" i="8"/>
  <c r="R456" i="8"/>
  <c r="S456" i="8"/>
  <c r="T456" i="8"/>
  <c r="U456" i="8"/>
  <c r="V456" i="8"/>
  <c r="W456" i="8"/>
  <c r="X456" i="8"/>
  <c r="Y456" i="8"/>
  <c r="Z456" i="8"/>
  <c r="AA456" i="8"/>
  <c r="AB456" i="8"/>
  <c r="AC456" i="8"/>
  <c r="AD456" i="8"/>
  <c r="Q457" i="8"/>
  <c r="R457" i="8"/>
  <c r="S457" i="8"/>
  <c r="T457" i="8"/>
  <c r="U457" i="8"/>
  <c r="V457" i="8"/>
  <c r="W457" i="8"/>
  <c r="X457" i="8"/>
  <c r="Y457" i="8"/>
  <c r="Z457" i="8"/>
  <c r="AA457" i="8"/>
  <c r="AB457" i="8"/>
  <c r="AC457" i="8"/>
  <c r="AD457" i="8"/>
  <c r="Q458" i="8"/>
  <c r="R458" i="8"/>
  <c r="S458" i="8"/>
  <c r="T458" i="8"/>
  <c r="U458" i="8"/>
  <c r="V458" i="8"/>
  <c r="W458" i="8"/>
  <c r="X458" i="8"/>
  <c r="Y458" i="8"/>
  <c r="Z458" i="8"/>
  <c r="AA458" i="8"/>
  <c r="AB458" i="8"/>
  <c r="AC458" i="8"/>
  <c r="AD458" i="8"/>
  <c r="Q459" i="8"/>
  <c r="R459" i="8"/>
  <c r="S459" i="8"/>
  <c r="T459" i="8"/>
  <c r="U459" i="8"/>
  <c r="V459" i="8"/>
  <c r="W459" i="8"/>
  <c r="X459" i="8"/>
  <c r="Y459" i="8"/>
  <c r="Z459" i="8"/>
  <c r="AA459" i="8"/>
  <c r="AB459" i="8"/>
  <c r="AC459" i="8"/>
  <c r="AD459" i="8"/>
  <c r="Q460" i="8"/>
  <c r="R460" i="8"/>
  <c r="S460" i="8"/>
  <c r="T460" i="8"/>
  <c r="U460" i="8"/>
  <c r="V460" i="8"/>
  <c r="W460" i="8"/>
  <c r="X460" i="8"/>
  <c r="Y460" i="8"/>
  <c r="Z460" i="8"/>
  <c r="AA460" i="8"/>
  <c r="AB460" i="8"/>
  <c r="AC460" i="8"/>
  <c r="AD460" i="8"/>
  <c r="Q461" i="8"/>
  <c r="R461" i="8"/>
  <c r="S461" i="8"/>
  <c r="T461" i="8"/>
  <c r="U461" i="8"/>
  <c r="V461" i="8"/>
  <c r="W461" i="8"/>
  <c r="X461" i="8"/>
  <c r="Y461" i="8"/>
  <c r="Z461" i="8"/>
  <c r="AA461" i="8"/>
  <c r="AB461" i="8"/>
  <c r="AC461" i="8"/>
  <c r="AD461" i="8"/>
  <c r="Q462" i="8"/>
  <c r="R462" i="8"/>
  <c r="S462" i="8"/>
  <c r="T462" i="8"/>
  <c r="U462" i="8"/>
  <c r="V462" i="8"/>
  <c r="W462" i="8"/>
  <c r="X462" i="8"/>
  <c r="Y462" i="8"/>
  <c r="Z462" i="8"/>
  <c r="AA462" i="8"/>
  <c r="AB462" i="8"/>
  <c r="AC462" i="8"/>
  <c r="AD462" i="8"/>
  <c r="Q463" i="8"/>
  <c r="R463" i="8"/>
  <c r="S463" i="8"/>
  <c r="T463" i="8"/>
  <c r="U463" i="8"/>
  <c r="V463" i="8"/>
  <c r="W463" i="8"/>
  <c r="X463" i="8"/>
  <c r="Y463" i="8"/>
  <c r="Z463" i="8"/>
  <c r="AA463" i="8"/>
  <c r="AB463" i="8"/>
  <c r="AC463" i="8"/>
  <c r="AD463" i="8"/>
  <c r="Q464" i="8"/>
  <c r="R464" i="8"/>
  <c r="S464" i="8"/>
  <c r="T464" i="8"/>
  <c r="U464" i="8"/>
  <c r="V464" i="8"/>
  <c r="W464" i="8"/>
  <c r="X464" i="8"/>
  <c r="Y464" i="8"/>
  <c r="Z464" i="8"/>
  <c r="AA464" i="8"/>
  <c r="AB464" i="8"/>
  <c r="AC464" i="8"/>
  <c r="AD464" i="8"/>
  <c r="Q465" i="8"/>
  <c r="R465" i="8"/>
  <c r="S465" i="8"/>
  <c r="T465" i="8"/>
  <c r="U465" i="8"/>
  <c r="V465" i="8"/>
  <c r="W465" i="8"/>
  <c r="X465" i="8"/>
  <c r="Y465" i="8"/>
  <c r="Z465" i="8"/>
  <c r="AA465" i="8"/>
  <c r="AB465" i="8"/>
  <c r="AC465" i="8"/>
  <c r="AD465" i="8"/>
  <c r="Q466" i="8"/>
  <c r="R466" i="8"/>
  <c r="S466" i="8"/>
  <c r="T466" i="8"/>
  <c r="U466" i="8"/>
  <c r="V466" i="8"/>
  <c r="W466" i="8"/>
  <c r="X466" i="8"/>
  <c r="Y466" i="8"/>
  <c r="Z466" i="8"/>
  <c r="AA466" i="8"/>
  <c r="AB466" i="8"/>
  <c r="AC466" i="8"/>
  <c r="AD466" i="8"/>
  <c r="Q467" i="8"/>
  <c r="R467" i="8"/>
  <c r="S467" i="8"/>
  <c r="T467" i="8"/>
  <c r="U467" i="8"/>
  <c r="V467" i="8"/>
  <c r="W467" i="8"/>
  <c r="X467" i="8"/>
  <c r="Y467" i="8"/>
  <c r="Z467" i="8"/>
  <c r="AA467" i="8"/>
  <c r="AB467" i="8"/>
  <c r="AC467" i="8"/>
  <c r="AD467" i="8"/>
  <c r="Q468" i="8"/>
  <c r="R468" i="8"/>
  <c r="S468" i="8"/>
  <c r="T468" i="8"/>
  <c r="U468" i="8"/>
  <c r="V468" i="8"/>
  <c r="W468" i="8"/>
  <c r="X468" i="8"/>
  <c r="Y468" i="8"/>
  <c r="Z468" i="8"/>
  <c r="AA468" i="8"/>
  <c r="AB468" i="8"/>
  <c r="AC468" i="8"/>
  <c r="AD468" i="8"/>
  <c r="Q469" i="8"/>
  <c r="R469" i="8"/>
  <c r="S469" i="8"/>
  <c r="T469" i="8"/>
  <c r="U469" i="8"/>
  <c r="V469" i="8"/>
  <c r="W469" i="8"/>
  <c r="X469" i="8"/>
  <c r="Y469" i="8"/>
  <c r="Z469" i="8"/>
  <c r="AA469" i="8"/>
  <c r="AB469" i="8"/>
  <c r="AC469" i="8"/>
  <c r="AD469" i="8"/>
  <c r="Q470" i="8"/>
  <c r="R470" i="8"/>
  <c r="S470" i="8"/>
  <c r="T470" i="8"/>
  <c r="U470" i="8"/>
  <c r="V470" i="8"/>
  <c r="W470" i="8"/>
  <c r="X470" i="8"/>
  <c r="Y470" i="8"/>
  <c r="Z470" i="8"/>
  <c r="AA470" i="8"/>
  <c r="AB470" i="8"/>
  <c r="AC470" i="8"/>
  <c r="AD470" i="8"/>
  <c r="Q471" i="8"/>
  <c r="R471" i="8"/>
  <c r="S471" i="8"/>
  <c r="T471" i="8"/>
  <c r="U471" i="8"/>
  <c r="V471" i="8"/>
  <c r="W471" i="8"/>
  <c r="X471" i="8"/>
  <c r="Y471" i="8"/>
  <c r="Z471" i="8"/>
  <c r="AA471" i="8"/>
  <c r="AB471" i="8"/>
  <c r="AC471" i="8"/>
  <c r="AD471" i="8"/>
  <c r="Q472" i="8"/>
  <c r="R472" i="8"/>
  <c r="S472" i="8"/>
  <c r="T472" i="8"/>
  <c r="U472" i="8"/>
  <c r="V472" i="8"/>
  <c r="W472" i="8"/>
  <c r="X472" i="8"/>
  <c r="Y472" i="8"/>
  <c r="Z472" i="8"/>
  <c r="AA472" i="8"/>
  <c r="AB472" i="8"/>
  <c r="AC472" i="8"/>
  <c r="AD472" i="8"/>
  <c r="Q473" i="8"/>
  <c r="R473" i="8"/>
  <c r="S473" i="8"/>
  <c r="T473" i="8"/>
  <c r="U473" i="8"/>
  <c r="V473" i="8"/>
  <c r="W473" i="8"/>
  <c r="X473" i="8"/>
  <c r="Y473" i="8"/>
  <c r="Z473" i="8"/>
  <c r="AA473" i="8"/>
  <c r="AB473" i="8"/>
  <c r="AC473" i="8"/>
  <c r="AD473" i="8"/>
  <c r="Q474" i="8"/>
  <c r="R474" i="8"/>
  <c r="S474" i="8"/>
  <c r="T474" i="8"/>
  <c r="U474" i="8"/>
  <c r="V474" i="8"/>
  <c r="W474" i="8"/>
  <c r="X474" i="8"/>
  <c r="Y474" i="8"/>
  <c r="Z474" i="8"/>
  <c r="AA474" i="8"/>
  <c r="AB474" i="8"/>
  <c r="AC474" i="8"/>
  <c r="AD474" i="8"/>
  <c r="Q475" i="8"/>
  <c r="R475" i="8"/>
  <c r="S475" i="8"/>
  <c r="T475" i="8"/>
  <c r="U475" i="8"/>
  <c r="V475" i="8"/>
  <c r="W475" i="8"/>
  <c r="X475" i="8"/>
  <c r="Y475" i="8"/>
  <c r="Z475" i="8"/>
  <c r="AA475" i="8"/>
  <c r="AB475" i="8"/>
  <c r="AC475" i="8"/>
  <c r="AD475" i="8"/>
  <c r="Q476" i="8"/>
  <c r="R476" i="8"/>
  <c r="S476" i="8"/>
  <c r="T476" i="8"/>
  <c r="U476" i="8"/>
  <c r="V476" i="8"/>
  <c r="W476" i="8"/>
  <c r="X476" i="8"/>
  <c r="Y476" i="8"/>
  <c r="Z476" i="8"/>
  <c r="AA476" i="8"/>
  <c r="AB476" i="8"/>
  <c r="AC476" i="8"/>
  <c r="AD476" i="8"/>
  <c r="Q477" i="8"/>
  <c r="R477" i="8"/>
  <c r="S477" i="8"/>
  <c r="T477" i="8"/>
  <c r="U477" i="8"/>
  <c r="V477" i="8"/>
  <c r="W477" i="8"/>
  <c r="X477" i="8"/>
  <c r="Y477" i="8"/>
  <c r="Z477" i="8"/>
  <c r="AA477" i="8"/>
  <c r="AB477" i="8"/>
  <c r="AC477" i="8"/>
  <c r="AD477" i="8"/>
  <c r="Q478" i="8"/>
  <c r="R478" i="8"/>
  <c r="S478" i="8"/>
  <c r="T478" i="8"/>
  <c r="U478" i="8"/>
  <c r="V478" i="8"/>
  <c r="W478" i="8"/>
  <c r="X478" i="8"/>
  <c r="Y478" i="8"/>
  <c r="Z478" i="8"/>
  <c r="AA478" i="8"/>
  <c r="AB478" i="8"/>
  <c r="AC478" i="8"/>
  <c r="AD478" i="8"/>
  <c r="Q479" i="8"/>
  <c r="R479" i="8"/>
  <c r="S479" i="8"/>
  <c r="T479" i="8"/>
  <c r="U479" i="8"/>
  <c r="V479" i="8"/>
  <c r="W479" i="8"/>
  <c r="X479" i="8"/>
  <c r="Y479" i="8"/>
  <c r="Z479" i="8"/>
  <c r="AA479" i="8"/>
  <c r="AB479" i="8"/>
  <c r="AC479" i="8"/>
  <c r="AD479" i="8"/>
  <c r="Q480" i="8"/>
  <c r="R480" i="8"/>
  <c r="S480" i="8"/>
  <c r="T480" i="8"/>
  <c r="U480" i="8"/>
  <c r="V480" i="8"/>
  <c r="W480" i="8"/>
  <c r="X480" i="8"/>
  <c r="Y480" i="8"/>
  <c r="Z480" i="8"/>
  <c r="AA480" i="8"/>
  <c r="AB480" i="8"/>
  <c r="AC480" i="8"/>
  <c r="AD480" i="8"/>
  <c r="Q481" i="8"/>
  <c r="R481" i="8"/>
  <c r="S481" i="8"/>
  <c r="T481" i="8"/>
  <c r="U481" i="8"/>
  <c r="V481" i="8"/>
  <c r="W481" i="8"/>
  <c r="X481" i="8"/>
  <c r="Y481" i="8"/>
  <c r="Z481" i="8"/>
  <c r="AA481" i="8"/>
  <c r="AB481" i="8"/>
  <c r="AC481" i="8"/>
  <c r="AD481" i="8"/>
  <c r="Q482" i="8"/>
  <c r="R482" i="8"/>
  <c r="S482" i="8"/>
  <c r="T482" i="8"/>
  <c r="U482" i="8"/>
  <c r="V482" i="8"/>
  <c r="W482" i="8"/>
  <c r="X482" i="8"/>
  <c r="Y482" i="8"/>
  <c r="Z482" i="8"/>
  <c r="AA482" i="8"/>
  <c r="AB482" i="8"/>
  <c r="AC482" i="8"/>
  <c r="AD482" i="8"/>
  <c r="Q483" i="8"/>
  <c r="R483" i="8"/>
  <c r="S483" i="8"/>
  <c r="T483" i="8"/>
  <c r="U483" i="8"/>
  <c r="V483" i="8"/>
  <c r="W483" i="8"/>
  <c r="X483" i="8"/>
  <c r="Y483" i="8"/>
  <c r="Z483" i="8"/>
  <c r="AA483" i="8"/>
  <c r="AB483" i="8"/>
  <c r="AC483" i="8"/>
  <c r="AD483" i="8"/>
  <c r="Q484" i="8"/>
  <c r="R484" i="8"/>
  <c r="S484" i="8"/>
  <c r="T484" i="8"/>
  <c r="U484" i="8"/>
  <c r="V484" i="8"/>
  <c r="W484" i="8"/>
  <c r="X484" i="8"/>
  <c r="Y484" i="8"/>
  <c r="Z484" i="8"/>
  <c r="AA484" i="8"/>
  <c r="AB484" i="8"/>
  <c r="AC484" i="8"/>
  <c r="AD484" i="8"/>
  <c r="Q485" i="8"/>
  <c r="R485" i="8"/>
  <c r="S485" i="8"/>
  <c r="T485" i="8"/>
  <c r="U485" i="8"/>
  <c r="V485" i="8"/>
  <c r="W485" i="8"/>
  <c r="X485" i="8"/>
  <c r="Y485" i="8"/>
  <c r="Z485" i="8"/>
  <c r="AA485" i="8"/>
  <c r="AB485" i="8"/>
  <c r="AC485" i="8"/>
  <c r="AD485" i="8"/>
  <c r="Q486" i="8"/>
  <c r="R486" i="8"/>
  <c r="S486" i="8"/>
  <c r="T486" i="8"/>
  <c r="U486" i="8"/>
  <c r="V486" i="8"/>
  <c r="W486" i="8"/>
  <c r="X486" i="8"/>
  <c r="Y486" i="8"/>
  <c r="Z486" i="8"/>
  <c r="AA486" i="8"/>
  <c r="AB486" i="8"/>
  <c r="AC486" i="8"/>
  <c r="AD486" i="8"/>
  <c r="Q487" i="8"/>
  <c r="R487" i="8"/>
  <c r="S487" i="8"/>
  <c r="T487" i="8"/>
  <c r="U487" i="8"/>
  <c r="V487" i="8"/>
  <c r="W487" i="8"/>
  <c r="X487" i="8"/>
  <c r="Y487" i="8"/>
  <c r="Z487" i="8"/>
  <c r="AA487" i="8"/>
  <c r="AB487" i="8"/>
  <c r="AC487" i="8"/>
  <c r="AD487" i="8"/>
  <c r="Q488" i="8"/>
  <c r="R488" i="8"/>
  <c r="S488" i="8"/>
  <c r="T488" i="8"/>
  <c r="U488" i="8"/>
  <c r="V488" i="8"/>
  <c r="W488" i="8"/>
  <c r="X488" i="8"/>
  <c r="Y488" i="8"/>
  <c r="Z488" i="8"/>
  <c r="AA488" i="8"/>
  <c r="AB488" i="8"/>
  <c r="AC488" i="8"/>
  <c r="AD488" i="8"/>
  <c r="Q489" i="8"/>
  <c r="R489" i="8"/>
  <c r="S489" i="8"/>
  <c r="T489" i="8"/>
  <c r="U489" i="8"/>
  <c r="V489" i="8"/>
  <c r="W489" i="8"/>
  <c r="X489" i="8"/>
  <c r="Y489" i="8"/>
  <c r="Z489" i="8"/>
  <c r="AA489" i="8"/>
  <c r="AB489" i="8"/>
  <c r="AC489" i="8"/>
  <c r="AD489" i="8"/>
  <c r="Q490" i="8"/>
  <c r="R490" i="8"/>
  <c r="S490" i="8"/>
  <c r="T490" i="8"/>
  <c r="U490" i="8"/>
  <c r="V490" i="8"/>
  <c r="W490" i="8"/>
  <c r="X490" i="8"/>
  <c r="Y490" i="8"/>
  <c r="Z490" i="8"/>
  <c r="AA490" i="8"/>
  <c r="AB490" i="8"/>
  <c r="AC490" i="8"/>
  <c r="AD490" i="8"/>
  <c r="Q491" i="8"/>
  <c r="R491" i="8"/>
  <c r="S491" i="8"/>
  <c r="T491" i="8"/>
  <c r="U491" i="8"/>
  <c r="V491" i="8"/>
  <c r="W491" i="8"/>
  <c r="X491" i="8"/>
  <c r="Y491" i="8"/>
  <c r="Z491" i="8"/>
  <c r="AA491" i="8"/>
  <c r="AB491" i="8"/>
  <c r="AC491" i="8"/>
  <c r="AD491" i="8"/>
  <c r="Q492" i="8"/>
  <c r="R492" i="8"/>
  <c r="S492" i="8"/>
  <c r="T492" i="8"/>
  <c r="U492" i="8"/>
  <c r="V492" i="8"/>
  <c r="W492" i="8"/>
  <c r="X492" i="8"/>
  <c r="Y492" i="8"/>
  <c r="Z492" i="8"/>
  <c r="AA492" i="8"/>
  <c r="AB492" i="8"/>
  <c r="AC492" i="8"/>
  <c r="AD492" i="8"/>
  <c r="Q493" i="8"/>
  <c r="R493" i="8"/>
  <c r="S493" i="8"/>
  <c r="T493" i="8"/>
  <c r="U493" i="8"/>
  <c r="V493" i="8"/>
  <c r="W493" i="8"/>
  <c r="X493" i="8"/>
  <c r="Y493" i="8"/>
  <c r="Z493" i="8"/>
  <c r="AA493" i="8"/>
  <c r="AB493" i="8"/>
  <c r="AC493" i="8"/>
  <c r="AD493" i="8"/>
  <c r="Q494" i="8"/>
  <c r="R494" i="8"/>
  <c r="S494" i="8"/>
  <c r="T494" i="8"/>
  <c r="U494" i="8"/>
  <c r="V494" i="8"/>
  <c r="W494" i="8"/>
  <c r="X494" i="8"/>
  <c r="Y494" i="8"/>
  <c r="Z494" i="8"/>
  <c r="AA494" i="8"/>
  <c r="AB494" i="8"/>
  <c r="AC494" i="8"/>
  <c r="AD494" i="8"/>
  <c r="Q495" i="8"/>
  <c r="R495" i="8"/>
  <c r="S495" i="8"/>
  <c r="T495" i="8"/>
  <c r="U495" i="8"/>
  <c r="V495" i="8"/>
  <c r="W495" i="8"/>
  <c r="X495" i="8"/>
  <c r="Y495" i="8"/>
  <c r="Z495" i="8"/>
  <c r="AA495" i="8"/>
  <c r="AB495" i="8"/>
  <c r="AC495" i="8"/>
  <c r="AD495" i="8"/>
  <c r="Q496" i="8"/>
  <c r="R496" i="8"/>
  <c r="S496" i="8"/>
  <c r="T496" i="8"/>
  <c r="U496" i="8"/>
  <c r="V496" i="8"/>
  <c r="W496" i="8"/>
  <c r="X496" i="8"/>
  <c r="Y496" i="8"/>
  <c r="Z496" i="8"/>
  <c r="AA496" i="8"/>
  <c r="AB496" i="8"/>
  <c r="AC496" i="8"/>
  <c r="AD496" i="8"/>
  <c r="Q497" i="8"/>
  <c r="R497" i="8"/>
  <c r="S497" i="8"/>
  <c r="T497" i="8"/>
  <c r="U497" i="8"/>
  <c r="V497" i="8"/>
  <c r="W497" i="8"/>
  <c r="X497" i="8"/>
  <c r="Y497" i="8"/>
  <c r="Z497" i="8"/>
  <c r="AA497" i="8"/>
  <c r="AB497" i="8"/>
  <c r="AC497" i="8"/>
  <c r="AD497" i="8"/>
  <c r="Q498" i="8"/>
  <c r="R498" i="8"/>
  <c r="S498" i="8"/>
  <c r="T498" i="8"/>
  <c r="U498" i="8"/>
  <c r="V498" i="8"/>
  <c r="W498" i="8"/>
  <c r="X498" i="8"/>
  <c r="Y498" i="8"/>
  <c r="Z498" i="8"/>
  <c r="AA498" i="8"/>
  <c r="AB498" i="8"/>
  <c r="AC498" i="8"/>
  <c r="AD498" i="8"/>
  <c r="Q499" i="8"/>
  <c r="R499" i="8"/>
  <c r="S499" i="8"/>
  <c r="T499" i="8"/>
  <c r="U499" i="8"/>
  <c r="V499" i="8"/>
  <c r="W499" i="8"/>
  <c r="X499" i="8"/>
  <c r="Y499" i="8"/>
  <c r="Z499" i="8"/>
  <c r="AA499" i="8"/>
  <c r="AB499" i="8"/>
  <c r="AC499" i="8"/>
  <c r="AD499" i="8"/>
  <c r="Q500" i="8"/>
  <c r="R500" i="8"/>
  <c r="S500" i="8"/>
  <c r="T500" i="8"/>
  <c r="U500" i="8"/>
  <c r="V500" i="8"/>
  <c r="W500" i="8"/>
  <c r="X500" i="8"/>
  <c r="Y500" i="8"/>
  <c r="Z500" i="8"/>
  <c r="AA500" i="8"/>
  <c r="AB500" i="8"/>
  <c r="AC500" i="8"/>
  <c r="AD500" i="8"/>
  <c r="Q501" i="8"/>
  <c r="R501" i="8"/>
  <c r="S501" i="8"/>
  <c r="T501" i="8"/>
  <c r="U501" i="8"/>
  <c r="V501" i="8"/>
  <c r="W501" i="8"/>
  <c r="X501" i="8"/>
  <c r="Y501" i="8"/>
  <c r="Z501" i="8"/>
  <c r="AA501" i="8"/>
  <c r="AB501" i="8"/>
  <c r="AC501" i="8"/>
  <c r="AD501" i="8"/>
  <c r="Q502" i="8"/>
  <c r="R502" i="8"/>
  <c r="S502" i="8"/>
  <c r="T502" i="8"/>
  <c r="U502" i="8"/>
  <c r="V502" i="8"/>
  <c r="W502" i="8"/>
  <c r="X502" i="8"/>
  <c r="Y502" i="8"/>
  <c r="Z502" i="8"/>
  <c r="AA502" i="8"/>
  <c r="AB502" i="8"/>
  <c r="AC502" i="8"/>
  <c r="AD502" i="8"/>
  <c r="Q503" i="8"/>
  <c r="R503" i="8"/>
  <c r="S503" i="8"/>
  <c r="T503" i="8"/>
  <c r="U503" i="8"/>
  <c r="V503" i="8"/>
  <c r="W503" i="8"/>
  <c r="X503" i="8"/>
  <c r="Y503" i="8"/>
  <c r="Z503" i="8"/>
  <c r="AA503" i="8"/>
  <c r="AB503" i="8"/>
  <c r="AC503" i="8"/>
  <c r="AD503" i="8"/>
  <c r="Q504" i="8"/>
  <c r="R504" i="8"/>
  <c r="S504" i="8"/>
  <c r="T504" i="8"/>
  <c r="U504" i="8"/>
  <c r="V504" i="8"/>
  <c r="W504" i="8"/>
  <c r="X504" i="8"/>
  <c r="Y504" i="8"/>
  <c r="Z504" i="8"/>
  <c r="AA504" i="8"/>
  <c r="AB504" i="8"/>
  <c r="AC504" i="8"/>
  <c r="AD504" i="8"/>
  <c r="Q505" i="8"/>
  <c r="R505" i="8"/>
  <c r="S505" i="8"/>
  <c r="T505" i="8"/>
  <c r="U505" i="8"/>
  <c r="V505" i="8"/>
  <c r="W505" i="8"/>
  <c r="X505" i="8"/>
  <c r="Y505" i="8"/>
  <c r="Z505" i="8"/>
  <c r="AA505" i="8"/>
  <c r="AB505" i="8"/>
  <c r="AC505" i="8"/>
  <c r="AD505" i="8"/>
  <c r="Q506" i="8"/>
  <c r="R506" i="8"/>
  <c r="S506" i="8"/>
  <c r="T506" i="8"/>
  <c r="U506" i="8"/>
  <c r="V506" i="8"/>
  <c r="W506" i="8"/>
  <c r="X506" i="8"/>
  <c r="Y506" i="8"/>
  <c r="Z506" i="8"/>
  <c r="AA506" i="8"/>
  <c r="AB506" i="8"/>
  <c r="AC506" i="8"/>
  <c r="AD506" i="8"/>
  <c r="Q507" i="8"/>
  <c r="R507" i="8"/>
  <c r="S507" i="8"/>
  <c r="T507" i="8"/>
  <c r="U507" i="8"/>
  <c r="V507" i="8"/>
  <c r="W507" i="8"/>
  <c r="X507" i="8"/>
  <c r="Y507" i="8"/>
  <c r="Z507" i="8"/>
  <c r="AA507" i="8"/>
  <c r="AB507" i="8"/>
  <c r="AC507" i="8"/>
  <c r="AD507" i="8"/>
  <c r="Q508" i="8"/>
  <c r="R508" i="8"/>
  <c r="S508" i="8"/>
  <c r="T508" i="8"/>
  <c r="U508" i="8"/>
  <c r="V508" i="8"/>
  <c r="W508" i="8"/>
  <c r="X508" i="8"/>
  <c r="Y508" i="8"/>
  <c r="Z508" i="8"/>
  <c r="AA508" i="8"/>
  <c r="AB508" i="8"/>
  <c r="AC508" i="8"/>
  <c r="AD508" i="8"/>
  <c r="Q509" i="8"/>
  <c r="R509" i="8"/>
  <c r="S509" i="8"/>
  <c r="T509" i="8"/>
  <c r="U509" i="8"/>
  <c r="V509" i="8"/>
  <c r="W509" i="8"/>
  <c r="X509" i="8"/>
  <c r="Y509" i="8"/>
  <c r="Z509" i="8"/>
  <c r="AA509" i="8"/>
  <c r="AB509" i="8"/>
  <c r="AC509" i="8"/>
  <c r="AD509" i="8"/>
  <c r="Q510" i="8"/>
  <c r="R510" i="8"/>
  <c r="S510" i="8"/>
  <c r="T510" i="8"/>
  <c r="U510" i="8"/>
  <c r="V510" i="8"/>
  <c r="W510" i="8"/>
  <c r="X510" i="8"/>
  <c r="Y510" i="8"/>
  <c r="Z510" i="8"/>
  <c r="AA510" i="8"/>
  <c r="AB510" i="8"/>
  <c r="AC510" i="8"/>
  <c r="AD510" i="8"/>
  <c r="Q511" i="8"/>
  <c r="R511" i="8"/>
  <c r="S511" i="8"/>
  <c r="T511" i="8"/>
  <c r="U511" i="8"/>
  <c r="V511" i="8"/>
  <c r="W511" i="8"/>
  <c r="X511" i="8"/>
  <c r="Y511" i="8"/>
  <c r="Z511" i="8"/>
  <c r="AA511" i="8"/>
  <c r="AB511" i="8"/>
  <c r="AC511" i="8"/>
  <c r="AD511" i="8"/>
  <c r="Q512" i="8"/>
  <c r="R512" i="8"/>
  <c r="S512" i="8"/>
  <c r="T512" i="8"/>
  <c r="U512" i="8"/>
  <c r="V512" i="8"/>
  <c r="W512" i="8"/>
  <c r="X512" i="8"/>
  <c r="Y512" i="8"/>
  <c r="Z512" i="8"/>
  <c r="AA512" i="8"/>
  <c r="AB512" i="8"/>
  <c r="AC512" i="8"/>
  <c r="AD512" i="8"/>
  <c r="Q513" i="8"/>
  <c r="R513" i="8"/>
  <c r="S513" i="8"/>
  <c r="T513" i="8"/>
  <c r="U513" i="8"/>
  <c r="V513" i="8"/>
  <c r="W513" i="8"/>
  <c r="X513" i="8"/>
  <c r="Y513" i="8"/>
  <c r="Z513" i="8"/>
  <c r="AA513" i="8"/>
  <c r="AB513" i="8"/>
  <c r="AC513" i="8"/>
  <c r="AD513" i="8"/>
  <c r="Q514" i="8"/>
  <c r="R514" i="8"/>
  <c r="S514" i="8"/>
  <c r="T514" i="8"/>
  <c r="U514" i="8"/>
  <c r="V514" i="8"/>
  <c r="W514" i="8"/>
  <c r="X514" i="8"/>
  <c r="Y514" i="8"/>
  <c r="Z514" i="8"/>
  <c r="AA514" i="8"/>
  <c r="AB514" i="8"/>
  <c r="AC514" i="8"/>
  <c r="AD514" i="8"/>
  <c r="Q515" i="8"/>
  <c r="R515" i="8"/>
  <c r="S515" i="8"/>
  <c r="T515" i="8"/>
  <c r="U515" i="8"/>
  <c r="V515" i="8"/>
  <c r="W515" i="8"/>
  <c r="X515" i="8"/>
  <c r="Y515" i="8"/>
  <c r="Z515" i="8"/>
  <c r="AA515" i="8"/>
  <c r="AB515" i="8"/>
  <c r="AC515" i="8"/>
  <c r="AD515" i="8"/>
  <c r="Q516" i="8"/>
  <c r="R516" i="8"/>
  <c r="S516" i="8"/>
  <c r="T516" i="8"/>
  <c r="U516" i="8"/>
  <c r="V516" i="8"/>
  <c r="W516" i="8"/>
  <c r="X516" i="8"/>
  <c r="Y516" i="8"/>
  <c r="Z516" i="8"/>
  <c r="AA516" i="8"/>
  <c r="AB516" i="8"/>
  <c r="AC516" i="8"/>
  <c r="AD516" i="8"/>
  <c r="Q517" i="8"/>
  <c r="R517" i="8"/>
  <c r="S517" i="8"/>
  <c r="T517" i="8"/>
  <c r="U517" i="8"/>
  <c r="V517" i="8"/>
  <c r="W517" i="8"/>
  <c r="X517" i="8"/>
  <c r="Y517" i="8"/>
  <c r="Z517" i="8"/>
  <c r="AA517" i="8"/>
  <c r="AB517" i="8"/>
  <c r="AC517" i="8"/>
  <c r="AD517" i="8"/>
  <c r="Q518" i="8"/>
  <c r="R518" i="8"/>
  <c r="S518" i="8"/>
  <c r="T518" i="8"/>
  <c r="U518" i="8"/>
  <c r="V518" i="8"/>
  <c r="W518" i="8"/>
  <c r="X518" i="8"/>
  <c r="Y518" i="8"/>
  <c r="Z518" i="8"/>
  <c r="AA518" i="8"/>
  <c r="AB518" i="8"/>
  <c r="AC518" i="8"/>
  <c r="AD518" i="8"/>
  <c r="Q519" i="8"/>
  <c r="R519" i="8"/>
  <c r="S519" i="8"/>
  <c r="T519" i="8"/>
  <c r="U519" i="8"/>
  <c r="V519" i="8"/>
  <c r="W519" i="8"/>
  <c r="X519" i="8"/>
  <c r="Y519" i="8"/>
  <c r="Z519" i="8"/>
  <c r="AA519" i="8"/>
  <c r="AB519" i="8"/>
  <c r="AC519" i="8"/>
  <c r="AD519" i="8"/>
  <c r="Q520" i="8"/>
  <c r="R520" i="8"/>
  <c r="S520" i="8"/>
  <c r="T520" i="8"/>
  <c r="U520" i="8"/>
  <c r="V520" i="8"/>
  <c r="W520" i="8"/>
  <c r="X520" i="8"/>
  <c r="Y520" i="8"/>
  <c r="Z520" i="8"/>
  <c r="AA520" i="8"/>
  <c r="AB520" i="8"/>
  <c r="AC520" i="8"/>
  <c r="AD520" i="8"/>
  <c r="Q521" i="8"/>
  <c r="R521" i="8"/>
  <c r="S521" i="8"/>
  <c r="T521" i="8"/>
  <c r="U521" i="8"/>
  <c r="V521" i="8"/>
  <c r="W521" i="8"/>
  <c r="X521" i="8"/>
  <c r="Y521" i="8"/>
  <c r="Z521" i="8"/>
  <c r="AA521" i="8"/>
  <c r="AB521" i="8"/>
  <c r="AC521" i="8"/>
  <c r="AD521" i="8"/>
  <c r="Q522" i="8"/>
  <c r="R522" i="8"/>
  <c r="S522" i="8"/>
  <c r="T522" i="8"/>
  <c r="U522" i="8"/>
  <c r="V522" i="8"/>
  <c r="W522" i="8"/>
  <c r="X522" i="8"/>
  <c r="Y522" i="8"/>
  <c r="Z522" i="8"/>
  <c r="AA522" i="8"/>
  <c r="AB522" i="8"/>
  <c r="AC522" i="8"/>
  <c r="AD522" i="8"/>
  <c r="Q523" i="8"/>
  <c r="R523" i="8"/>
  <c r="S523" i="8"/>
  <c r="T523" i="8"/>
  <c r="U523" i="8"/>
  <c r="V523" i="8"/>
  <c r="W523" i="8"/>
  <c r="X523" i="8"/>
  <c r="Y523" i="8"/>
  <c r="Z523" i="8"/>
  <c r="AA523" i="8"/>
  <c r="AB523" i="8"/>
  <c r="AC523" i="8"/>
  <c r="AD523" i="8"/>
  <c r="Q524" i="8"/>
  <c r="R524" i="8"/>
  <c r="S524" i="8"/>
  <c r="T524" i="8"/>
  <c r="U524" i="8"/>
  <c r="V524" i="8"/>
  <c r="W524" i="8"/>
  <c r="X524" i="8"/>
  <c r="Y524" i="8"/>
  <c r="Z524" i="8"/>
  <c r="AA524" i="8"/>
  <c r="AB524" i="8"/>
  <c r="AC524" i="8"/>
  <c r="AD524" i="8"/>
  <c r="Q525" i="8"/>
  <c r="R525" i="8"/>
  <c r="S525" i="8"/>
  <c r="T525" i="8"/>
  <c r="U525" i="8"/>
  <c r="V525" i="8"/>
  <c r="W525" i="8"/>
  <c r="X525" i="8"/>
  <c r="Y525" i="8"/>
  <c r="Z525" i="8"/>
  <c r="AA525" i="8"/>
  <c r="AB525" i="8"/>
  <c r="AC525" i="8"/>
  <c r="AD525" i="8"/>
  <c r="Q526" i="8"/>
  <c r="R526" i="8"/>
  <c r="S526" i="8"/>
  <c r="T526" i="8"/>
  <c r="U526" i="8"/>
  <c r="V526" i="8"/>
  <c r="W526" i="8"/>
  <c r="X526" i="8"/>
  <c r="Y526" i="8"/>
  <c r="Z526" i="8"/>
  <c r="AA526" i="8"/>
  <c r="AB526" i="8"/>
  <c r="AC526" i="8"/>
  <c r="AD526" i="8"/>
  <c r="Q527" i="8"/>
  <c r="R527" i="8"/>
  <c r="S527" i="8"/>
  <c r="T527" i="8"/>
  <c r="U527" i="8"/>
  <c r="V527" i="8"/>
  <c r="W527" i="8"/>
  <c r="X527" i="8"/>
  <c r="Y527" i="8"/>
  <c r="Z527" i="8"/>
  <c r="AA527" i="8"/>
  <c r="AB527" i="8"/>
  <c r="AC527" i="8"/>
  <c r="AD527" i="8"/>
  <c r="Q528" i="8"/>
  <c r="R528" i="8"/>
  <c r="S528" i="8"/>
  <c r="T528" i="8"/>
  <c r="U528" i="8"/>
  <c r="V528" i="8"/>
  <c r="W528" i="8"/>
  <c r="X528" i="8"/>
  <c r="Y528" i="8"/>
  <c r="Z528" i="8"/>
  <c r="AA528" i="8"/>
  <c r="AB528" i="8"/>
  <c r="AC528" i="8"/>
  <c r="AD528" i="8"/>
  <c r="Q529" i="8"/>
  <c r="R529" i="8"/>
  <c r="S529" i="8"/>
  <c r="T529" i="8"/>
  <c r="U529" i="8"/>
  <c r="V529" i="8"/>
  <c r="W529" i="8"/>
  <c r="X529" i="8"/>
  <c r="Y529" i="8"/>
  <c r="Z529" i="8"/>
  <c r="AA529" i="8"/>
  <c r="AB529" i="8"/>
  <c r="AC529" i="8"/>
  <c r="AD529" i="8"/>
  <c r="Q530" i="8"/>
  <c r="R530" i="8"/>
  <c r="S530" i="8"/>
  <c r="T530" i="8"/>
  <c r="U530" i="8"/>
  <c r="V530" i="8"/>
  <c r="W530" i="8"/>
  <c r="X530" i="8"/>
  <c r="Y530" i="8"/>
  <c r="Z530" i="8"/>
  <c r="AA530" i="8"/>
  <c r="AB530" i="8"/>
  <c r="AC530" i="8"/>
  <c r="AD530" i="8"/>
  <c r="Q531" i="8"/>
  <c r="R531" i="8"/>
  <c r="S531" i="8"/>
  <c r="T531" i="8"/>
  <c r="U531" i="8"/>
  <c r="V531" i="8"/>
  <c r="W531" i="8"/>
  <c r="X531" i="8"/>
  <c r="Y531" i="8"/>
  <c r="Z531" i="8"/>
  <c r="AA531" i="8"/>
  <c r="AB531" i="8"/>
  <c r="AC531" i="8"/>
  <c r="AD531" i="8"/>
  <c r="Q532" i="8"/>
  <c r="R532" i="8"/>
  <c r="S532" i="8"/>
  <c r="T532" i="8"/>
  <c r="U532" i="8"/>
  <c r="V532" i="8"/>
  <c r="W532" i="8"/>
  <c r="X532" i="8"/>
  <c r="Y532" i="8"/>
  <c r="Z532" i="8"/>
  <c r="AA532" i="8"/>
  <c r="AB532" i="8"/>
  <c r="AC532" i="8"/>
  <c r="AD532" i="8"/>
  <c r="Q533" i="8"/>
  <c r="R533" i="8"/>
  <c r="S533" i="8"/>
  <c r="T533" i="8"/>
  <c r="U533" i="8"/>
  <c r="V533" i="8"/>
  <c r="W533" i="8"/>
  <c r="X533" i="8"/>
  <c r="Y533" i="8"/>
  <c r="Z533" i="8"/>
  <c r="AA533" i="8"/>
  <c r="AB533" i="8"/>
  <c r="AC533" i="8"/>
  <c r="AD533" i="8"/>
  <c r="Q534" i="8"/>
  <c r="R534" i="8"/>
  <c r="S534" i="8"/>
  <c r="T534" i="8"/>
  <c r="U534" i="8"/>
  <c r="V534" i="8"/>
  <c r="W534" i="8"/>
  <c r="X534" i="8"/>
  <c r="Y534" i="8"/>
  <c r="Z534" i="8"/>
  <c r="AA534" i="8"/>
  <c r="AB534" i="8"/>
  <c r="AC534" i="8"/>
  <c r="AD534" i="8"/>
  <c r="Q535" i="8"/>
  <c r="R535" i="8"/>
  <c r="S535" i="8"/>
  <c r="T535" i="8"/>
  <c r="U535" i="8"/>
  <c r="V535" i="8"/>
  <c r="W535" i="8"/>
  <c r="X535" i="8"/>
  <c r="Y535" i="8"/>
  <c r="Z535" i="8"/>
  <c r="AA535" i="8"/>
  <c r="AB535" i="8"/>
  <c r="AC535" i="8"/>
  <c r="AD535" i="8"/>
  <c r="Q536" i="8"/>
  <c r="R536" i="8"/>
  <c r="S536" i="8"/>
  <c r="T536" i="8"/>
  <c r="U536" i="8"/>
  <c r="V536" i="8"/>
  <c r="W536" i="8"/>
  <c r="X536" i="8"/>
  <c r="Y536" i="8"/>
  <c r="Z536" i="8"/>
  <c r="AA536" i="8"/>
  <c r="AB536" i="8"/>
  <c r="AC536" i="8"/>
  <c r="AD536" i="8"/>
  <c r="Q537" i="8"/>
  <c r="R537" i="8"/>
  <c r="S537" i="8"/>
  <c r="T537" i="8"/>
  <c r="U537" i="8"/>
  <c r="V537" i="8"/>
  <c r="W537" i="8"/>
  <c r="X537" i="8"/>
  <c r="Y537" i="8"/>
  <c r="Z537" i="8"/>
  <c r="AA537" i="8"/>
  <c r="AB537" i="8"/>
  <c r="AC537" i="8"/>
  <c r="AD537" i="8"/>
  <c r="Q538" i="8"/>
  <c r="R538" i="8"/>
  <c r="S538" i="8"/>
  <c r="T538" i="8"/>
  <c r="U538" i="8"/>
  <c r="V538" i="8"/>
  <c r="W538" i="8"/>
  <c r="X538" i="8"/>
  <c r="Y538" i="8"/>
  <c r="Z538" i="8"/>
  <c r="AA538" i="8"/>
  <c r="AB538" i="8"/>
  <c r="AC538" i="8"/>
  <c r="AD538" i="8"/>
  <c r="Q539" i="8"/>
  <c r="R539" i="8"/>
  <c r="S539" i="8"/>
  <c r="T539" i="8"/>
  <c r="U539" i="8"/>
  <c r="V539" i="8"/>
  <c r="W539" i="8"/>
  <c r="X539" i="8"/>
  <c r="Y539" i="8"/>
  <c r="Z539" i="8"/>
  <c r="AA539" i="8"/>
  <c r="AB539" i="8"/>
  <c r="AC539" i="8"/>
  <c r="AD539" i="8"/>
  <c r="Q540" i="8"/>
  <c r="R540" i="8"/>
  <c r="S540" i="8"/>
  <c r="T540" i="8"/>
  <c r="U540" i="8"/>
  <c r="V540" i="8"/>
  <c r="W540" i="8"/>
  <c r="X540" i="8"/>
  <c r="Y540" i="8"/>
  <c r="Z540" i="8"/>
  <c r="AA540" i="8"/>
  <c r="AB540" i="8"/>
  <c r="AC540" i="8"/>
  <c r="AD540" i="8"/>
  <c r="Q541" i="8"/>
  <c r="R541" i="8"/>
  <c r="S541" i="8"/>
  <c r="T541" i="8"/>
  <c r="U541" i="8"/>
  <c r="V541" i="8"/>
  <c r="W541" i="8"/>
  <c r="X541" i="8"/>
  <c r="Y541" i="8"/>
  <c r="Z541" i="8"/>
  <c r="AA541" i="8"/>
  <c r="AB541" i="8"/>
  <c r="AC541" i="8"/>
  <c r="AD541" i="8"/>
  <c r="Q542" i="8"/>
  <c r="R542" i="8"/>
  <c r="S542" i="8"/>
  <c r="T542" i="8"/>
  <c r="U542" i="8"/>
  <c r="V542" i="8"/>
  <c r="W542" i="8"/>
  <c r="X542" i="8"/>
  <c r="Y542" i="8"/>
  <c r="Z542" i="8"/>
  <c r="AA542" i="8"/>
  <c r="AB542" i="8"/>
  <c r="AC542" i="8"/>
  <c r="AD542" i="8"/>
  <c r="Q543" i="8"/>
  <c r="R543" i="8"/>
  <c r="S543" i="8"/>
  <c r="T543" i="8"/>
  <c r="U543" i="8"/>
  <c r="V543" i="8"/>
  <c r="W543" i="8"/>
  <c r="X543" i="8"/>
  <c r="Y543" i="8"/>
  <c r="Z543" i="8"/>
  <c r="AA543" i="8"/>
  <c r="AB543" i="8"/>
  <c r="AC543" i="8"/>
  <c r="AD543" i="8"/>
  <c r="Q544" i="8"/>
  <c r="R544" i="8"/>
  <c r="S544" i="8"/>
  <c r="T544" i="8"/>
  <c r="U544" i="8"/>
  <c r="V544" i="8"/>
  <c r="W544" i="8"/>
  <c r="X544" i="8"/>
  <c r="Y544" i="8"/>
  <c r="Z544" i="8"/>
  <c r="AA544" i="8"/>
  <c r="AB544" i="8"/>
  <c r="AC544" i="8"/>
  <c r="AD544" i="8"/>
  <c r="Q545" i="8"/>
  <c r="R545" i="8"/>
  <c r="S545" i="8"/>
  <c r="T545" i="8"/>
  <c r="U545" i="8"/>
  <c r="V545" i="8"/>
  <c r="W545" i="8"/>
  <c r="X545" i="8"/>
  <c r="Y545" i="8"/>
  <c r="Z545" i="8"/>
  <c r="AA545" i="8"/>
  <c r="AB545" i="8"/>
  <c r="AC545" i="8"/>
  <c r="AD545" i="8"/>
  <c r="Q546" i="8"/>
  <c r="R546" i="8"/>
  <c r="S546" i="8"/>
  <c r="T546" i="8"/>
  <c r="U546" i="8"/>
  <c r="V546" i="8"/>
  <c r="W546" i="8"/>
  <c r="X546" i="8"/>
  <c r="Y546" i="8"/>
  <c r="Z546" i="8"/>
  <c r="AA546" i="8"/>
  <c r="AB546" i="8"/>
  <c r="AC546" i="8"/>
  <c r="AD546" i="8"/>
  <c r="Q547" i="8"/>
  <c r="R547" i="8"/>
  <c r="S547" i="8"/>
  <c r="T547" i="8"/>
  <c r="U547" i="8"/>
  <c r="V547" i="8"/>
  <c r="W547" i="8"/>
  <c r="X547" i="8"/>
  <c r="Y547" i="8"/>
  <c r="Z547" i="8"/>
  <c r="AA547" i="8"/>
  <c r="AB547" i="8"/>
  <c r="AC547" i="8"/>
  <c r="AD547" i="8"/>
  <c r="Q548" i="8"/>
  <c r="R548" i="8"/>
  <c r="S548" i="8"/>
  <c r="T548" i="8"/>
  <c r="U548" i="8"/>
  <c r="V548" i="8"/>
  <c r="W548" i="8"/>
  <c r="X548" i="8"/>
  <c r="Y548" i="8"/>
  <c r="Z548" i="8"/>
  <c r="AA548" i="8"/>
  <c r="AB548" i="8"/>
  <c r="AC548" i="8"/>
  <c r="AD548" i="8"/>
  <c r="Q549" i="8"/>
  <c r="R549" i="8"/>
  <c r="S549" i="8"/>
  <c r="T549" i="8"/>
  <c r="U549" i="8"/>
  <c r="V549" i="8"/>
  <c r="W549" i="8"/>
  <c r="X549" i="8"/>
  <c r="Y549" i="8"/>
  <c r="Z549" i="8"/>
  <c r="AA549" i="8"/>
  <c r="AB549" i="8"/>
  <c r="AC549" i="8"/>
  <c r="AD549" i="8"/>
  <c r="Q550" i="8"/>
  <c r="R550" i="8"/>
  <c r="S550" i="8"/>
  <c r="T550" i="8"/>
  <c r="U550" i="8"/>
  <c r="V550" i="8"/>
  <c r="W550" i="8"/>
  <c r="X550" i="8"/>
  <c r="Y550" i="8"/>
  <c r="Z550" i="8"/>
  <c r="AA550" i="8"/>
  <c r="AB550" i="8"/>
  <c r="AC550" i="8"/>
  <c r="AD550" i="8"/>
  <c r="Q551" i="8"/>
  <c r="R551" i="8"/>
  <c r="S551" i="8"/>
  <c r="T551" i="8"/>
  <c r="U551" i="8"/>
  <c r="V551" i="8"/>
  <c r="W551" i="8"/>
  <c r="X551" i="8"/>
  <c r="Y551" i="8"/>
  <c r="Z551" i="8"/>
  <c r="AA551" i="8"/>
  <c r="AB551" i="8"/>
  <c r="AC551" i="8"/>
  <c r="AD551" i="8"/>
  <c r="Q552" i="8"/>
  <c r="R552" i="8"/>
  <c r="S552" i="8"/>
  <c r="T552" i="8"/>
  <c r="U552" i="8"/>
  <c r="V552" i="8"/>
  <c r="W552" i="8"/>
  <c r="X552" i="8"/>
  <c r="Y552" i="8"/>
  <c r="Z552" i="8"/>
  <c r="AA552" i="8"/>
  <c r="AB552" i="8"/>
  <c r="AC552" i="8"/>
  <c r="AD552" i="8"/>
  <c r="Q553" i="8"/>
  <c r="R553" i="8"/>
  <c r="S553" i="8"/>
  <c r="T553" i="8"/>
  <c r="U553" i="8"/>
  <c r="V553" i="8"/>
  <c r="W553" i="8"/>
  <c r="X553" i="8"/>
  <c r="Y553" i="8"/>
  <c r="Z553" i="8"/>
  <c r="AA553" i="8"/>
  <c r="AB553" i="8"/>
  <c r="AC553" i="8"/>
  <c r="AD553" i="8"/>
  <c r="Q554" i="8"/>
  <c r="R554" i="8"/>
  <c r="S554" i="8"/>
  <c r="T554" i="8"/>
  <c r="U554" i="8"/>
  <c r="V554" i="8"/>
  <c r="W554" i="8"/>
  <c r="X554" i="8"/>
  <c r="Y554" i="8"/>
  <c r="Z554" i="8"/>
  <c r="AA554" i="8"/>
  <c r="AB554" i="8"/>
  <c r="AC554" i="8"/>
  <c r="AD554" i="8"/>
  <c r="Q555" i="8"/>
  <c r="R555" i="8"/>
  <c r="S555" i="8"/>
  <c r="T555" i="8"/>
  <c r="U555" i="8"/>
  <c r="V555" i="8"/>
  <c r="W555" i="8"/>
  <c r="X555" i="8"/>
  <c r="Y555" i="8"/>
  <c r="Z555" i="8"/>
  <c r="AA555" i="8"/>
  <c r="AB555" i="8"/>
  <c r="AC555" i="8"/>
  <c r="AD555" i="8"/>
  <c r="Q556" i="8"/>
  <c r="R556" i="8"/>
  <c r="S556" i="8"/>
  <c r="T556" i="8"/>
  <c r="U556" i="8"/>
  <c r="V556" i="8"/>
  <c r="W556" i="8"/>
  <c r="X556" i="8"/>
  <c r="Y556" i="8"/>
  <c r="Z556" i="8"/>
  <c r="AA556" i="8"/>
  <c r="AB556" i="8"/>
  <c r="AC556" i="8"/>
  <c r="AD556" i="8"/>
  <c r="Q557" i="8"/>
  <c r="R557" i="8"/>
  <c r="S557" i="8"/>
  <c r="T557" i="8"/>
  <c r="U557" i="8"/>
  <c r="V557" i="8"/>
  <c r="W557" i="8"/>
  <c r="X557" i="8"/>
  <c r="Y557" i="8"/>
  <c r="Z557" i="8"/>
  <c r="AA557" i="8"/>
  <c r="AB557" i="8"/>
  <c r="AC557" i="8"/>
  <c r="AD557" i="8"/>
  <c r="Q558" i="8"/>
  <c r="R558" i="8"/>
  <c r="S558" i="8"/>
  <c r="T558" i="8"/>
  <c r="U558" i="8"/>
  <c r="V558" i="8"/>
  <c r="W558" i="8"/>
  <c r="X558" i="8"/>
  <c r="Y558" i="8"/>
  <c r="Z558" i="8"/>
  <c r="AA558" i="8"/>
  <c r="AB558" i="8"/>
  <c r="AC558" i="8"/>
  <c r="AD558" i="8"/>
  <c r="Q559" i="8"/>
  <c r="R559" i="8"/>
  <c r="S559" i="8"/>
  <c r="T559" i="8"/>
  <c r="U559" i="8"/>
  <c r="V559" i="8"/>
  <c r="W559" i="8"/>
  <c r="X559" i="8"/>
  <c r="Y559" i="8"/>
  <c r="Z559" i="8"/>
  <c r="AA559" i="8"/>
  <c r="AB559" i="8"/>
  <c r="AC559" i="8"/>
  <c r="AD559" i="8"/>
  <c r="Q560" i="8"/>
  <c r="R560" i="8"/>
  <c r="S560" i="8"/>
  <c r="T560" i="8"/>
  <c r="U560" i="8"/>
  <c r="V560" i="8"/>
  <c r="W560" i="8"/>
  <c r="X560" i="8"/>
  <c r="Y560" i="8"/>
  <c r="Z560" i="8"/>
  <c r="AA560" i="8"/>
  <c r="AB560" i="8"/>
  <c r="AC560" i="8"/>
  <c r="AD560" i="8"/>
  <c r="Q561" i="8"/>
  <c r="R561" i="8"/>
  <c r="S561" i="8"/>
  <c r="T561" i="8"/>
  <c r="U561" i="8"/>
  <c r="V561" i="8"/>
  <c r="W561" i="8"/>
  <c r="X561" i="8"/>
  <c r="Y561" i="8"/>
  <c r="Z561" i="8"/>
  <c r="AA561" i="8"/>
  <c r="AB561" i="8"/>
  <c r="AC561" i="8"/>
  <c r="AD561" i="8"/>
  <c r="Q562" i="8"/>
  <c r="R562" i="8"/>
  <c r="S562" i="8"/>
  <c r="T562" i="8"/>
  <c r="U562" i="8"/>
  <c r="V562" i="8"/>
  <c r="W562" i="8"/>
  <c r="X562" i="8"/>
  <c r="Y562" i="8"/>
  <c r="Z562" i="8"/>
  <c r="AA562" i="8"/>
  <c r="AB562" i="8"/>
  <c r="AC562" i="8"/>
  <c r="AD562" i="8"/>
  <c r="Q563" i="8"/>
  <c r="R563" i="8"/>
  <c r="S563" i="8"/>
  <c r="T563" i="8"/>
  <c r="U563" i="8"/>
  <c r="V563" i="8"/>
  <c r="W563" i="8"/>
  <c r="X563" i="8"/>
  <c r="Y563" i="8"/>
  <c r="Z563" i="8"/>
  <c r="AA563" i="8"/>
  <c r="AB563" i="8"/>
  <c r="AC563" i="8"/>
  <c r="AD563" i="8"/>
  <c r="Q564" i="8"/>
  <c r="R564" i="8"/>
  <c r="S564" i="8"/>
  <c r="T564" i="8"/>
  <c r="U564" i="8"/>
  <c r="V564" i="8"/>
  <c r="W564" i="8"/>
  <c r="X564" i="8"/>
  <c r="Y564" i="8"/>
  <c r="Z564" i="8"/>
  <c r="AA564" i="8"/>
  <c r="AB564" i="8"/>
  <c r="AC564" i="8"/>
  <c r="AD564" i="8"/>
  <c r="Q565" i="8"/>
  <c r="R565" i="8"/>
  <c r="S565" i="8"/>
  <c r="T565" i="8"/>
  <c r="U565" i="8"/>
  <c r="V565" i="8"/>
  <c r="W565" i="8"/>
  <c r="X565" i="8"/>
  <c r="Y565" i="8"/>
  <c r="Z565" i="8"/>
  <c r="AA565" i="8"/>
  <c r="AB565" i="8"/>
  <c r="AC565" i="8"/>
  <c r="AD565" i="8"/>
  <c r="Q566" i="8"/>
  <c r="R566" i="8"/>
  <c r="S566" i="8"/>
  <c r="T566" i="8"/>
  <c r="U566" i="8"/>
  <c r="V566" i="8"/>
  <c r="W566" i="8"/>
  <c r="X566" i="8"/>
  <c r="Y566" i="8"/>
  <c r="Z566" i="8"/>
  <c r="AA566" i="8"/>
  <c r="AB566" i="8"/>
  <c r="AC566" i="8"/>
  <c r="AD566" i="8"/>
  <c r="Q567" i="8"/>
  <c r="R567" i="8"/>
  <c r="S567" i="8"/>
  <c r="T567" i="8"/>
  <c r="U567" i="8"/>
  <c r="V567" i="8"/>
  <c r="W567" i="8"/>
  <c r="X567" i="8"/>
  <c r="Y567" i="8"/>
  <c r="Z567" i="8"/>
  <c r="AA567" i="8"/>
  <c r="AB567" i="8"/>
  <c r="AC567" i="8"/>
  <c r="AD567" i="8"/>
  <c r="Q568" i="8"/>
  <c r="R568" i="8"/>
  <c r="S568" i="8"/>
  <c r="T568" i="8"/>
  <c r="U568" i="8"/>
  <c r="V568" i="8"/>
  <c r="W568" i="8"/>
  <c r="X568" i="8"/>
  <c r="Y568" i="8"/>
  <c r="Z568" i="8"/>
  <c r="AA568" i="8"/>
  <c r="AB568" i="8"/>
  <c r="AC568" i="8"/>
  <c r="AD568" i="8"/>
  <c r="Q569" i="8"/>
  <c r="R569" i="8"/>
  <c r="S569" i="8"/>
  <c r="T569" i="8"/>
  <c r="U569" i="8"/>
  <c r="V569" i="8"/>
  <c r="W569" i="8"/>
  <c r="X569" i="8"/>
  <c r="Y569" i="8"/>
  <c r="Z569" i="8"/>
  <c r="AA569" i="8"/>
  <c r="AB569" i="8"/>
  <c r="AC569" i="8"/>
  <c r="AD569" i="8"/>
  <c r="Q570" i="8"/>
  <c r="R570" i="8"/>
  <c r="S570" i="8"/>
  <c r="T570" i="8"/>
  <c r="U570" i="8"/>
  <c r="V570" i="8"/>
  <c r="W570" i="8"/>
  <c r="X570" i="8"/>
  <c r="Y570" i="8"/>
  <c r="Z570" i="8"/>
  <c r="AA570" i="8"/>
  <c r="AB570" i="8"/>
  <c r="AC570" i="8"/>
  <c r="AD570" i="8"/>
  <c r="Q571" i="8"/>
  <c r="R571" i="8"/>
  <c r="S571" i="8"/>
  <c r="T571" i="8"/>
  <c r="U571" i="8"/>
  <c r="V571" i="8"/>
  <c r="W571" i="8"/>
  <c r="X571" i="8"/>
  <c r="Y571" i="8"/>
  <c r="Z571" i="8"/>
  <c r="AA571" i="8"/>
  <c r="AB571" i="8"/>
  <c r="AC571" i="8"/>
  <c r="AD571" i="8"/>
  <c r="Q572" i="8"/>
  <c r="R572" i="8"/>
  <c r="S572" i="8"/>
  <c r="T572" i="8"/>
  <c r="U572" i="8"/>
  <c r="V572" i="8"/>
  <c r="W572" i="8"/>
  <c r="X572" i="8"/>
  <c r="Y572" i="8"/>
  <c r="Z572" i="8"/>
  <c r="AA572" i="8"/>
  <c r="AB572" i="8"/>
  <c r="AC572" i="8"/>
  <c r="AD572" i="8"/>
  <c r="Q573" i="8"/>
  <c r="R573" i="8"/>
  <c r="S573" i="8"/>
  <c r="T573" i="8"/>
  <c r="U573" i="8"/>
  <c r="V573" i="8"/>
  <c r="W573" i="8"/>
  <c r="X573" i="8"/>
  <c r="Y573" i="8"/>
  <c r="Z573" i="8"/>
  <c r="AA573" i="8"/>
  <c r="AB573" i="8"/>
  <c r="AC573" i="8"/>
  <c r="AD573" i="8"/>
  <c r="Q574" i="8"/>
  <c r="R574" i="8"/>
  <c r="S574" i="8"/>
  <c r="T574" i="8"/>
  <c r="U574" i="8"/>
  <c r="V574" i="8"/>
  <c r="W574" i="8"/>
  <c r="X574" i="8"/>
  <c r="Y574" i="8"/>
  <c r="Z574" i="8"/>
  <c r="AA574" i="8"/>
  <c r="AB574" i="8"/>
  <c r="AC574" i="8"/>
  <c r="AD574" i="8"/>
  <c r="Q575" i="8"/>
  <c r="R575" i="8"/>
  <c r="S575" i="8"/>
  <c r="T575" i="8"/>
  <c r="U575" i="8"/>
  <c r="V575" i="8"/>
  <c r="W575" i="8"/>
  <c r="X575" i="8"/>
  <c r="Y575" i="8"/>
  <c r="Z575" i="8"/>
  <c r="AA575" i="8"/>
  <c r="AB575" i="8"/>
  <c r="AC575" i="8"/>
  <c r="AD575" i="8"/>
  <c r="Q576" i="8"/>
  <c r="R576" i="8"/>
  <c r="S576" i="8"/>
  <c r="T576" i="8"/>
  <c r="U576" i="8"/>
  <c r="V576" i="8"/>
  <c r="W576" i="8"/>
  <c r="X576" i="8"/>
  <c r="Y576" i="8"/>
  <c r="Z576" i="8"/>
  <c r="AA576" i="8"/>
  <c r="AB576" i="8"/>
  <c r="AC576" i="8"/>
  <c r="AD576" i="8"/>
  <c r="Q577" i="8"/>
  <c r="R577" i="8"/>
  <c r="S577" i="8"/>
  <c r="T577" i="8"/>
  <c r="U577" i="8"/>
  <c r="V577" i="8"/>
  <c r="W577" i="8"/>
  <c r="X577" i="8"/>
  <c r="Y577" i="8"/>
  <c r="Z577" i="8"/>
  <c r="AA577" i="8"/>
  <c r="AB577" i="8"/>
  <c r="AC577" i="8"/>
  <c r="AD577" i="8"/>
  <c r="Q578" i="8"/>
  <c r="R578" i="8"/>
  <c r="S578" i="8"/>
  <c r="T578" i="8"/>
  <c r="U578" i="8"/>
  <c r="V578" i="8"/>
  <c r="W578" i="8"/>
  <c r="X578" i="8"/>
  <c r="Y578" i="8"/>
  <c r="Z578" i="8"/>
  <c r="AA578" i="8"/>
  <c r="AB578" i="8"/>
  <c r="AC578" i="8"/>
  <c r="AD578" i="8"/>
  <c r="Q579" i="8"/>
  <c r="R579" i="8"/>
  <c r="S579" i="8"/>
  <c r="T579" i="8"/>
  <c r="U579" i="8"/>
  <c r="V579" i="8"/>
  <c r="W579" i="8"/>
  <c r="X579" i="8"/>
  <c r="Y579" i="8"/>
  <c r="Z579" i="8"/>
  <c r="AA579" i="8"/>
  <c r="AB579" i="8"/>
  <c r="AC579" i="8"/>
  <c r="AD579" i="8"/>
  <c r="Q580" i="8"/>
  <c r="R580" i="8"/>
  <c r="S580" i="8"/>
  <c r="T580" i="8"/>
  <c r="U580" i="8"/>
  <c r="V580" i="8"/>
  <c r="W580" i="8"/>
  <c r="X580" i="8"/>
  <c r="Y580" i="8"/>
  <c r="Z580" i="8"/>
  <c r="AA580" i="8"/>
  <c r="AB580" i="8"/>
  <c r="AC580" i="8"/>
  <c r="AD580" i="8"/>
  <c r="Q581" i="8"/>
  <c r="R581" i="8"/>
  <c r="S581" i="8"/>
  <c r="T581" i="8"/>
  <c r="U581" i="8"/>
  <c r="V581" i="8"/>
  <c r="W581" i="8"/>
  <c r="X581" i="8"/>
  <c r="Y581" i="8"/>
  <c r="Z581" i="8"/>
  <c r="AA581" i="8"/>
  <c r="AB581" i="8"/>
  <c r="AC581" i="8"/>
  <c r="AD581" i="8"/>
  <c r="Q582" i="8"/>
  <c r="R582" i="8"/>
  <c r="S582" i="8"/>
  <c r="T582" i="8"/>
  <c r="U582" i="8"/>
  <c r="V582" i="8"/>
  <c r="W582" i="8"/>
  <c r="X582" i="8"/>
  <c r="Y582" i="8"/>
  <c r="Z582" i="8"/>
  <c r="AA582" i="8"/>
  <c r="AB582" i="8"/>
  <c r="AC582" i="8"/>
  <c r="AD582" i="8"/>
  <c r="Q583" i="8"/>
  <c r="R583" i="8"/>
  <c r="S583" i="8"/>
  <c r="T583" i="8"/>
  <c r="U583" i="8"/>
  <c r="V583" i="8"/>
  <c r="W583" i="8"/>
  <c r="X583" i="8"/>
  <c r="Y583" i="8"/>
  <c r="Z583" i="8"/>
  <c r="AA583" i="8"/>
  <c r="AB583" i="8"/>
  <c r="AC583" i="8"/>
  <c r="AD583" i="8"/>
  <c r="Q584" i="8"/>
  <c r="R584" i="8"/>
  <c r="S584" i="8"/>
  <c r="T584" i="8"/>
  <c r="U584" i="8"/>
  <c r="V584" i="8"/>
  <c r="W584" i="8"/>
  <c r="X584" i="8"/>
  <c r="Y584" i="8"/>
  <c r="Z584" i="8"/>
  <c r="AA584" i="8"/>
  <c r="AB584" i="8"/>
  <c r="AC584" i="8"/>
  <c r="AD584" i="8"/>
  <c r="Q585" i="8"/>
  <c r="R585" i="8"/>
  <c r="S585" i="8"/>
  <c r="T585" i="8"/>
  <c r="U585" i="8"/>
  <c r="V585" i="8"/>
  <c r="W585" i="8"/>
  <c r="X585" i="8"/>
  <c r="Y585" i="8"/>
  <c r="Z585" i="8"/>
  <c r="AA585" i="8"/>
  <c r="AB585" i="8"/>
  <c r="AC585" i="8"/>
  <c r="AD585" i="8"/>
  <c r="Q586" i="8"/>
  <c r="R586" i="8"/>
  <c r="S586" i="8"/>
  <c r="T586" i="8"/>
  <c r="U586" i="8"/>
  <c r="V586" i="8"/>
  <c r="W586" i="8"/>
  <c r="X586" i="8"/>
  <c r="Y586" i="8"/>
  <c r="Z586" i="8"/>
  <c r="AA586" i="8"/>
  <c r="AB586" i="8"/>
  <c r="AC586" i="8"/>
  <c r="AD586" i="8"/>
  <c r="Q587" i="8"/>
  <c r="R587" i="8"/>
  <c r="S587" i="8"/>
  <c r="T587" i="8"/>
  <c r="U587" i="8"/>
  <c r="V587" i="8"/>
  <c r="W587" i="8"/>
  <c r="X587" i="8"/>
  <c r="Y587" i="8"/>
  <c r="Z587" i="8"/>
  <c r="AA587" i="8"/>
  <c r="AB587" i="8"/>
  <c r="AC587" i="8"/>
  <c r="AD587" i="8"/>
  <c r="Q588" i="8"/>
  <c r="R588" i="8"/>
  <c r="S588" i="8"/>
  <c r="T588" i="8"/>
  <c r="U588" i="8"/>
  <c r="V588" i="8"/>
  <c r="W588" i="8"/>
  <c r="X588" i="8"/>
  <c r="Y588" i="8"/>
  <c r="Z588" i="8"/>
  <c r="AA588" i="8"/>
  <c r="AB588" i="8"/>
  <c r="AC588" i="8"/>
  <c r="AD588" i="8"/>
  <c r="Q589" i="8"/>
  <c r="R589" i="8"/>
  <c r="S589" i="8"/>
  <c r="T589" i="8"/>
  <c r="U589" i="8"/>
  <c r="V589" i="8"/>
  <c r="W589" i="8"/>
  <c r="X589" i="8"/>
  <c r="Y589" i="8"/>
  <c r="Z589" i="8"/>
  <c r="AA589" i="8"/>
  <c r="AB589" i="8"/>
  <c r="AC589" i="8"/>
  <c r="AD589" i="8"/>
  <c r="Q590" i="8"/>
  <c r="R590" i="8"/>
  <c r="S590" i="8"/>
  <c r="T590" i="8"/>
  <c r="U590" i="8"/>
  <c r="V590" i="8"/>
  <c r="W590" i="8"/>
  <c r="X590" i="8"/>
  <c r="Y590" i="8"/>
  <c r="Z590" i="8"/>
  <c r="AA590" i="8"/>
  <c r="AB590" i="8"/>
  <c r="AC590" i="8"/>
  <c r="AD590" i="8"/>
  <c r="Q591" i="8"/>
  <c r="R591" i="8"/>
  <c r="S591" i="8"/>
  <c r="T591" i="8"/>
  <c r="U591" i="8"/>
  <c r="V591" i="8"/>
  <c r="W591" i="8"/>
  <c r="X591" i="8"/>
  <c r="Y591" i="8"/>
  <c r="Z591" i="8"/>
  <c r="AA591" i="8"/>
  <c r="AB591" i="8"/>
  <c r="AC591" i="8"/>
  <c r="AD591" i="8"/>
  <c r="Q592" i="8"/>
  <c r="R592" i="8"/>
  <c r="S592" i="8"/>
  <c r="T592" i="8"/>
  <c r="U592" i="8"/>
  <c r="V592" i="8"/>
  <c r="W592" i="8"/>
  <c r="X592" i="8"/>
  <c r="Y592" i="8"/>
  <c r="Z592" i="8"/>
  <c r="AA592" i="8"/>
  <c r="AB592" i="8"/>
  <c r="AC592" i="8"/>
  <c r="AD592" i="8"/>
  <c r="Q593" i="8"/>
  <c r="R593" i="8"/>
  <c r="S593" i="8"/>
  <c r="T593" i="8"/>
  <c r="U593" i="8"/>
  <c r="V593" i="8"/>
  <c r="W593" i="8"/>
  <c r="X593" i="8"/>
  <c r="Y593" i="8"/>
  <c r="Z593" i="8"/>
  <c r="AA593" i="8"/>
  <c r="AB593" i="8"/>
  <c r="AC593" i="8"/>
  <c r="AD593" i="8"/>
  <c r="Q594" i="8"/>
  <c r="R594" i="8"/>
  <c r="S594" i="8"/>
  <c r="T594" i="8"/>
  <c r="U594" i="8"/>
  <c r="V594" i="8"/>
  <c r="W594" i="8"/>
  <c r="X594" i="8"/>
  <c r="Y594" i="8"/>
  <c r="Z594" i="8"/>
  <c r="AA594" i="8"/>
  <c r="AB594" i="8"/>
  <c r="AC594" i="8"/>
  <c r="AD594" i="8"/>
  <c r="Q595" i="8"/>
  <c r="R595" i="8"/>
  <c r="S595" i="8"/>
  <c r="T595" i="8"/>
  <c r="U595" i="8"/>
  <c r="V595" i="8"/>
  <c r="W595" i="8"/>
  <c r="X595" i="8"/>
  <c r="Y595" i="8"/>
  <c r="Z595" i="8"/>
  <c r="AA595" i="8"/>
  <c r="AB595" i="8"/>
  <c r="AC595" i="8"/>
  <c r="AD595" i="8"/>
  <c r="Q596" i="8"/>
  <c r="R596" i="8"/>
  <c r="S596" i="8"/>
  <c r="T596" i="8"/>
  <c r="U596" i="8"/>
  <c r="V596" i="8"/>
  <c r="W596" i="8"/>
  <c r="X596" i="8"/>
  <c r="Y596" i="8"/>
  <c r="Z596" i="8"/>
  <c r="AA596" i="8"/>
  <c r="AB596" i="8"/>
  <c r="AC596" i="8"/>
  <c r="AD596" i="8"/>
  <c r="Q597" i="8"/>
  <c r="R597" i="8"/>
  <c r="S597" i="8"/>
  <c r="T597" i="8"/>
  <c r="U597" i="8"/>
  <c r="V597" i="8"/>
  <c r="W597" i="8"/>
  <c r="X597" i="8"/>
  <c r="Y597" i="8"/>
  <c r="Z597" i="8"/>
  <c r="AA597" i="8"/>
  <c r="AB597" i="8"/>
  <c r="AC597" i="8"/>
  <c r="AD597" i="8"/>
  <c r="Q598" i="8"/>
  <c r="R598" i="8"/>
  <c r="S598" i="8"/>
  <c r="T598" i="8"/>
  <c r="U598" i="8"/>
  <c r="V598" i="8"/>
  <c r="W598" i="8"/>
  <c r="X598" i="8"/>
  <c r="Y598" i="8"/>
  <c r="Z598" i="8"/>
  <c r="AA598" i="8"/>
  <c r="AB598" i="8"/>
  <c r="AC598" i="8"/>
  <c r="AD598" i="8"/>
  <c r="Q599" i="8"/>
  <c r="R599" i="8"/>
  <c r="S599" i="8"/>
  <c r="T599" i="8"/>
  <c r="U599" i="8"/>
  <c r="V599" i="8"/>
  <c r="W599" i="8"/>
  <c r="X599" i="8"/>
  <c r="Y599" i="8"/>
  <c r="Z599" i="8"/>
  <c r="AA599" i="8"/>
  <c r="AB599" i="8"/>
  <c r="AC599" i="8"/>
  <c r="AD599" i="8"/>
  <c r="Q600" i="8"/>
  <c r="R600" i="8"/>
  <c r="S600" i="8"/>
  <c r="T600" i="8"/>
  <c r="U600" i="8"/>
  <c r="V600" i="8"/>
  <c r="W600" i="8"/>
  <c r="X600" i="8"/>
  <c r="Y600" i="8"/>
  <c r="Z600" i="8"/>
  <c r="AA600" i="8"/>
  <c r="AB600" i="8"/>
  <c r="AC600" i="8"/>
  <c r="AD600" i="8"/>
  <c r="Q601" i="8"/>
  <c r="R601" i="8"/>
  <c r="S601" i="8"/>
  <c r="T601" i="8"/>
  <c r="U601" i="8"/>
  <c r="V601" i="8"/>
  <c r="W601" i="8"/>
  <c r="X601" i="8"/>
  <c r="Y601" i="8"/>
  <c r="Z601" i="8"/>
  <c r="AA601" i="8"/>
  <c r="AB601" i="8"/>
  <c r="AC601" i="8"/>
  <c r="AD601" i="8"/>
  <c r="Q602" i="8"/>
  <c r="R602" i="8"/>
  <c r="S602" i="8"/>
  <c r="T602" i="8"/>
  <c r="U602" i="8"/>
  <c r="V602" i="8"/>
  <c r="W602" i="8"/>
  <c r="X602" i="8"/>
  <c r="Y602" i="8"/>
  <c r="Z602" i="8"/>
  <c r="AA602" i="8"/>
  <c r="AB602" i="8"/>
  <c r="AC602" i="8"/>
  <c r="AD602" i="8"/>
  <c r="Q603" i="8"/>
  <c r="R603" i="8"/>
  <c r="S603" i="8"/>
  <c r="T603" i="8"/>
  <c r="U603" i="8"/>
  <c r="V603" i="8"/>
  <c r="W603" i="8"/>
  <c r="X603" i="8"/>
  <c r="Y603" i="8"/>
  <c r="Z603" i="8"/>
  <c r="AA603" i="8"/>
  <c r="AB603" i="8"/>
  <c r="AC603" i="8"/>
  <c r="AD603" i="8"/>
  <c r="Q604" i="8"/>
  <c r="R604" i="8"/>
  <c r="S604" i="8"/>
  <c r="T604" i="8"/>
  <c r="U604" i="8"/>
  <c r="V604" i="8"/>
  <c r="W604" i="8"/>
  <c r="X604" i="8"/>
  <c r="Y604" i="8"/>
  <c r="Z604" i="8"/>
  <c r="AA604" i="8"/>
  <c r="AB604" i="8"/>
  <c r="AC604" i="8"/>
  <c r="AD604" i="8"/>
  <c r="Q605" i="8"/>
  <c r="R605" i="8"/>
  <c r="S605" i="8"/>
  <c r="T605" i="8"/>
  <c r="U605" i="8"/>
  <c r="V605" i="8"/>
  <c r="W605" i="8"/>
  <c r="X605" i="8"/>
  <c r="Y605" i="8"/>
  <c r="Z605" i="8"/>
  <c r="AA605" i="8"/>
  <c r="AB605" i="8"/>
  <c r="AC605" i="8"/>
  <c r="AD605" i="8"/>
  <c r="Q606" i="8"/>
  <c r="R606" i="8"/>
  <c r="S606" i="8"/>
  <c r="T606" i="8"/>
  <c r="U606" i="8"/>
  <c r="V606" i="8"/>
  <c r="W606" i="8"/>
  <c r="X606" i="8"/>
  <c r="Y606" i="8"/>
  <c r="Z606" i="8"/>
  <c r="AA606" i="8"/>
  <c r="AB606" i="8"/>
  <c r="AC606" i="8"/>
  <c r="AD606" i="8"/>
  <c r="Q607" i="8"/>
  <c r="R607" i="8"/>
  <c r="S607" i="8"/>
  <c r="T607" i="8"/>
  <c r="U607" i="8"/>
  <c r="V607" i="8"/>
  <c r="W607" i="8"/>
  <c r="X607" i="8"/>
  <c r="Y607" i="8"/>
  <c r="Z607" i="8"/>
  <c r="AA607" i="8"/>
  <c r="AB607" i="8"/>
  <c r="AC607" i="8"/>
  <c r="AD607" i="8"/>
  <c r="Q608" i="8"/>
  <c r="R608" i="8"/>
  <c r="S608" i="8"/>
  <c r="T608" i="8"/>
  <c r="U608" i="8"/>
  <c r="V608" i="8"/>
  <c r="W608" i="8"/>
  <c r="X608" i="8"/>
  <c r="Y608" i="8"/>
  <c r="Z608" i="8"/>
  <c r="AA608" i="8"/>
  <c r="AB608" i="8"/>
  <c r="AC608" i="8"/>
  <c r="AD608" i="8"/>
  <c r="Q609" i="8"/>
  <c r="R609" i="8"/>
  <c r="S609" i="8"/>
  <c r="T609" i="8"/>
  <c r="U609" i="8"/>
  <c r="V609" i="8"/>
  <c r="W609" i="8"/>
  <c r="X609" i="8"/>
  <c r="Y609" i="8"/>
  <c r="Z609" i="8"/>
  <c r="AA609" i="8"/>
  <c r="AB609" i="8"/>
  <c r="AC609" i="8"/>
  <c r="AD609" i="8"/>
  <c r="Q610" i="8"/>
  <c r="R610" i="8"/>
  <c r="S610" i="8"/>
  <c r="T610" i="8"/>
  <c r="U610" i="8"/>
  <c r="V610" i="8"/>
  <c r="W610" i="8"/>
  <c r="X610" i="8"/>
  <c r="Y610" i="8"/>
  <c r="Z610" i="8"/>
  <c r="AA610" i="8"/>
  <c r="AB610" i="8"/>
  <c r="AC610" i="8"/>
  <c r="AD610" i="8"/>
  <c r="Q611" i="8"/>
  <c r="R611" i="8"/>
  <c r="S611" i="8"/>
  <c r="T611" i="8"/>
  <c r="U611" i="8"/>
  <c r="V611" i="8"/>
  <c r="W611" i="8"/>
  <c r="X611" i="8"/>
  <c r="Y611" i="8"/>
  <c r="Z611" i="8"/>
  <c r="AA611" i="8"/>
  <c r="AB611" i="8"/>
  <c r="AC611" i="8"/>
  <c r="AD611" i="8"/>
  <c r="Q612" i="8"/>
  <c r="R612" i="8"/>
  <c r="S612" i="8"/>
  <c r="T612" i="8"/>
  <c r="U612" i="8"/>
  <c r="V612" i="8"/>
  <c r="W612" i="8"/>
  <c r="X612" i="8"/>
  <c r="Y612" i="8"/>
  <c r="Z612" i="8"/>
  <c r="AA612" i="8"/>
  <c r="AB612" i="8"/>
  <c r="AC612" i="8"/>
  <c r="AD612" i="8"/>
  <c r="Q613" i="8"/>
  <c r="R613" i="8"/>
  <c r="S613" i="8"/>
  <c r="T613" i="8"/>
  <c r="U613" i="8"/>
  <c r="V613" i="8"/>
  <c r="W613" i="8"/>
  <c r="X613" i="8"/>
  <c r="Y613" i="8"/>
  <c r="Z613" i="8"/>
  <c r="AA613" i="8"/>
  <c r="AB613" i="8"/>
  <c r="AC613" i="8"/>
  <c r="AD613" i="8"/>
  <c r="Q614" i="8"/>
  <c r="R614" i="8"/>
  <c r="S614" i="8"/>
  <c r="T614" i="8"/>
  <c r="U614" i="8"/>
  <c r="V614" i="8"/>
  <c r="W614" i="8"/>
  <c r="X614" i="8"/>
  <c r="Y614" i="8"/>
  <c r="Z614" i="8"/>
  <c r="AA614" i="8"/>
  <c r="AB614" i="8"/>
  <c r="AC614" i="8"/>
  <c r="AD614" i="8"/>
  <c r="Q615" i="8"/>
  <c r="R615" i="8"/>
  <c r="S615" i="8"/>
  <c r="T615" i="8"/>
  <c r="U615" i="8"/>
  <c r="V615" i="8"/>
  <c r="W615" i="8"/>
  <c r="X615" i="8"/>
  <c r="Y615" i="8"/>
  <c r="Z615" i="8"/>
  <c r="AA615" i="8"/>
  <c r="AB615" i="8"/>
  <c r="AC615" i="8"/>
  <c r="AD615" i="8"/>
  <c r="Q616" i="8"/>
  <c r="R616" i="8"/>
  <c r="S616" i="8"/>
  <c r="T616" i="8"/>
  <c r="U616" i="8"/>
  <c r="V616" i="8"/>
  <c r="W616" i="8"/>
  <c r="X616" i="8"/>
  <c r="Y616" i="8"/>
  <c r="Z616" i="8"/>
  <c r="AA616" i="8"/>
  <c r="AB616" i="8"/>
  <c r="AC616" i="8"/>
  <c r="AD616" i="8"/>
  <c r="Q617" i="8"/>
  <c r="R617" i="8"/>
  <c r="S617" i="8"/>
  <c r="T617" i="8"/>
  <c r="U617" i="8"/>
  <c r="V617" i="8"/>
  <c r="W617" i="8"/>
  <c r="X617" i="8"/>
  <c r="Y617" i="8"/>
  <c r="Z617" i="8"/>
  <c r="AA617" i="8"/>
  <c r="AB617" i="8"/>
  <c r="AC617" i="8"/>
  <c r="AD617" i="8"/>
  <c r="Q618" i="8"/>
  <c r="R618" i="8"/>
  <c r="S618" i="8"/>
  <c r="T618" i="8"/>
  <c r="U618" i="8"/>
  <c r="V618" i="8"/>
  <c r="W618" i="8"/>
  <c r="X618" i="8"/>
  <c r="Y618" i="8"/>
  <c r="Z618" i="8"/>
  <c r="AA618" i="8"/>
  <c r="AB618" i="8"/>
  <c r="AC618" i="8"/>
  <c r="AD618" i="8"/>
  <c r="Q619" i="8"/>
  <c r="R619" i="8"/>
  <c r="S619" i="8"/>
  <c r="T619" i="8"/>
  <c r="U619" i="8"/>
  <c r="V619" i="8"/>
  <c r="W619" i="8"/>
  <c r="X619" i="8"/>
  <c r="Y619" i="8"/>
  <c r="Z619" i="8"/>
  <c r="AA619" i="8"/>
  <c r="AB619" i="8"/>
  <c r="AC619" i="8"/>
  <c r="AD619" i="8"/>
  <c r="Q620" i="8"/>
  <c r="R620" i="8"/>
  <c r="S620" i="8"/>
  <c r="T620" i="8"/>
  <c r="U620" i="8"/>
  <c r="V620" i="8"/>
  <c r="W620" i="8"/>
  <c r="X620" i="8"/>
  <c r="Y620" i="8"/>
  <c r="Z620" i="8"/>
  <c r="AA620" i="8"/>
  <c r="AB620" i="8"/>
  <c r="AC620" i="8"/>
  <c r="AD620" i="8"/>
  <c r="Q621" i="8"/>
  <c r="R621" i="8"/>
  <c r="S621" i="8"/>
  <c r="T621" i="8"/>
  <c r="U621" i="8"/>
  <c r="V621" i="8"/>
  <c r="W621" i="8"/>
  <c r="X621" i="8"/>
  <c r="Y621" i="8"/>
  <c r="Z621" i="8"/>
  <c r="AA621" i="8"/>
  <c r="AB621" i="8"/>
  <c r="AC621" i="8"/>
  <c r="AD621" i="8"/>
  <c r="Q622" i="8"/>
  <c r="R622" i="8"/>
  <c r="S622" i="8"/>
  <c r="T622" i="8"/>
  <c r="U622" i="8"/>
  <c r="V622" i="8"/>
  <c r="W622" i="8"/>
  <c r="X622" i="8"/>
  <c r="Y622" i="8"/>
  <c r="Z622" i="8"/>
  <c r="AA622" i="8"/>
  <c r="AB622" i="8"/>
  <c r="AC622" i="8"/>
  <c r="AD622" i="8"/>
  <c r="Q623" i="8"/>
  <c r="R623" i="8"/>
  <c r="S623" i="8"/>
  <c r="T623" i="8"/>
  <c r="U623" i="8"/>
  <c r="V623" i="8"/>
  <c r="W623" i="8"/>
  <c r="X623" i="8"/>
  <c r="Y623" i="8"/>
  <c r="Z623" i="8"/>
  <c r="AA623" i="8"/>
  <c r="AB623" i="8"/>
  <c r="AC623" i="8"/>
  <c r="AD623" i="8"/>
  <c r="Q624" i="8"/>
  <c r="R624" i="8"/>
  <c r="S624" i="8"/>
  <c r="T624" i="8"/>
  <c r="U624" i="8"/>
  <c r="V624" i="8"/>
  <c r="W624" i="8"/>
  <c r="X624" i="8"/>
  <c r="Y624" i="8"/>
  <c r="Z624" i="8"/>
  <c r="AA624" i="8"/>
  <c r="AB624" i="8"/>
  <c r="AC624" i="8"/>
  <c r="AD624" i="8"/>
  <c r="Q625" i="8"/>
  <c r="R625" i="8"/>
  <c r="S625" i="8"/>
  <c r="T625" i="8"/>
  <c r="U625" i="8"/>
  <c r="V625" i="8"/>
  <c r="W625" i="8"/>
  <c r="X625" i="8"/>
  <c r="Y625" i="8"/>
  <c r="Z625" i="8"/>
  <c r="AA625" i="8"/>
  <c r="AB625" i="8"/>
  <c r="AC625" i="8"/>
  <c r="AD625" i="8"/>
  <c r="Q626" i="8"/>
  <c r="R626" i="8"/>
  <c r="S626" i="8"/>
  <c r="T626" i="8"/>
  <c r="U626" i="8"/>
  <c r="V626" i="8"/>
  <c r="W626" i="8"/>
  <c r="X626" i="8"/>
  <c r="Y626" i="8"/>
  <c r="Z626" i="8"/>
  <c r="AA626" i="8"/>
  <c r="AB626" i="8"/>
  <c r="AC626" i="8"/>
  <c r="AD626" i="8"/>
  <c r="Q627" i="8"/>
  <c r="R627" i="8"/>
  <c r="S627" i="8"/>
  <c r="T627" i="8"/>
  <c r="U627" i="8"/>
  <c r="V627" i="8"/>
  <c r="W627" i="8"/>
  <c r="X627" i="8"/>
  <c r="Y627" i="8"/>
  <c r="Z627" i="8"/>
  <c r="AA627" i="8"/>
  <c r="AB627" i="8"/>
  <c r="AC627" i="8"/>
  <c r="AD627" i="8"/>
  <c r="Q628" i="8"/>
  <c r="R628" i="8"/>
  <c r="S628" i="8"/>
  <c r="T628" i="8"/>
  <c r="U628" i="8"/>
  <c r="V628" i="8"/>
  <c r="W628" i="8"/>
  <c r="X628" i="8"/>
  <c r="Y628" i="8"/>
  <c r="Z628" i="8"/>
  <c r="AA628" i="8"/>
  <c r="AB628" i="8"/>
  <c r="AC628" i="8"/>
  <c r="AD628" i="8"/>
  <c r="Q629" i="8"/>
  <c r="R629" i="8"/>
  <c r="S629" i="8"/>
  <c r="T629" i="8"/>
  <c r="U629" i="8"/>
  <c r="V629" i="8"/>
  <c r="W629" i="8"/>
  <c r="X629" i="8"/>
  <c r="Y629" i="8"/>
  <c r="Z629" i="8"/>
  <c r="AA629" i="8"/>
  <c r="AB629" i="8"/>
  <c r="AC629" i="8"/>
  <c r="AD629" i="8"/>
  <c r="Q630" i="8"/>
  <c r="R630" i="8"/>
  <c r="S630" i="8"/>
  <c r="T630" i="8"/>
  <c r="U630" i="8"/>
  <c r="V630" i="8"/>
  <c r="W630" i="8"/>
  <c r="X630" i="8"/>
  <c r="Y630" i="8"/>
  <c r="Z630" i="8"/>
  <c r="AA630" i="8"/>
  <c r="AB630" i="8"/>
  <c r="AC630" i="8"/>
  <c r="AD630" i="8"/>
  <c r="Q631" i="8"/>
  <c r="R631" i="8"/>
  <c r="S631" i="8"/>
  <c r="T631" i="8"/>
  <c r="U631" i="8"/>
  <c r="V631" i="8"/>
  <c r="W631" i="8"/>
  <c r="X631" i="8"/>
  <c r="Y631" i="8"/>
  <c r="Z631" i="8"/>
  <c r="AA631" i="8"/>
  <c r="AB631" i="8"/>
  <c r="AC631" i="8"/>
  <c r="AD631" i="8"/>
  <c r="Q632" i="8"/>
  <c r="R632" i="8"/>
  <c r="S632" i="8"/>
  <c r="T632" i="8"/>
  <c r="U632" i="8"/>
  <c r="V632" i="8"/>
  <c r="W632" i="8"/>
  <c r="X632" i="8"/>
  <c r="Y632" i="8"/>
  <c r="Z632" i="8"/>
  <c r="AA632" i="8"/>
  <c r="AB632" i="8"/>
  <c r="AC632" i="8"/>
  <c r="AD632" i="8"/>
  <c r="Q633" i="8"/>
  <c r="R633" i="8"/>
  <c r="S633" i="8"/>
  <c r="T633" i="8"/>
  <c r="U633" i="8"/>
  <c r="V633" i="8"/>
  <c r="W633" i="8"/>
  <c r="X633" i="8"/>
  <c r="Y633" i="8"/>
  <c r="Z633" i="8"/>
  <c r="AA633" i="8"/>
  <c r="AB633" i="8"/>
  <c r="AC633" i="8"/>
  <c r="AD633" i="8"/>
  <c r="Q634" i="8"/>
  <c r="R634" i="8"/>
  <c r="S634" i="8"/>
  <c r="T634" i="8"/>
  <c r="U634" i="8"/>
  <c r="V634" i="8"/>
  <c r="W634" i="8"/>
  <c r="X634" i="8"/>
  <c r="Y634" i="8"/>
  <c r="Z634" i="8"/>
  <c r="AA634" i="8"/>
  <c r="AB634" i="8"/>
  <c r="AC634" i="8"/>
  <c r="AD634" i="8"/>
  <c r="Q635" i="8"/>
  <c r="R635" i="8"/>
  <c r="S635" i="8"/>
  <c r="T635" i="8"/>
  <c r="U635" i="8"/>
  <c r="V635" i="8"/>
  <c r="W635" i="8"/>
  <c r="X635" i="8"/>
  <c r="Y635" i="8"/>
  <c r="Z635" i="8"/>
  <c r="AA635" i="8"/>
  <c r="AB635" i="8"/>
  <c r="AC635" i="8"/>
  <c r="AD635" i="8"/>
  <c r="Q636" i="8"/>
  <c r="R636" i="8"/>
  <c r="S636" i="8"/>
  <c r="T636" i="8"/>
  <c r="U636" i="8"/>
  <c r="V636" i="8"/>
  <c r="W636" i="8"/>
  <c r="X636" i="8"/>
  <c r="Y636" i="8"/>
  <c r="Z636" i="8"/>
  <c r="AA636" i="8"/>
  <c r="AB636" i="8"/>
  <c r="AC636" i="8"/>
  <c r="AD636" i="8"/>
  <c r="Q637" i="8"/>
  <c r="R637" i="8"/>
  <c r="S637" i="8"/>
  <c r="T637" i="8"/>
  <c r="U637" i="8"/>
  <c r="V637" i="8"/>
  <c r="W637" i="8"/>
  <c r="X637" i="8"/>
  <c r="Y637" i="8"/>
  <c r="Z637" i="8"/>
  <c r="AA637" i="8"/>
  <c r="AB637" i="8"/>
  <c r="AC637" i="8"/>
  <c r="AD637" i="8"/>
  <c r="Q638" i="8"/>
  <c r="R638" i="8"/>
  <c r="S638" i="8"/>
  <c r="T638" i="8"/>
  <c r="U638" i="8"/>
  <c r="V638" i="8"/>
  <c r="W638" i="8"/>
  <c r="X638" i="8"/>
  <c r="Y638" i="8"/>
  <c r="Z638" i="8"/>
  <c r="AA638" i="8"/>
  <c r="AB638" i="8"/>
  <c r="AC638" i="8"/>
  <c r="AD638" i="8"/>
  <c r="Q639" i="8"/>
  <c r="R639" i="8"/>
  <c r="S639" i="8"/>
  <c r="T639" i="8"/>
  <c r="U639" i="8"/>
  <c r="V639" i="8"/>
  <c r="W639" i="8"/>
  <c r="X639" i="8"/>
  <c r="Y639" i="8"/>
  <c r="Z639" i="8"/>
  <c r="AA639" i="8"/>
  <c r="AB639" i="8"/>
  <c r="AC639" i="8"/>
  <c r="AD639" i="8"/>
  <c r="Q640" i="8"/>
  <c r="R640" i="8"/>
  <c r="S640" i="8"/>
  <c r="T640" i="8"/>
  <c r="U640" i="8"/>
  <c r="V640" i="8"/>
  <c r="W640" i="8"/>
  <c r="X640" i="8"/>
  <c r="Y640" i="8"/>
  <c r="Z640" i="8"/>
  <c r="AA640" i="8"/>
  <c r="AB640" i="8"/>
  <c r="AC640" i="8"/>
  <c r="AD640" i="8"/>
  <c r="Q641" i="8"/>
  <c r="R641" i="8"/>
  <c r="S641" i="8"/>
  <c r="T641" i="8"/>
  <c r="U641" i="8"/>
  <c r="V641" i="8"/>
  <c r="W641" i="8"/>
  <c r="X641" i="8"/>
  <c r="Y641" i="8"/>
  <c r="Z641" i="8"/>
  <c r="AA641" i="8"/>
  <c r="AB641" i="8"/>
  <c r="AC641" i="8"/>
  <c r="AD641" i="8"/>
  <c r="Q642" i="8"/>
  <c r="R642" i="8"/>
  <c r="S642" i="8"/>
  <c r="T642" i="8"/>
  <c r="U642" i="8"/>
  <c r="V642" i="8"/>
  <c r="W642" i="8"/>
  <c r="X642" i="8"/>
  <c r="Y642" i="8"/>
  <c r="Z642" i="8"/>
  <c r="AA642" i="8"/>
  <c r="AB642" i="8"/>
  <c r="AC642" i="8"/>
  <c r="AD642" i="8"/>
  <c r="Q643" i="8"/>
  <c r="R643" i="8"/>
  <c r="S643" i="8"/>
  <c r="T643" i="8"/>
  <c r="U643" i="8"/>
  <c r="V643" i="8"/>
  <c r="W643" i="8"/>
  <c r="X643" i="8"/>
  <c r="Y643" i="8"/>
  <c r="Z643" i="8"/>
  <c r="AA643" i="8"/>
  <c r="AB643" i="8"/>
  <c r="AC643" i="8"/>
  <c r="AD643" i="8"/>
  <c r="Q644" i="8"/>
  <c r="R644" i="8"/>
  <c r="S644" i="8"/>
  <c r="T644" i="8"/>
  <c r="U644" i="8"/>
  <c r="V644" i="8"/>
  <c r="W644" i="8"/>
  <c r="X644" i="8"/>
  <c r="Y644" i="8"/>
  <c r="Z644" i="8"/>
  <c r="AA644" i="8"/>
  <c r="AB644" i="8"/>
  <c r="AC644" i="8"/>
  <c r="AD644" i="8"/>
  <c r="Q645" i="8"/>
  <c r="R645" i="8"/>
  <c r="S645" i="8"/>
  <c r="T645" i="8"/>
  <c r="U645" i="8"/>
  <c r="V645" i="8"/>
  <c r="W645" i="8"/>
  <c r="X645" i="8"/>
  <c r="Y645" i="8"/>
  <c r="Z645" i="8"/>
  <c r="AA645" i="8"/>
  <c r="AB645" i="8"/>
  <c r="AC645" i="8"/>
  <c r="AD645" i="8"/>
  <c r="Q646" i="8"/>
  <c r="R646" i="8"/>
  <c r="S646" i="8"/>
  <c r="T646" i="8"/>
  <c r="U646" i="8"/>
  <c r="V646" i="8"/>
  <c r="W646" i="8"/>
  <c r="X646" i="8"/>
  <c r="Y646" i="8"/>
  <c r="Z646" i="8"/>
  <c r="AA646" i="8"/>
  <c r="AB646" i="8"/>
  <c r="AC646" i="8"/>
  <c r="AD646" i="8"/>
  <c r="Q647" i="8"/>
  <c r="R647" i="8"/>
  <c r="S647" i="8"/>
  <c r="T647" i="8"/>
  <c r="U647" i="8"/>
  <c r="V647" i="8"/>
  <c r="W647" i="8"/>
  <c r="X647" i="8"/>
  <c r="Y647" i="8"/>
  <c r="Z647" i="8"/>
  <c r="AA647" i="8"/>
  <c r="AB647" i="8"/>
  <c r="AC647" i="8"/>
  <c r="AD647" i="8"/>
  <c r="Q648" i="8"/>
  <c r="R648" i="8"/>
  <c r="S648" i="8"/>
  <c r="T648" i="8"/>
  <c r="U648" i="8"/>
  <c r="V648" i="8"/>
  <c r="W648" i="8"/>
  <c r="X648" i="8"/>
  <c r="Y648" i="8"/>
  <c r="Z648" i="8"/>
  <c r="AA648" i="8"/>
  <c r="AB648" i="8"/>
  <c r="AC648" i="8"/>
  <c r="AD648" i="8"/>
  <c r="Q649" i="8"/>
  <c r="R649" i="8"/>
  <c r="S649" i="8"/>
  <c r="T649" i="8"/>
  <c r="U649" i="8"/>
  <c r="V649" i="8"/>
  <c r="W649" i="8"/>
  <c r="X649" i="8"/>
  <c r="Y649" i="8"/>
  <c r="Z649" i="8"/>
  <c r="AA649" i="8"/>
  <c r="AB649" i="8"/>
  <c r="AC649" i="8"/>
  <c r="AD649" i="8"/>
  <c r="Q650" i="8"/>
  <c r="R650" i="8"/>
  <c r="S650" i="8"/>
  <c r="T650" i="8"/>
  <c r="U650" i="8"/>
  <c r="V650" i="8"/>
  <c r="W650" i="8"/>
  <c r="X650" i="8"/>
  <c r="Y650" i="8"/>
  <c r="Z650" i="8"/>
  <c r="AA650" i="8"/>
  <c r="AB650" i="8"/>
  <c r="AC650" i="8"/>
  <c r="AD650" i="8"/>
  <c r="Q651" i="8"/>
  <c r="R651" i="8"/>
  <c r="S651" i="8"/>
  <c r="T651" i="8"/>
  <c r="U651" i="8"/>
  <c r="V651" i="8"/>
  <c r="W651" i="8"/>
  <c r="X651" i="8"/>
  <c r="Y651" i="8"/>
  <c r="Z651" i="8"/>
  <c r="AA651" i="8"/>
  <c r="AB651" i="8"/>
  <c r="AC651" i="8"/>
  <c r="AD651" i="8"/>
  <c r="Q652" i="8"/>
  <c r="R652" i="8"/>
  <c r="S652" i="8"/>
  <c r="T652" i="8"/>
  <c r="U652" i="8"/>
  <c r="V652" i="8"/>
  <c r="W652" i="8"/>
  <c r="X652" i="8"/>
  <c r="Y652" i="8"/>
  <c r="Z652" i="8"/>
  <c r="AA652" i="8"/>
  <c r="AB652" i="8"/>
  <c r="AC652" i="8"/>
  <c r="AD652" i="8"/>
  <c r="Q653" i="8"/>
  <c r="R653" i="8"/>
  <c r="S653" i="8"/>
  <c r="T653" i="8"/>
  <c r="U653" i="8"/>
  <c r="V653" i="8"/>
  <c r="W653" i="8"/>
  <c r="X653" i="8"/>
  <c r="Y653" i="8"/>
  <c r="Z653" i="8"/>
  <c r="AA653" i="8"/>
  <c r="AB653" i="8"/>
  <c r="AC653" i="8"/>
  <c r="AD653" i="8"/>
  <c r="Q654" i="8"/>
  <c r="R654" i="8"/>
  <c r="S654" i="8"/>
  <c r="T654" i="8"/>
  <c r="U654" i="8"/>
  <c r="V654" i="8"/>
  <c r="W654" i="8"/>
  <c r="X654" i="8"/>
  <c r="Y654" i="8"/>
  <c r="Z654" i="8"/>
  <c r="AA654" i="8"/>
  <c r="AB654" i="8"/>
  <c r="AC654" i="8"/>
  <c r="AD654" i="8"/>
  <c r="Q655" i="8"/>
  <c r="R655" i="8"/>
  <c r="S655" i="8"/>
  <c r="T655" i="8"/>
  <c r="U655" i="8"/>
  <c r="V655" i="8"/>
  <c r="W655" i="8"/>
  <c r="X655" i="8"/>
  <c r="Y655" i="8"/>
  <c r="Z655" i="8"/>
  <c r="AA655" i="8"/>
  <c r="AB655" i="8"/>
  <c r="AC655" i="8"/>
  <c r="AD655" i="8"/>
  <c r="Q656" i="8"/>
  <c r="R656" i="8"/>
  <c r="S656" i="8"/>
  <c r="T656" i="8"/>
  <c r="U656" i="8"/>
  <c r="V656" i="8"/>
  <c r="W656" i="8"/>
  <c r="X656" i="8"/>
  <c r="Y656" i="8"/>
  <c r="Z656" i="8"/>
  <c r="AA656" i="8"/>
  <c r="AB656" i="8"/>
  <c r="AC656" i="8"/>
  <c r="AD656" i="8"/>
  <c r="Q657" i="8"/>
  <c r="R657" i="8"/>
  <c r="S657" i="8"/>
  <c r="T657" i="8"/>
  <c r="U657" i="8"/>
  <c r="V657" i="8"/>
  <c r="W657" i="8"/>
  <c r="X657" i="8"/>
  <c r="Y657" i="8"/>
  <c r="Z657" i="8"/>
  <c r="AA657" i="8"/>
  <c r="AB657" i="8"/>
  <c r="AC657" i="8"/>
  <c r="AD657" i="8"/>
  <c r="Q658" i="8"/>
  <c r="R658" i="8"/>
  <c r="S658" i="8"/>
  <c r="T658" i="8"/>
  <c r="U658" i="8"/>
  <c r="V658" i="8"/>
  <c r="W658" i="8"/>
  <c r="X658" i="8"/>
  <c r="Y658" i="8"/>
  <c r="Z658" i="8"/>
  <c r="AA658" i="8"/>
  <c r="AB658" i="8"/>
  <c r="AC658" i="8"/>
  <c r="AD658" i="8"/>
  <c r="Q659" i="8"/>
  <c r="R659" i="8"/>
  <c r="S659" i="8"/>
  <c r="T659" i="8"/>
  <c r="U659" i="8"/>
  <c r="V659" i="8"/>
  <c r="W659" i="8"/>
  <c r="X659" i="8"/>
  <c r="Y659" i="8"/>
  <c r="Z659" i="8"/>
  <c r="AA659" i="8"/>
  <c r="AB659" i="8"/>
  <c r="AC659" i="8"/>
  <c r="AD659" i="8"/>
  <c r="Q660" i="8"/>
  <c r="R660" i="8"/>
  <c r="S660" i="8"/>
  <c r="T660" i="8"/>
  <c r="U660" i="8"/>
  <c r="V660" i="8"/>
  <c r="W660" i="8"/>
  <c r="X660" i="8"/>
  <c r="Y660" i="8"/>
  <c r="Z660" i="8"/>
  <c r="AA660" i="8"/>
  <c r="AB660" i="8"/>
  <c r="AC660" i="8"/>
  <c r="AD660" i="8"/>
  <c r="Q661" i="8"/>
  <c r="R661" i="8"/>
  <c r="S661" i="8"/>
  <c r="T661" i="8"/>
  <c r="U661" i="8"/>
  <c r="V661" i="8"/>
  <c r="W661" i="8"/>
  <c r="X661" i="8"/>
  <c r="Y661" i="8"/>
  <c r="Z661" i="8"/>
  <c r="AA661" i="8"/>
  <c r="AB661" i="8"/>
  <c r="AC661" i="8"/>
  <c r="AD661" i="8"/>
  <c r="Q662" i="8"/>
  <c r="R662" i="8"/>
  <c r="S662" i="8"/>
  <c r="T662" i="8"/>
  <c r="U662" i="8"/>
  <c r="V662" i="8"/>
  <c r="W662" i="8"/>
  <c r="X662" i="8"/>
  <c r="Y662" i="8"/>
  <c r="Z662" i="8"/>
  <c r="AA662" i="8"/>
  <c r="AB662" i="8"/>
  <c r="AC662" i="8"/>
  <c r="AD662" i="8"/>
  <c r="Q663" i="8"/>
  <c r="R663" i="8"/>
  <c r="S663" i="8"/>
  <c r="T663" i="8"/>
  <c r="U663" i="8"/>
  <c r="V663" i="8"/>
  <c r="W663" i="8"/>
  <c r="X663" i="8"/>
  <c r="Y663" i="8"/>
  <c r="Z663" i="8"/>
  <c r="AA663" i="8"/>
  <c r="AB663" i="8"/>
  <c r="AC663" i="8"/>
  <c r="AD663" i="8"/>
  <c r="Q664" i="8"/>
  <c r="R664" i="8"/>
  <c r="S664" i="8"/>
  <c r="T664" i="8"/>
  <c r="U664" i="8"/>
  <c r="V664" i="8"/>
  <c r="W664" i="8"/>
  <c r="X664" i="8"/>
  <c r="Y664" i="8"/>
  <c r="Z664" i="8"/>
  <c r="AA664" i="8"/>
  <c r="AB664" i="8"/>
  <c r="AC664" i="8"/>
  <c r="AD664" i="8"/>
  <c r="Q665" i="8"/>
  <c r="R665" i="8"/>
  <c r="S665" i="8"/>
  <c r="T665" i="8"/>
  <c r="U665" i="8"/>
  <c r="V665" i="8"/>
  <c r="W665" i="8"/>
  <c r="X665" i="8"/>
  <c r="Y665" i="8"/>
  <c r="Z665" i="8"/>
  <c r="AA665" i="8"/>
  <c r="AB665" i="8"/>
  <c r="AC665" i="8"/>
  <c r="AD665" i="8"/>
  <c r="Q666" i="8"/>
  <c r="R666" i="8"/>
  <c r="S666" i="8"/>
  <c r="T666" i="8"/>
  <c r="U666" i="8"/>
  <c r="V666" i="8"/>
  <c r="W666" i="8"/>
  <c r="X666" i="8"/>
  <c r="Y666" i="8"/>
  <c r="Z666" i="8"/>
  <c r="AA666" i="8"/>
  <c r="AB666" i="8"/>
  <c r="AC666" i="8"/>
  <c r="AD666" i="8"/>
  <c r="Q667" i="8"/>
  <c r="R667" i="8"/>
  <c r="S667" i="8"/>
  <c r="T667" i="8"/>
  <c r="U667" i="8"/>
  <c r="V667" i="8"/>
  <c r="W667" i="8"/>
  <c r="X667" i="8"/>
  <c r="Y667" i="8"/>
  <c r="Z667" i="8"/>
  <c r="AA667" i="8"/>
  <c r="AB667" i="8"/>
  <c r="AC667" i="8"/>
  <c r="AD667" i="8"/>
  <c r="Q668" i="8"/>
  <c r="R668" i="8"/>
  <c r="S668" i="8"/>
  <c r="T668" i="8"/>
  <c r="U668" i="8"/>
  <c r="V668" i="8"/>
  <c r="W668" i="8"/>
  <c r="X668" i="8"/>
  <c r="Y668" i="8"/>
  <c r="Z668" i="8"/>
  <c r="AA668" i="8"/>
  <c r="AB668" i="8"/>
  <c r="AC668" i="8"/>
  <c r="AD668" i="8"/>
  <c r="Q669" i="8"/>
  <c r="R669" i="8"/>
  <c r="S669" i="8"/>
  <c r="T669" i="8"/>
  <c r="U669" i="8"/>
  <c r="V669" i="8"/>
  <c r="W669" i="8"/>
  <c r="X669" i="8"/>
  <c r="Y669" i="8"/>
  <c r="Z669" i="8"/>
  <c r="AA669" i="8"/>
  <c r="AB669" i="8"/>
  <c r="AC669" i="8"/>
  <c r="AD669" i="8"/>
  <c r="Q670" i="8"/>
  <c r="R670" i="8"/>
  <c r="S670" i="8"/>
  <c r="T670" i="8"/>
  <c r="U670" i="8"/>
  <c r="V670" i="8"/>
  <c r="W670" i="8"/>
  <c r="X670" i="8"/>
  <c r="Y670" i="8"/>
  <c r="Z670" i="8"/>
  <c r="AA670" i="8"/>
  <c r="AB670" i="8"/>
  <c r="AC670" i="8"/>
  <c r="AD670" i="8"/>
  <c r="Q671" i="8"/>
  <c r="R671" i="8"/>
  <c r="S671" i="8"/>
  <c r="T671" i="8"/>
  <c r="U671" i="8"/>
  <c r="V671" i="8"/>
  <c r="W671" i="8"/>
  <c r="X671" i="8"/>
  <c r="Y671" i="8"/>
  <c r="Z671" i="8"/>
  <c r="AA671" i="8"/>
  <c r="AB671" i="8"/>
  <c r="AC671" i="8"/>
  <c r="AD671" i="8"/>
  <c r="Q672" i="8"/>
  <c r="R672" i="8"/>
  <c r="S672" i="8"/>
  <c r="T672" i="8"/>
  <c r="U672" i="8"/>
  <c r="V672" i="8"/>
  <c r="W672" i="8"/>
  <c r="X672" i="8"/>
  <c r="Y672" i="8"/>
  <c r="Z672" i="8"/>
  <c r="AA672" i="8"/>
  <c r="AB672" i="8"/>
  <c r="AC672" i="8"/>
  <c r="AD672" i="8"/>
  <c r="Q673" i="8"/>
  <c r="R673" i="8"/>
  <c r="S673" i="8"/>
  <c r="T673" i="8"/>
  <c r="U673" i="8"/>
  <c r="V673" i="8"/>
  <c r="W673" i="8"/>
  <c r="X673" i="8"/>
  <c r="Y673" i="8"/>
  <c r="Z673" i="8"/>
  <c r="AA673" i="8"/>
  <c r="AB673" i="8"/>
  <c r="AC673" i="8"/>
  <c r="AD673" i="8"/>
  <c r="Q674" i="8"/>
  <c r="R674" i="8"/>
  <c r="S674" i="8"/>
  <c r="T674" i="8"/>
  <c r="U674" i="8"/>
  <c r="V674" i="8"/>
  <c r="W674" i="8"/>
  <c r="X674" i="8"/>
  <c r="Y674" i="8"/>
  <c r="Z674" i="8"/>
  <c r="AA674" i="8"/>
  <c r="AB674" i="8"/>
  <c r="AC674" i="8"/>
  <c r="AD674" i="8"/>
  <c r="Q675" i="8"/>
  <c r="R675" i="8"/>
  <c r="S675" i="8"/>
  <c r="T675" i="8"/>
  <c r="U675" i="8"/>
  <c r="V675" i="8"/>
  <c r="W675" i="8"/>
  <c r="X675" i="8"/>
  <c r="Y675" i="8"/>
  <c r="Z675" i="8"/>
  <c r="AA675" i="8"/>
  <c r="AB675" i="8"/>
  <c r="AC675" i="8"/>
  <c r="AD675" i="8"/>
  <c r="Q676" i="8"/>
  <c r="R676" i="8"/>
  <c r="S676" i="8"/>
  <c r="T676" i="8"/>
  <c r="U676" i="8"/>
  <c r="V676" i="8"/>
  <c r="W676" i="8"/>
  <c r="X676" i="8"/>
  <c r="Y676" i="8"/>
  <c r="Z676" i="8"/>
  <c r="AA676" i="8"/>
  <c r="AB676" i="8"/>
  <c r="AC676" i="8"/>
  <c r="AD676" i="8"/>
  <c r="Q677" i="8"/>
  <c r="R677" i="8"/>
  <c r="S677" i="8"/>
  <c r="T677" i="8"/>
  <c r="U677" i="8"/>
  <c r="V677" i="8"/>
  <c r="W677" i="8"/>
  <c r="X677" i="8"/>
  <c r="Y677" i="8"/>
  <c r="Z677" i="8"/>
  <c r="AA677" i="8"/>
  <c r="AB677" i="8"/>
  <c r="AC677" i="8"/>
  <c r="AD677" i="8"/>
  <c r="Q678" i="8"/>
  <c r="R678" i="8"/>
  <c r="S678" i="8"/>
  <c r="T678" i="8"/>
  <c r="U678" i="8"/>
  <c r="V678" i="8"/>
  <c r="W678" i="8"/>
  <c r="X678" i="8"/>
  <c r="Y678" i="8"/>
  <c r="Z678" i="8"/>
  <c r="AA678" i="8"/>
  <c r="AB678" i="8"/>
  <c r="AC678" i="8"/>
  <c r="AD678" i="8"/>
  <c r="Q679" i="8"/>
  <c r="R679" i="8"/>
  <c r="S679" i="8"/>
  <c r="T679" i="8"/>
  <c r="U679" i="8"/>
  <c r="V679" i="8"/>
  <c r="W679" i="8"/>
  <c r="X679" i="8"/>
  <c r="Y679" i="8"/>
  <c r="Z679" i="8"/>
  <c r="AA679" i="8"/>
  <c r="AB679" i="8"/>
  <c r="AC679" i="8"/>
  <c r="AD679" i="8"/>
  <c r="Q680" i="8"/>
  <c r="R680" i="8"/>
  <c r="S680" i="8"/>
  <c r="T680" i="8"/>
  <c r="U680" i="8"/>
  <c r="V680" i="8"/>
  <c r="W680" i="8"/>
  <c r="X680" i="8"/>
  <c r="Y680" i="8"/>
  <c r="Z680" i="8"/>
  <c r="AA680" i="8"/>
  <c r="AB680" i="8"/>
  <c r="AC680" i="8"/>
  <c r="AD680" i="8"/>
  <c r="Q681" i="8"/>
  <c r="R681" i="8"/>
  <c r="S681" i="8"/>
  <c r="T681" i="8"/>
  <c r="U681" i="8"/>
  <c r="V681" i="8"/>
  <c r="W681" i="8"/>
  <c r="X681" i="8"/>
  <c r="Y681" i="8"/>
  <c r="Z681" i="8"/>
  <c r="AA681" i="8"/>
  <c r="AB681" i="8"/>
  <c r="AC681" i="8"/>
  <c r="AD681" i="8"/>
  <c r="Q682" i="8"/>
  <c r="R682" i="8"/>
  <c r="S682" i="8"/>
  <c r="T682" i="8"/>
  <c r="U682" i="8"/>
  <c r="V682" i="8"/>
  <c r="W682" i="8"/>
  <c r="X682" i="8"/>
  <c r="Y682" i="8"/>
  <c r="Z682" i="8"/>
  <c r="AA682" i="8"/>
  <c r="AB682" i="8"/>
  <c r="AC682" i="8"/>
  <c r="AD682" i="8"/>
  <c r="Q683" i="8"/>
  <c r="R683" i="8"/>
  <c r="S683" i="8"/>
  <c r="T683" i="8"/>
  <c r="U683" i="8"/>
  <c r="V683" i="8"/>
  <c r="W683" i="8"/>
  <c r="X683" i="8"/>
  <c r="Y683" i="8"/>
  <c r="Z683" i="8"/>
  <c r="AA683" i="8"/>
  <c r="AB683" i="8"/>
  <c r="AC683" i="8"/>
  <c r="AD683" i="8"/>
  <c r="Q684" i="8"/>
  <c r="R684" i="8"/>
  <c r="S684" i="8"/>
  <c r="T684" i="8"/>
  <c r="U684" i="8"/>
  <c r="V684" i="8"/>
  <c r="W684" i="8"/>
  <c r="X684" i="8"/>
  <c r="Y684" i="8"/>
  <c r="Z684" i="8"/>
  <c r="AA684" i="8"/>
  <c r="AB684" i="8"/>
  <c r="AC684" i="8"/>
  <c r="AD684" i="8"/>
  <c r="Q685" i="8"/>
  <c r="R685" i="8"/>
  <c r="S685" i="8"/>
  <c r="T685" i="8"/>
  <c r="U685" i="8"/>
  <c r="V685" i="8"/>
  <c r="W685" i="8"/>
  <c r="X685" i="8"/>
  <c r="Y685" i="8"/>
  <c r="Z685" i="8"/>
  <c r="AA685" i="8"/>
  <c r="AB685" i="8"/>
  <c r="AC685" i="8"/>
  <c r="AD685" i="8"/>
  <c r="Q686" i="8"/>
  <c r="R686" i="8"/>
  <c r="S686" i="8"/>
  <c r="T686" i="8"/>
  <c r="U686" i="8"/>
  <c r="V686" i="8"/>
  <c r="W686" i="8"/>
  <c r="X686" i="8"/>
  <c r="Y686" i="8"/>
  <c r="Z686" i="8"/>
  <c r="AA686" i="8"/>
  <c r="AB686" i="8"/>
  <c r="AC686" i="8"/>
  <c r="AD686" i="8"/>
  <c r="Q687" i="8"/>
  <c r="R687" i="8"/>
  <c r="S687" i="8"/>
  <c r="T687" i="8"/>
  <c r="U687" i="8"/>
  <c r="V687" i="8"/>
  <c r="W687" i="8"/>
  <c r="X687" i="8"/>
  <c r="Y687" i="8"/>
  <c r="Z687" i="8"/>
  <c r="AA687" i="8"/>
  <c r="AB687" i="8"/>
  <c r="AC687" i="8"/>
  <c r="AD687" i="8"/>
  <c r="Q688" i="8"/>
  <c r="R688" i="8"/>
  <c r="S688" i="8"/>
  <c r="T688" i="8"/>
  <c r="U688" i="8"/>
  <c r="V688" i="8"/>
  <c r="W688" i="8"/>
  <c r="X688" i="8"/>
  <c r="Y688" i="8"/>
  <c r="Z688" i="8"/>
  <c r="AA688" i="8"/>
  <c r="AB688" i="8"/>
  <c r="AC688" i="8"/>
  <c r="AD688" i="8"/>
  <c r="Q689" i="8"/>
  <c r="R689" i="8"/>
  <c r="S689" i="8"/>
  <c r="T689" i="8"/>
  <c r="U689" i="8"/>
  <c r="V689" i="8"/>
  <c r="W689" i="8"/>
  <c r="X689" i="8"/>
  <c r="Y689" i="8"/>
  <c r="Z689" i="8"/>
  <c r="AA689" i="8"/>
  <c r="AB689" i="8"/>
  <c r="AC689" i="8"/>
  <c r="AD689" i="8"/>
  <c r="Q690" i="8"/>
  <c r="R690" i="8"/>
  <c r="S690" i="8"/>
  <c r="T690" i="8"/>
  <c r="U690" i="8"/>
  <c r="V690" i="8"/>
  <c r="W690" i="8"/>
  <c r="X690" i="8"/>
  <c r="Y690" i="8"/>
  <c r="Z690" i="8"/>
  <c r="AA690" i="8"/>
  <c r="AB690" i="8"/>
  <c r="AC690" i="8"/>
  <c r="AD690" i="8"/>
  <c r="Q691" i="8"/>
  <c r="R691" i="8"/>
  <c r="S691" i="8"/>
  <c r="T691" i="8"/>
  <c r="U691" i="8"/>
  <c r="V691" i="8"/>
  <c r="W691" i="8"/>
  <c r="X691" i="8"/>
  <c r="Y691" i="8"/>
  <c r="Z691" i="8"/>
  <c r="AA691" i="8"/>
  <c r="AB691" i="8"/>
  <c r="AC691" i="8"/>
  <c r="AD691" i="8"/>
  <c r="Q692" i="8"/>
  <c r="R692" i="8"/>
  <c r="S692" i="8"/>
  <c r="T692" i="8"/>
  <c r="U692" i="8"/>
  <c r="V692" i="8"/>
  <c r="W692" i="8"/>
  <c r="X692" i="8"/>
  <c r="Y692" i="8"/>
  <c r="Z692" i="8"/>
  <c r="AA692" i="8"/>
  <c r="AB692" i="8"/>
  <c r="AC692" i="8"/>
  <c r="AD692" i="8"/>
  <c r="Q693" i="8"/>
  <c r="R693" i="8"/>
  <c r="S693" i="8"/>
  <c r="T693" i="8"/>
  <c r="U693" i="8"/>
  <c r="V693" i="8"/>
  <c r="W693" i="8"/>
  <c r="X693" i="8"/>
  <c r="Y693" i="8"/>
  <c r="Z693" i="8"/>
  <c r="AA693" i="8"/>
  <c r="AB693" i="8"/>
  <c r="AC693" i="8"/>
  <c r="AD693" i="8"/>
  <c r="Q694" i="8"/>
  <c r="R694" i="8"/>
  <c r="S694" i="8"/>
  <c r="T694" i="8"/>
  <c r="U694" i="8"/>
  <c r="V694" i="8"/>
  <c r="W694" i="8"/>
  <c r="X694" i="8"/>
  <c r="Y694" i="8"/>
  <c r="Z694" i="8"/>
  <c r="AA694" i="8"/>
  <c r="AB694" i="8"/>
  <c r="AC694" i="8"/>
  <c r="AD694" i="8"/>
  <c r="Q695" i="8"/>
  <c r="R695" i="8"/>
  <c r="S695" i="8"/>
  <c r="T695" i="8"/>
  <c r="U695" i="8"/>
  <c r="V695" i="8"/>
  <c r="W695" i="8"/>
  <c r="X695" i="8"/>
  <c r="Y695" i="8"/>
  <c r="Z695" i="8"/>
  <c r="AA695" i="8"/>
  <c r="AB695" i="8"/>
  <c r="AC695" i="8"/>
  <c r="AD695" i="8"/>
  <c r="Q696" i="8"/>
  <c r="R696" i="8"/>
  <c r="S696" i="8"/>
  <c r="T696" i="8"/>
  <c r="U696" i="8"/>
  <c r="V696" i="8"/>
  <c r="W696" i="8"/>
  <c r="X696" i="8"/>
  <c r="Y696" i="8"/>
  <c r="Z696" i="8"/>
  <c r="AA696" i="8"/>
  <c r="AB696" i="8"/>
  <c r="AC696" i="8"/>
  <c r="AD696" i="8"/>
  <c r="Q697" i="8"/>
  <c r="R697" i="8"/>
  <c r="S697" i="8"/>
  <c r="T697" i="8"/>
  <c r="U697" i="8"/>
  <c r="V697" i="8"/>
  <c r="W697" i="8"/>
  <c r="X697" i="8"/>
  <c r="Y697" i="8"/>
  <c r="Z697" i="8"/>
  <c r="AA697" i="8"/>
  <c r="AB697" i="8"/>
  <c r="AC697" i="8"/>
  <c r="AD697" i="8"/>
  <c r="Q698" i="8"/>
  <c r="R698" i="8"/>
  <c r="S698" i="8"/>
  <c r="T698" i="8"/>
  <c r="U698" i="8"/>
  <c r="V698" i="8"/>
  <c r="W698" i="8"/>
  <c r="X698" i="8"/>
  <c r="Y698" i="8"/>
  <c r="Z698" i="8"/>
  <c r="AA698" i="8"/>
  <c r="AB698" i="8"/>
  <c r="AC698" i="8"/>
  <c r="AD698" i="8"/>
  <c r="Q699" i="8"/>
  <c r="R699" i="8"/>
  <c r="S699" i="8"/>
  <c r="T699" i="8"/>
  <c r="U699" i="8"/>
  <c r="V699" i="8"/>
  <c r="W699" i="8"/>
  <c r="X699" i="8"/>
  <c r="Y699" i="8"/>
  <c r="Z699" i="8"/>
  <c r="AA699" i="8"/>
  <c r="AB699" i="8"/>
  <c r="AC699" i="8"/>
  <c r="AD699" i="8"/>
  <c r="Q700" i="8"/>
  <c r="R700" i="8"/>
  <c r="S700" i="8"/>
  <c r="T700" i="8"/>
  <c r="U700" i="8"/>
  <c r="V700" i="8"/>
  <c r="W700" i="8"/>
  <c r="X700" i="8"/>
  <c r="Y700" i="8"/>
  <c r="Z700" i="8"/>
  <c r="AA700" i="8"/>
  <c r="AB700" i="8"/>
  <c r="AC700" i="8"/>
  <c r="AD700" i="8"/>
  <c r="Q701" i="8"/>
  <c r="R701" i="8"/>
  <c r="S701" i="8"/>
  <c r="T701" i="8"/>
  <c r="U701" i="8"/>
  <c r="V701" i="8"/>
  <c r="W701" i="8"/>
  <c r="X701" i="8"/>
  <c r="Y701" i="8"/>
  <c r="Z701" i="8"/>
  <c r="AA701" i="8"/>
  <c r="AB701" i="8"/>
  <c r="AC701" i="8"/>
  <c r="AD701" i="8"/>
  <c r="Q702" i="8"/>
  <c r="R702" i="8"/>
  <c r="S702" i="8"/>
  <c r="T702" i="8"/>
  <c r="U702" i="8"/>
  <c r="V702" i="8"/>
  <c r="W702" i="8"/>
  <c r="X702" i="8"/>
  <c r="Y702" i="8"/>
  <c r="Z702" i="8"/>
  <c r="AA702" i="8"/>
  <c r="AB702" i="8"/>
  <c r="AC702" i="8"/>
  <c r="AD702" i="8"/>
  <c r="Q703" i="8"/>
  <c r="R703" i="8"/>
  <c r="S703" i="8"/>
  <c r="T703" i="8"/>
  <c r="U703" i="8"/>
  <c r="V703" i="8"/>
  <c r="W703" i="8"/>
  <c r="X703" i="8"/>
  <c r="Y703" i="8"/>
  <c r="Z703" i="8"/>
  <c r="AA703" i="8"/>
  <c r="AB703" i="8"/>
  <c r="AC703" i="8"/>
  <c r="AD703" i="8"/>
  <c r="Q704" i="8"/>
  <c r="R704" i="8"/>
  <c r="S704" i="8"/>
  <c r="T704" i="8"/>
  <c r="U704" i="8"/>
  <c r="V704" i="8"/>
  <c r="W704" i="8"/>
  <c r="X704" i="8"/>
  <c r="Y704" i="8"/>
  <c r="Z704" i="8"/>
  <c r="AA704" i="8"/>
  <c r="AB704" i="8"/>
  <c r="AC704" i="8"/>
  <c r="AD704" i="8"/>
  <c r="Q705" i="8"/>
  <c r="R705" i="8"/>
  <c r="S705" i="8"/>
  <c r="T705" i="8"/>
  <c r="U705" i="8"/>
  <c r="V705" i="8"/>
  <c r="W705" i="8"/>
  <c r="X705" i="8"/>
  <c r="Y705" i="8"/>
  <c r="Z705" i="8"/>
  <c r="AA705" i="8"/>
  <c r="AB705" i="8"/>
  <c r="AC705" i="8"/>
  <c r="AD705" i="8"/>
  <c r="Q706" i="8"/>
  <c r="R706" i="8"/>
  <c r="S706" i="8"/>
  <c r="T706" i="8"/>
  <c r="U706" i="8"/>
  <c r="V706" i="8"/>
  <c r="W706" i="8"/>
  <c r="X706" i="8"/>
  <c r="Y706" i="8"/>
  <c r="Z706" i="8"/>
  <c r="AA706" i="8"/>
  <c r="AB706" i="8"/>
  <c r="AC706" i="8"/>
  <c r="AD706" i="8"/>
  <c r="Q707" i="8"/>
  <c r="R707" i="8"/>
  <c r="S707" i="8"/>
  <c r="T707" i="8"/>
  <c r="U707" i="8"/>
  <c r="V707" i="8"/>
  <c r="W707" i="8"/>
  <c r="X707" i="8"/>
  <c r="Y707" i="8"/>
  <c r="Z707" i="8"/>
  <c r="AA707" i="8"/>
  <c r="AB707" i="8"/>
  <c r="AC707" i="8"/>
  <c r="AD707" i="8"/>
  <c r="Q708" i="8"/>
  <c r="R708" i="8"/>
  <c r="S708" i="8"/>
  <c r="T708" i="8"/>
  <c r="U708" i="8"/>
  <c r="V708" i="8"/>
  <c r="W708" i="8"/>
  <c r="X708" i="8"/>
  <c r="Y708" i="8"/>
  <c r="Z708" i="8"/>
  <c r="AA708" i="8"/>
  <c r="AB708" i="8"/>
  <c r="AC708" i="8"/>
  <c r="AD708" i="8"/>
  <c r="Q709" i="8"/>
  <c r="R709" i="8"/>
  <c r="S709" i="8"/>
  <c r="T709" i="8"/>
  <c r="U709" i="8"/>
  <c r="V709" i="8"/>
  <c r="W709" i="8"/>
  <c r="X709" i="8"/>
  <c r="Y709" i="8"/>
  <c r="Z709" i="8"/>
  <c r="AA709" i="8"/>
  <c r="AB709" i="8"/>
  <c r="AC709" i="8"/>
  <c r="AD709" i="8"/>
  <c r="Q710" i="8"/>
  <c r="R710" i="8"/>
  <c r="S710" i="8"/>
  <c r="T710" i="8"/>
  <c r="U710" i="8"/>
  <c r="V710" i="8"/>
  <c r="W710" i="8"/>
  <c r="X710" i="8"/>
  <c r="Y710" i="8"/>
  <c r="Z710" i="8"/>
  <c r="AA710" i="8"/>
  <c r="AB710" i="8"/>
  <c r="AC710" i="8"/>
  <c r="AD710" i="8"/>
  <c r="Q711" i="8"/>
  <c r="R711" i="8"/>
  <c r="S711" i="8"/>
  <c r="T711" i="8"/>
  <c r="U711" i="8"/>
  <c r="V711" i="8"/>
  <c r="W711" i="8"/>
  <c r="X711" i="8"/>
  <c r="Y711" i="8"/>
  <c r="Z711" i="8"/>
  <c r="AA711" i="8"/>
  <c r="AB711" i="8"/>
  <c r="AC711" i="8"/>
  <c r="AD711" i="8"/>
  <c r="Q712" i="8"/>
  <c r="R712" i="8"/>
  <c r="S712" i="8"/>
  <c r="T712" i="8"/>
  <c r="U712" i="8"/>
  <c r="V712" i="8"/>
  <c r="W712" i="8"/>
  <c r="X712" i="8"/>
  <c r="Y712" i="8"/>
  <c r="Z712" i="8"/>
  <c r="AA712" i="8"/>
  <c r="AB712" i="8"/>
  <c r="AC712" i="8"/>
  <c r="AD712" i="8"/>
  <c r="Q713" i="8"/>
  <c r="R713" i="8"/>
  <c r="S713" i="8"/>
  <c r="T713" i="8"/>
  <c r="U713" i="8"/>
  <c r="V713" i="8"/>
  <c r="W713" i="8"/>
  <c r="X713" i="8"/>
  <c r="Y713" i="8"/>
  <c r="Z713" i="8"/>
  <c r="AA713" i="8"/>
  <c r="AB713" i="8"/>
  <c r="AC713" i="8"/>
  <c r="AD713" i="8"/>
  <c r="Q714" i="8"/>
  <c r="R714" i="8"/>
  <c r="S714" i="8"/>
  <c r="T714" i="8"/>
  <c r="U714" i="8"/>
  <c r="V714" i="8"/>
  <c r="W714" i="8"/>
  <c r="X714" i="8"/>
  <c r="Y714" i="8"/>
  <c r="Z714" i="8"/>
  <c r="AA714" i="8"/>
  <c r="AB714" i="8"/>
  <c r="AC714" i="8"/>
  <c r="AD714" i="8"/>
  <c r="Q715" i="8"/>
  <c r="R715" i="8"/>
  <c r="S715" i="8"/>
  <c r="T715" i="8"/>
  <c r="U715" i="8"/>
  <c r="V715" i="8"/>
  <c r="W715" i="8"/>
  <c r="X715" i="8"/>
  <c r="Y715" i="8"/>
  <c r="Z715" i="8"/>
  <c r="AA715" i="8"/>
  <c r="AB715" i="8"/>
  <c r="AC715" i="8"/>
  <c r="AD715" i="8"/>
  <c r="Q716" i="8"/>
  <c r="R716" i="8"/>
  <c r="S716" i="8"/>
  <c r="T716" i="8"/>
  <c r="U716" i="8"/>
  <c r="V716" i="8"/>
  <c r="W716" i="8"/>
  <c r="X716" i="8"/>
  <c r="Y716" i="8"/>
  <c r="Z716" i="8"/>
  <c r="AA716" i="8"/>
  <c r="AB716" i="8"/>
  <c r="AC716" i="8"/>
  <c r="AD716" i="8"/>
  <c r="Q717" i="8"/>
  <c r="R717" i="8"/>
  <c r="S717" i="8"/>
  <c r="T717" i="8"/>
  <c r="U717" i="8"/>
  <c r="V717" i="8"/>
  <c r="W717" i="8"/>
  <c r="X717" i="8"/>
  <c r="Y717" i="8"/>
  <c r="Z717" i="8"/>
  <c r="AA717" i="8"/>
  <c r="AB717" i="8"/>
  <c r="AC717" i="8"/>
  <c r="AD717" i="8"/>
  <c r="Q718" i="8"/>
  <c r="R718" i="8"/>
  <c r="S718" i="8"/>
  <c r="T718" i="8"/>
  <c r="U718" i="8"/>
  <c r="V718" i="8"/>
  <c r="W718" i="8"/>
  <c r="X718" i="8"/>
  <c r="Y718" i="8"/>
  <c r="Z718" i="8"/>
  <c r="AA718" i="8"/>
  <c r="AB718" i="8"/>
  <c r="AC718" i="8"/>
  <c r="AD718" i="8"/>
  <c r="Q719" i="8"/>
  <c r="R719" i="8"/>
  <c r="S719" i="8"/>
  <c r="T719" i="8"/>
  <c r="U719" i="8"/>
  <c r="V719" i="8"/>
  <c r="W719" i="8"/>
  <c r="X719" i="8"/>
  <c r="Y719" i="8"/>
  <c r="Z719" i="8"/>
  <c r="AA719" i="8"/>
  <c r="AB719" i="8"/>
  <c r="AC719" i="8"/>
  <c r="AD719" i="8"/>
  <c r="Q720" i="8"/>
  <c r="R720" i="8"/>
  <c r="S720" i="8"/>
  <c r="T720" i="8"/>
  <c r="U720" i="8"/>
  <c r="V720" i="8"/>
  <c r="W720" i="8"/>
  <c r="X720" i="8"/>
  <c r="Y720" i="8"/>
  <c r="Z720" i="8"/>
  <c r="AA720" i="8"/>
  <c r="AB720" i="8"/>
  <c r="AC720" i="8"/>
  <c r="AD720" i="8"/>
  <c r="Q721" i="8"/>
  <c r="R721" i="8"/>
  <c r="S721" i="8"/>
  <c r="T721" i="8"/>
  <c r="U721" i="8"/>
  <c r="V721" i="8"/>
  <c r="W721" i="8"/>
  <c r="X721" i="8"/>
  <c r="Y721" i="8"/>
  <c r="Z721" i="8"/>
  <c r="AA721" i="8"/>
  <c r="AB721" i="8"/>
  <c r="AC721" i="8"/>
  <c r="AD721" i="8"/>
  <c r="Q722" i="8"/>
  <c r="R722" i="8"/>
  <c r="S722" i="8"/>
  <c r="T722" i="8"/>
  <c r="U722" i="8"/>
  <c r="V722" i="8"/>
  <c r="W722" i="8"/>
  <c r="X722" i="8"/>
  <c r="Y722" i="8"/>
  <c r="Z722" i="8"/>
  <c r="AA722" i="8"/>
  <c r="AB722" i="8"/>
  <c r="AC722" i="8"/>
  <c r="AD722" i="8"/>
  <c r="Q723" i="8"/>
  <c r="R723" i="8"/>
  <c r="S723" i="8"/>
  <c r="T723" i="8"/>
  <c r="U723" i="8"/>
  <c r="V723" i="8"/>
  <c r="W723" i="8"/>
  <c r="X723" i="8"/>
  <c r="Y723" i="8"/>
  <c r="Z723" i="8"/>
  <c r="AA723" i="8"/>
  <c r="AB723" i="8"/>
  <c r="AC723" i="8"/>
  <c r="AD723" i="8"/>
  <c r="Q724" i="8"/>
  <c r="R724" i="8"/>
  <c r="S724" i="8"/>
  <c r="T724" i="8"/>
  <c r="U724" i="8"/>
  <c r="V724" i="8"/>
  <c r="W724" i="8"/>
  <c r="X724" i="8"/>
  <c r="Y724" i="8"/>
  <c r="Z724" i="8"/>
  <c r="AA724" i="8"/>
  <c r="AB724" i="8"/>
  <c r="AC724" i="8"/>
  <c r="AD724" i="8"/>
  <c r="Q725" i="8"/>
  <c r="R725" i="8"/>
  <c r="S725" i="8"/>
  <c r="T725" i="8"/>
  <c r="U725" i="8"/>
  <c r="V725" i="8"/>
  <c r="W725" i="8"/>
  <c r="X725" i="8"/>
  <c r="Y725" i="8"/>
  <c r="Z725" i="8"/>
  <c r="AA725" i="8"/>
  <c r="AB725" i="8"/>
  <c r="AC725" i="8"/>
  <c r="AD725" i="8"/>
  <c r="Q726" i="8"/>
  <c r="R726" i="8"/>
  <c r="S726" i="8"/>
  <c r="T726" i="8"/>
  <c r="U726" i="8"/>
  <c r="V726" i="8"/>
  <c r="W726" i="8"/>
  <c r="X726" i="8"/>
  <c r="Y726" i="8"/>
  <c r="Z726" i="8"/>
  <c r="AA726" i="8"/>
  <c r="AB726" i="8"/>
  <c r="AC726" i="8"/>
  <c r="AD726" i="8"/>
  <c r="Q727" i="8"/>
  <c r="R727" i="8"/>
  <c r="S727" i="8"/>
  <c r="T727" i="8"/>
  <c r="U727" i="8"/>
  <c r="V727" i="8"/>
  <c r="W727" i="8"/>
  <c r="X727" i="8"/>
  <c r="Y727" i="8"/>
  <c r="Z727" i="8"/>
  <c r="AA727" i="8"/>
  <c r="AB727" i="8"/>
  <c r="AC727" i="8"/>
  <c r="AD727" i="8"/>
  <c r="Q728" i="8"/>
  <c r="R728" i="8"/>
  <c r="S728" i="8"/>
  <c r="T728" i="8"/>
  <c r="U728" i="8"/>
  <c r="V728" i="8"/>
  <c r="W728" i="8"/>
  <c r="X728" i="8"/>
  <c r="Y728" i="8"/>
  <c r="Z728" i="8"/>
  <c r="AA728" i="8"/>
  <c r="AB728" i="8"/>
  <c r="AC728" i="8"/>
  <c r="AD728" i="8"/>
  <c r="Q729" i="8"/>
  <c r="R729" i="8"/>
  <c r="S729" i="8"/>
  <c r="T729" i="8"/>
  <c r="U729" i="8"/>
  <c r="V729" i="8"/>
  <c r="W729" i="8"/>
  <c r="X729" i="8"/>
  <c r="Y729" i="8"/>
  <c r="Z729" i="8"/>
  <c r="AA729" i="8"/>
  <c r="AB729" i="8"/>
  <c r="AC729" i="8"/>
  <c r="AD729" i="8"/>
  <c r="Q730" i="8"/>
  <c r="R730" i="8"/>
  <c r="S730" i="8"/>
  <c r="T730" i="8"/>
  <c r="U730" i="8"/>
  <c r="V730" i="8"/>
  <c r="W730" i="8"/>
  <c r="X730" i="8"/>
  <c r="Y730" i="8"/>
  <c r="Z730" i="8"/>
  <c r="AA730" i="8"/>
  <c r="AB730" i="8"/>
  <c r="AC730" i="8"/>
  <c r="AD730" i="8"/>
  <c r="Q731" i="8"/>
  <c r="R731" i="8"/>
  <c r="S731" i="8"/>
  <c r="T731" i="8"/>
  <c r="U731" i="8"/>
  <c r="V731" i="8"/>
  <c r="W731" i="8"/>
  <c r="X731" i="8"/>
  <c r="Y731" i="8"/>
  <c r="Z731" i="8"/>
  <c r="AA731" i="8"/>
  <c r="AB731" i="8"/>
  <c r="AC731" i="8"/>
  <c r="AD731" i="8"/>
  <c r="Q732" i="8"/>
  <c r="R732" i="8"/>
  <c r="S732" i="8"/>
  <c r="T732" i="8"/>
  <c r="U732" i="8"/>
  <c r="V732" i="8"/>
  <c r="W732" i="8"/>
  <c r="X732" i="8"/>
  <c r="Y732" i="8"/>
  <c r="Z732" i="8"/>
  <c r="AA732" i="8"/>
  <c r="AB732" i="8"/>
  <c r="AC732" i="8"/>
  <c r="AD732" i="8"/>
  <c r="Q733" i="8"/>
  <c r="R733" i="8"/>
  <c r="S733" i="8"/>
  <c r="T733" i="8"/>
  <c r="U733" i="8"/>
  <c r="V733" i="8"/>
  <c r="W733" i="8"/>
  <c r="X733" i="8"/>
  <c r="Y733" i="8"/>
  <c r="Z733" i="8"/>
  <c r="AA733" i="8"/>
  <c r="AB733" i="8"/>
  <c r="AC733" i="8"/>
  <c r="AD733" i="8"/>
  <c r="Q734" i="8"/>
  <c r="R734" i="8"/>
  <c r="S734" i="8"/>
  <c r="T734" i="8"/>
  <c r="U734" i="8"/>
  <c r="V734" i="8"/>
  <c r="W734" i="8"/>
  <c r="X734" i="8"/>
  <c r="Y734" i="8"/>
  <c r="Z734" i="8"/>
  <c r="AA734" i="8"/>
  <c r="AB734" i="8"/>
  <c r="AC734" i="8"/>
  <c r="AD734" i="8"/>
  <c r="Q735" i="8"/>
  <c r="R735" i="8"/>
  <c r="S735" i="8"/>
  <c r="T735" i="8"/>
  <c r="U735" i="8"/>
  <c r="V735" i="8"/>
  <c r="W735" i="8"/>
  <c r="X735" i="8"/>
  <c r="Y735" i="8"/>
  <c r="Z735" i="8"/>
  <c r="AA735" i="8"/>
  <c r="AB735" i="8"/>
  <c r="AC735" i="8"/>
  <c r="AD735" i="8"/>
  <c r="Q736" i="8"/>
  <c r="R736" i="8"/>
  <c r="S736" i="8"/>
  <c r="T736" i="8"/>
  <c r="U736" i="8"/>
  <c r="V736" i="8"/>
  <c r="W736" i="8"/>
  <c r="X736" i="8"/>
  <c r="Y736" i="8"/>
  <c r="Z736" i="8"/>
  <c r="AA736" i="8"/>
  <c r="AB736" i="8"/>
  <c r="AC736" i="8"/>
  <c r="AD736" i="8"/>
  <c r="Q737" i="8"/>
  <c r="R737" i="8"/>
  <c r="S737" i="8"/>
  <c r="T737" i="8"/>
  <c r="U737" i="8"/>
  <c r="V737" i="8"/>
  <c r="W737" i="8"/>
  <c r="X737" i="8"/>
  <c r="Y737" i="8"/>
  <c r="Z737" i="8"/>
  <c r="AA737" i="8"/>
  <c r="AB737" i="8"/>
  <c r="AC737" i="8"/>
  <c r="AD737" i="8"/>
  <c r="Q738" i="8"/>
  <c r="R738" i="8"/>
  <c r="S738" i="8"/>
  <c r="T738" i="8"/>
  <c r="U738" i="8"/>
  <c r="V738" i="8"/>
  <c r="W738" i="8"/>
  <c r="X738" i="8"/>
  <c r="Y738" i="8"/>
  <c r="Z738" i="8"/>
  <c r="AA738" i="8"/>
  <c r="AB738" i="8"/>
  <c r="AC738" i="8"/>
  <c r="AD738" i="8"/>
  <c r="Q739" i="8"/>
  <c r="R739" i="8"/>
  <c r="S739" i="8"/>
  <c r="T739" i="8"/>
  <c r="U739" i="8"/>
  <c r="V739" i="8"/>
  <c r="W739" i="8"/>
  <c r="X739" i="8"/>
  <c r="Y739" i="8"/>
  <c r="Z739" i="8"/>
  <c r="AA739" i="8"/>
  <c r="AB739" i="8"/>
  <c r="AC739" i="8"/>
  <c r="AD739" i="8"/>
  <c r="Q740" i="8"/>
  <c r="R740" i="8"/>
  <c r="S740" i="8"/>
  <c r="T740" i="8"/>
  <c r="U740" i="8"/>
  <c r="V740" i="8"/>
  <c r="W740" i="8"/>
  <c r="X740" i="8"/>
  <c r="Y740" i="8"/>
  <c r="Z740" i="8"/>
  <c r="AA740" i="8"/>
  <c r="AB740" i="8"/>
  <c r="AC740" i="8"/>
  <c r="AD740" i="8"/>
  <c r="Q741" i="8"/>
  <c r="R741" i="8"/>
  <c r="S741" i="8"/>
  <c r="T741" i="8"/>
  <c r="U741" i="8"/>
  <c r="V741" i="8"/>
  <c r="W741" i="8"/>
  <c r="X741" i="8"/>
  <c r="Y741" i="8"/>
  <c r="Z741" i="8"/>
  <c r="AA741" i="8"/>
  <c r="AB741" i="8"/>
  <c r="AC741" i="8"/>
  <c r="AD741" i="8"/>
  <c r="Q742" i="8"/>
  <c r="R742" i="8"/>
  <c r="S742" i="8"/>
  <c r="T742" i="8"/>
  <c r="U742" i="8"/>
  <c r="V742" i="8"/>
  <c r="W742" i="8"/>
  <c r="X742" i="8"/>
  <c r="Y742" i="8"/>
  <c r="Z742" i="8"/>
  <c r="AA742" i="8"/>
  <c r="AB742" i="8"/>
  <c r="AC742" i="8"/>
  <c r="AD742" i="8"/>
  <c r="Q743" i="8"/>
  <c r="R743" i="8"/>
  <c r="S743" i="8"/>
  <c r="T743" i="8"/>
  <c r="U743" i="8"/>
  <c r="V743" i="8"/>
  <c r="W743" i="8"/>
  <c r="X743" i="8"/>
  <c r="Y743" i="8"/>
  <c r="Z743" i="8"/>
  <c r="AA743" i="8"/>
  <c r="AB743" i="8"/>
  <c r="AC743" i="8"/>
  <c r="AD743" i="8"/>
  <c r="Q744" i="8"/>
  <c r="R744" i="8"/>
  <c r="S744" i="8"/>
  <c r="T744" i="8"/>
  <c r="U744" i="8"/>
  <c r="V744" i="8"/>
  <c r="W744" i="8"/>
  <c r="X744" i="8"/>
  <c r="Y744" i="8"/>
  <c r="Z744" i="8"/>
  <c r="AA744" i="8"/>
  <c r="AB744" i="8"/>
  <c r="AC744" i="8"/>
  <c r="AD744" i="8"/>
  <c r="Q745" i="8"/>
  <c r="R745" i="8"/>
  <c r="S745" i="8"/>
  <c r="T745" i="8"/>
  <c r="U745" i="8"/>
  <c r="V745" i="8"/>
  <c r="W745" i="8"/>
  <c r="X745" i="8"/>
  <c r="Y745" i="8"/>
  <c r="Z745" i="8"/>
  <c r="AA745" i="8"/>
  <c r="AB745" i="8"/>
  <c r="AC745" i="8"/>
  <c r="AD745" i="8"/>
  <c r="Q746" i="8"/>
  <c r="R746" i="8"/>
  <c r="S746" i="8"/>
  <c r="T746" i="8"/>
  <c r="U746" i="8"/>
  <c r="V746" i="8"/>
  <c r="W746" i="8"/>
  <c r="X746" i="8"/>
  <c r="Y746" i="8"/>
  <c r="Z746" i="8"/>
  <c r="AA746" i="8"/>
  <c r="AB746" i="8"/>
  <c r="AC746" i="8"/>
  <c r="AD746" i="8"/>
  <c r="Q747" i="8"/>
  <c r="R747" i="8"/>
  <c r="S747" i="8"/>
  <c r="T747" i="8"/>
  <c r="U747" i="8"/>
  <c r="V747" i="8"/>
  <c r="W747" i="8"/>
  <c r="X747" i="8"/>
  <c r="Y747" i="8"/>
  <c r="Z747" i="8"/>
  <c r="AA747" i="8"/>
  <c r="AB747" i="8"/>
  <c r="AC747" i="8"/>
  <c r="AD747" i="8"/>
  <c r="Q748" i="8"/>
  <c r="R748" i="8"/>
  <c r="S748" i="8"/>
  <c r="T748" i="8"/>
  <c r="U748" i="8"/>
  <c r="V748" i="8"/>
  <c r="W748" i="8"/>
  <c r="X748" i="8"/>
  <c r="Y748" i="8"/>
  <c r="Z748" i="8"/>
  <c r="AA748" i="8"/>
  <c r="AB748" i="8"/>
  <c r="AC748" i="8"/>
  <c r="AD748" i="8"/>
  <c r="Q749" i="8"/>
  <c r="R749" i="8"/>
  <c r="S749" i="8"/>
  <c r="T749" i="8"/>
  <c r="U749" i="8"/>
  <c r="V749" i="8"/>
  <c r="W749" i="8"/>
  <c r="X749" i="8"/>
  <c r="Y749" i="8"/>
  <c r="Z749" i="8"/>
  <c r="AA749" i="8"/>
  <c r="AB749" i="8"/>
  <c r="AC749" i="8"/>
  <c r="AD749" i="8"/>
  <c r="Q750" i="8"/>
  <c r="R750" i="8"/>
  <c r="S750" i="8"/>
  <c r="T750" i="8"/>
  <c r="U750" i="8"/>
  <c r="V750" i="8"/>
  <c r="W750" i="8"/>
  <c r="X750" i="8"/>
  <c r="Y750" i="8"/>
  <c r="Z750" i="8"/>
  <c r="AA750" i="8"/>
  <c r="AB750" i="8"/>
  <c r="AC750" i="8"/>
  <c r="AD750" i="8"/>
  <c r="Q751" i="8"/>
  <c r="R751" i="8"/>
  <c r="S751" i="8"/>
  <c r="T751" i="8"/>
  <c r="U751" i="8"/>
  <c r="V751" i="8"/>
  <c r="W751" i="8"/>
  <c r="X751" i="8"/>
  <c r="Y751" i="8"/>
  <c r="Z751" i="8"/>
  <c r="AA751" i="8"/>
  <c r="AB751" i="8"/>
  <c r="AC751" i="8"/>
  <c r="AD751" i="8"/>
  <c r="Q752" i="8"/>
  <c r="R752" i="8"/>
  <c r="S752" i="8"/>
  <c r="T752" i="8"/>
  <c r="U752" i="8"/>
  <c r="V752" i="8"/>
  <c r="W752" i="8"/>
  <c r="X752" i="8"/>
  <c r="Y752" i="8"/>
  <c r="Z752" i="8"/>
  <c r="AA752" i="8"/>
  <c r="AB752" i="8"/>
  <c r="AC752" i="8"/>
  <c r="AD752" i="8"/>
  <c r="Q753" i="8"/>
  <c r="R753" i="8"/>
  <c r="S753" i="8"/>
  <c r="T753" i="8"/>
  <c r="U753" i="8"/>
  <c r="V753" i="8"/>
  <c r="W753" i="8"/>
  <c r="X753" i="8"/>
  <c r="Y753" i="8"/>
  <c r="Z753" i="8"/>
  <c r="AA753" i="8"/>
  <c r="AB753" i="8"/>
  <c r="AC753" i="8"/>
  <c r="AD753" i="8"/>
  <c r="Q754" i="8"/>
  <c r="R754" i="8"/>
  <c r="S754" i="8"/>
  <c r="T754" i="8"/>
  <c r="U754" i="8"/>
  <c r="V754" i="8"/>
  <c r="W754" i="8"/>
  <c r="X754" i="8"/>
  <c r="Y754" i="8"/>
  <c r="Z754" i="8"/>
  <c r="AA754" i="8"/>
  <c r="AB754" i="8"/>
  <c r="AC754" i="8"/>
  <c r="AD754" i="8"/>
  <c r="Q755" i="8"/>
  <c r="R755" i="8"/>
  <c r="S755" i="8"/>
  <c r="T755" i="8"/>
  <c r="U755" i="8"/>
  <c r="V755" i="8"/>
  <c r="W755" i="8"/>
  <c r="X755" i="8"/>
  <c r="Y755" i="8"/>
  <c r="Z755" i="8"/>
  <c r="AA755" i="8"/>
  <c r="AB755" i="8"/>
  <c r="AC755" i="8"/>
  <c r="AD755" i="8"/>
  <c r="Q756" i="8"/>
  <c r="R756" i="8"/>
  <c r="S756" i="8"/>
  <c r="T756" i="8"/>
  <c r="U756" i="8"/>
  <c r="V756" i="8"/>
  <c r="W756" i="8"/>
  <c r="X756" i="8"/>
  <c r="Y756" i="8"/>
  <c r="Z756" i="8"/>
  <c r="AA756" i="8"/>
  <c r="AB756" i="8"/>
  <c r="AC756" i="8"/>
  <c r="AD756" i="8"/>
  <c r="Q757" i="8"/>
  <c r="R757" i="8"/>
  <c r="S757" i="8"/>
  <c r="T757" i="8"/>
  <c r="U757" i="8"/>
  <c r="V757" i="8"/>
  <c r="W757" i="8"/>
  <c r="X757" i="8"/>
  <c r="Y757" i="8"/>
  <c r="Z757" i="8"/>
  <c r="AA757" i="8"/>
  <c r="AB757" i="8"/>
  <c r="AC757" i="8"/>
  <c r="AD757" i="8"/>
  <c r="Q758" i="8"/>
  <c r="R758" i="8"/>
  <c r="S758" i="8"/>
  <c r="T758" i="8"/>
  <c r="U758" i="8"/>
  <c r="V758" i="8"/>
  <c r="W758" i="8"/>
  <c r="X758" i="8"/>
  <c r="Y758" i="8"/>
  <c r="Z758" i="8"/>
  <c r="AA758" i="8"/>
  <c r="AB758" i="8"/>
  <c r="AC758" i="8"/>
  <c r="AD758" i="8"/>
  <c r="Q759" i="8"/>
  <c r="R759" i="8"/>
  <c r="S759" i="8"/>
  <c r="T759" i="8"/>
  <c r="U759" i="8"/>
  <c r="V759" i="8"/>
  <c r="W759" i="8"/>
  <c r="X759" i="8"/>
  <c r="Y759" i="8"/>
  <c r="Z759" i="8"/>
  <c r="AA759" i="8"/>
  <c r="AB759" i="8"/>
  <c r="AC759" i="8"/>
  <c r="AD759" i="8"/>
  <c r="Q760" i="8"/>
  <c r="R760" i="8"/>
  <c r="S760" i="8"/>
  <c r="T760" i="8"/>
  <c r="U760" i="8"/>
  <c r="V760" i="8"/>
  <c r="W760" i="8"/>
  <c r="X760" i="8"/>
  <c r="Y760" i="8"/>
  <c r="Z760" i="8"/>
  <c r="AA760" i="8"/>
  <c r="AB760" i="8"/>
  <c r="AC760" i="8"/>
  <c r="AD760" i="8"/>
  <c r="Q761" i="8"/>
  <c r="R761" i="8"/>
  <c r="S761" i="8"/>
  <c r="T761" i="8"/>
  <c r="U761" i="8"/>
  <c r="V761" i="8"/>
  <c r="W761" i="8"/>
  <c r="X761" i="8"/>
  <c r="Y761" i="8"/>
  <c r="Z761" i="8"/>
  <c r="AA761" i="8"/>
  <c r="AB761" i="8"/>
  <c r="AC761" i="8"/>
  <c r="AD761" i="8"/>
  <c r="Q762" i="8"/>
  <c r="R762" i="8"/>
  <c r="S762" i="8"/>
  <c r="T762" i="8"/>
  <c r="U762" i="8"/>
  <c r="V762" i="8"/>
  <c r="W762" i="8"/>
  <c r="X762" i="8"/>
  <c r="Y762" i="8"/>
  <c r="Z762" i="8"/>
  <c r="AA762" i="8"/>
  <c r="AB762" i="8"/>
  <c r="AC762" i="8"/>
  <c r="AD762" i="8"/>
  <c r="Q763" i="8"/>
  <c r="R763" i="8"/>
  <c r="S763" i="8"/>
  <c r="T763" i="8"/>
  <c r="U763" i="8"/>
  <c r="V763" i="8"/>
  <c r="W763" i="8"/>
  <c r="X763" i="8"/>
  <c r="Y763" i="8"/>
  <c r="Z763" i="8"/>
  <c r="AA763" i="8"/>
  <c r="AB763" i="8"/>
  <c r="AC763" i="8"/>
  <c r="AD763" i="8"/>
  <c r="Q764" i="8"/>
  <c r="R764" i="8"/>
  <c r="S764" i="8"/>
  <c r="T764" i="8"/>
  <c r="U764" i="8"/>
  <c r="V764" i="8"/>
  <c r="W764" i="8"/>
  <c r="X764" i="8"/>
  <c r="Y764" i="8"/>
  <c r="Z764" i="8"/>
  <c r="AA764" i="8"/>
  <c r="AB764" i="8"/>
  <c r="AC764" i="8"/>
  <c r="AD764" i="8"/>
  <c r="Q765" i="8"/>
  <c r="R765" i="8"/>
  <c r="S765" i="8"/>
  <c r="T765" i="8"/>
  <c r="U765" i="8"/>
  <c r="V765" i="8"/>
  <c r="W765" i="8"/>
  <c r="X765" i="8"/>
  <c r="Y765" i="8"/>
  <c r="Z765" i="8"/>
  <c r="AA765" i="8"/>
  <c r="AB765" i="8"/>
  <c r="AC765" i="8"/>
  <c r="AD765" i="8"/>
  <c r="Q766" i="8"/>
  <c r="R766" i="8"/>
  <c r="S766" i="8"/>
  <c r="T766" i="8"/>
  <c r="U766" i="8"/>
  <c r="V766" i="8"/>
  <c r="W766" i="8"/>
  <c r="X766" i="8"/>
  <c r="Y766" i="8"/>
  <c r="Z766" i="8"/>
  <c r="AA766" i="8"/>
  <c r="AB766" i="8"/>
  <c r="AC766" i="8"/>
  <c r="AD766" i="8"/>
  <c r="Q767" i="8"/>
  <c r="R767" i="8"/>
  <c r="S767" i="8"/>
  <c r="T767" i="8"/>
  <c r="U767" i="8"/>
  <c r="V767" i="8"/>
  <c r="W767" i="8"/>
  <c r="X767" i="8"/>
  <c r="Y767" i="8"/>
  <c r="Z767" i="8"/>
  <c r="AA767" i="8"/>
  <c r="AB767" i="8"/>
  <c r="AC767" i="8"/>
  <c r="AD767" i="8"/>
  <c r="Q768" i="8"/>
  <c r="R768" i="8"/>
  <c r="S768" i="8"/>
  <c r="T768" i="8"/>
  <c r="U768" i="8"/>
  <c r="V768" i="8"/>
  <c r="W768" i="8"/>
  <c r="X768" i="8"/>
  <c r="Y768" i="8"/>
  <c r="Z768" i="8"/>
  <c r="AA768" i="8"/>
  <c r="AB768" i="8"/>
  <c r="AC768" i="8"/>
  <c r="AD768" i="8"/>
  <c r="Q769" i="8"/>
  <c r="R769" i="8"/>
  <c r="S769" i="8"/>
  <c r="T769" i="8"/>
  <c r="U769" i="8"/>
  <c r="V769" i="8"/>
  <c r="W769" i="8"/>
  <c r="X769" i="8"/>
  <c r="Y769" i="8"/>
  <c r="Z769" i="8"/>
  <c r="AA769" i="8"/>
  <c r="AB769" i="8"/>
  <c r="AC769" i="8"/>
  <c r="AD769" i="8"/>
  <c r="Q770" i="8"/>
  <c r="R770" i="8"/>
  <c r="S770" i="8"/>
  <c r="T770" i="8"/>
  <c r="U770" i="8"/>
  <c r="V770" i="8"/>
  <c r="W770" i="8"/>
  <c r="X770" i="8"/>
  <c r="Y770" i="8"/>
  <c r="Z770" i="8"/>
  <c r="AA770" i="8"/>
  <c r="AB770" i="8"/>
  <c r="AC770" i="8"/>
  <c r="AD770" i="8"/>
  <c r="Q771" i="8"/>
  <c r="R771" i="8"/>
  <c r="S771" i="8"/>
  <c r="T771" i="8"/>
  <c r="U771" i="8"/>
  <c r="V771" i="8"/>
  <c r="W771" i="8"/>
  <c r="X771" i="8"/>
  <c r="Y771" i="8"/>
  <c r="Z771" i="8"/>
  <c r="AA771" i="8"/>
  <c r="AB771" i="8"/>
  <c r="AC771" i="8"/>
  <c r="AD771" i="8"/>
  <c r="Q772" i="8"/>
  <c r="R772" i="8"/>
  <c r="S772" i="8"/>
  <c r="T772" i="8"/>
  <c r="U772" i="8"/>
  <c r="V772" i="8"/>
  <c r="W772" i="8"/>
  <c r="X772" i="8"/>
  <c r="Y772" i="8"/>
  <c r="Z772" i="8"/>
  <c r="AA772" i="8"/>
  <c r="AB772" i="8"/>
  <c r="AC772" i="8"/>
  <c r="AD772" i="8"/>
  <c r="Q773" i="8"/>
  <c r="R773" i="8"/>
  <c r="S773" i="8"/>
  <c r="T773" i="8"/>
  <c r="U773" i="8"/>
  <c r="V773" i="8"/>
  <c r="W773" i="8"/>
  <c r="X773" i="8"/>
  <c r="Y773" i="8"/>
  <c r="Z773" i="8"/>
  <c r="AA773" i="8"/>
  <c r="AB773" i="8"/>
  <c r="AC773" i="8"/>
  <c r="AD773" i="8"/>
  <c r="Q774" i="8"/>
  <c r="R774" i="8"/>
  <c r="S774" i="8"/>
  <c r="T774" i="8"/>
  <c r="U774" i="8"/>
  <c r="V774" i="8"/>
  <c r="W774" i="8"/>
  <c r="X774" i="8"/>
  <c r="Y774" i="8"/>
  <c r="Z774" i="8"/>
  <c r="AA774" i="8"/>
  <c r="AB774" i="8"/>
  <c r="AC774" i="8"/>
  <c r="AD774" i="8"/>
  <c r="Q775" i="8"/>
  <c r="R775" i="8"/>
  <c r="S775" i="8"/>
  <c r="T775" i="8"/>
  <c r="U775" i="8"/>
  <c r="V775" i="8"/>
  <c r="W775" i="8"/>
  <c r="X775" i="8"/>
  <c r="Y775" i="8"/>
  <c r="Z775" i="8"/>
  <c r="AA775" i="8"/>
  <c r="AB775" i="8"/>
  <c r="AC775" i="8"/>
  <c r="AD775" i="8"/>
  <c r="Q776" i="8"/>
  <c r="R776" i="8"/>
  <c r="S776" i="8"/>
  <c r="T776" i="8"/>
  <c r="U776" i="8"/>
  <c r="V776" i="8"/>
  <c r="W776" i="8"/>
  <c r="X776" i="8"/>
  <c r="Y776" i="8"/>
  <c r="Z776" i="8"/>
  <c r="AA776" i="8"/>
  <c r="AB776" i="8"/>
  <c r="AC776" i="8"/>
  <c r="AD776" i="8"/>
  <c r="Q777" i="8"/>
  <c r="R777" i="8"/>
  <c r="S777" i="8"/>
  <c r="T777" i="8"/>
  <c r="U777" i="8"/>
  <c r="V777" i="8"/>
  <c r="W777" i="8"/>
  <c r="X777" i="8"/>
  <c r="Y777" i="8"/>
  <c r="Z777" i="8"/>
  <c r="AA777" i="8"/>
  <c r="AB777" i="8"/>
  <c r="AC777" i="8"/>
  <c r="AD777" i="8"/>
  <c r="Q778" i="8"/>
  <c r="R778" i="8"/>
  <c r="S778" i="8"/>
  <c r="T778" i="8"/>
  <c r="U778" i="8"/>
  <c r="V778" i="8"/>
  <c r="W778" i="8"/>
  <c r="X778" i="8"/>
  <c r="Y778" i="8"/>
  <c r="Z778" i="8"/>
  <c r="AA778" i="8"/>
  <c r="AB778" i="8"/>
  <c r="AC778" i="8"/>
  <c r="AD778" i="8"/>
  <c r="Q779" i="8"/>
  <c r="R779" i="8"/>
  <c r="S779" i="8"/>
  <c r="T779" i="8"/>
  <c r="U779" i="8"/>
  <c r="V779" i="8"/>
  <c r="W779" i="8"/>
  <c r="X779" i="8"/>
  <c r="Y779" i="8"/>
  <c r="Z779" i="8"/>
  <c r="AA779" i="8"/>
  <c r="AB779" i="8"/>
  <c r="AC779" i="8"/>
  <c r="AD779" i="8"/>
  <c r="Q780" i="8"/>
  <c r="R780" i="8"/>
  <c r="S780" i="8"/>
  <c r="T780" i="8"/>
  <c r="U780" i="8"/>
  <c r="V780" i="8"/>
  <c r="W780" i="8"/>
  <c r="X780" i="8"/>
  <c r="Y780" i="8"/>
  <c r="Z780" i="8"/>
  <c r="AA780" i="8"/>
  <c r="AB780" i="8"/>
  <c r="AC780" i="8"/>
  <c r="AD780" i="8"/>
  <c r="Q781" i="8"/>
  <c r="R781" i="8"/>
  <c r="S781" i="8"/>
  <c r="T781" i="8"/>
  <c r="U781" i="8"/>
  <c r="V781" i="8"/>
  <c r="W781" i="8"/>
  <c r="X781" i="8"/>
  <c r="Y781" i="8"/>
  <c r="Z781" i="8"/>
  <c r="AA781" i="8"/>
  <c r="AB781" i="8"/>
  <c r="AC781" i="8"/>
  <c r="AD781" i="8"/>
  <c r="Q782" i="8"/>
  <c r="R782" i="8"/>
  <c r="S782" i="8"/>
  <c r="T782" i="8"/>
  <c r="U782" i="8"/>
  <c r="V782" i="8"/>
  <c r="W782" i="8"/>
  <c r="X782" i="8"/>
  <c r="Y782" i="8"/>
  <c r="Z782" i="8"/>
  <c r="AA782" i="8"/>
  <c r="AB782" i="8"/>
  <c r="AC782" i="8"/>
  <c r="AD782" i="8"/>
  <c r="Q783" i="8"/>
  <c r="R783" i="8"/>
  <c r="S783" i="8"/>
  <c r="T783" i="8"/>
  <c r="U783" i="8"/>
  <c r="V783" i="8"/>
  <c r="W783" i="8"/>
  <c r="X783" i="8"/>
  <c r="Y783" i="8"/>
  <c r="Z783" i="8"/>
  <c r="AA783" i="8"/>
  <c r="AB783" i="8"/>
  <c r="AC783" i="8"/>
  <c r="AD783" i="8"/>
  <c r="Q784" i="8"/>
  <c r="R784" i="8"/>
  <c r="S784" i="8"/>
  <c r="T784" i="8"/>
  <c r="U784" i="8"/>
  <c r="V784" i="8"/>
  <c r="W784" i="8"/>
  <c r="X784" i="8"/>
  <c r="Y784" i="8"/>
  <c r="Z784" i="8"/>
  <c r="AA784" i="8"/>
  <c r="AB784" i="8"/>
  <c r="AC784" i="8"/>
  <c r="AD784" i="8"/>
  <c r="Q785" i="8"/>
  <c r="R785" i="8"/>
  <c r="S785" i="8"/>
  <c r="T785" i="8"/>
  <c r="U785" i="8"/>
  <c r="V785" i="8"/>
  <c r="W785" i="8"/>
  <c r="X785" i="8"/>
  <c r="Y785" i="8"/>
  <c r="Z785" i="8"/>
  <c r="AA785" i="8"/>
  <c r="AB785" i="8"/>
  <c r="AC785" i="8"/>
  <c r="AD785" i="8"/>
  <c r="Q786" i="8"/>
  <c r="R786" i="8"/>
  <c r="S786" i="8"/>
  <c r="T786" i="8"/>
  <c r="U786" i="8"/>
  <c r="V786" i="8"/>
  <c r="W786" i="8"/>
  <c r="X786" i="8"/>
  <c r="Y786" i="8"/>
  <c r="Z786" i="8"/>
  <c r="AA786" i="8"/>
  <c r="AB786" i="8"/>
  <c r="AC786" i="8"/>
  <c r="AD786" i="8"/>
  <c r="Q787" i="8"/>
  <c r="R787" i="8"/>
  <c r="S787" i="8"/>
  <c r="T787" i="8"/>
  <c r="U787" i="8"/>
  <c r="V787" i="8"/>
  <c r="W787" i="8"/>
  <c r="X787" i="8"/>
  <c r="Y787" i="8"/>
  <c r="Z787" i="8"/>
  <c r="AA787" i="8"/>
  <c r="AB787" i="8"/>
  <c r="AC787" i="8"/>
  <c r="AD787" i="8"/>
  <c r="Q788" i="8"/>
  <c r="R788" i="8"/>
  <c r="S788" i="8"/>
  <c r="T788" i="8"/>
  <c r="U788" i="8"/>
  <c r="V788" i="8"/>
  <c r="W788" i="8"/>
  <c r="X788" i="8"/>
  <c r="Y788" i="8"/>
  <c r="Z788" i="8"/>
  <c r="AA788" i="8"/>
  <c r="AB788" i="8"/>
  <c r="AC788" i="8"/>
  <c r="AD788" i="8"/>
  <c r="Q789" i="8"/>
  <c r="R789" i="8"/>
  <c r="S789" i="8"/>
  <c r="T789" i="8"/>
  <c r="U789" i="8"/>
  <c r="V789" i="8"/>
  <c r="W789" i="8"/>
  <c r="X789" i="8"/>
  <c r="Y789" i="8"/>
  <c r="Z789" i="8"/>
  <c r="AA789" i="8"/>
  <c r="AB789" i="8"/>
  <c r="AC789" i="8"/>
  <c r="AD789" i="8"/>
  <c r="Q790" i="8"/>
  <c r="R790" i="8"/>
  <c r="S790" i="8"/>
  <c r="T790" i="8"/>
  <c r="U790" i="8"/>
  <c r="V790" i="8"/>
  <c r="W790" i="8"/>
  <c r="X790" i="8"/>
  <c r="Y790" i="8"/>
  <c r="Z790" i="8"/>
  <c r="AA790" i="8"/>
  <c r="AB790" i="8"/>
  <c r="AC790" i="8"/>
  <c r="AD790" i="8"/>
  <c r="Q791" i="8"/>
  <c r="R791" i="8"/>
  <c r="S791" i="8"/>
  <c r="T791" i="8"/>
  <c r="U791" i="8"/>
  <c r="V791" i="8"/>
  <c r="W791" i="8"/>
  <c r="X791" i="8"/>
  <c r="Y791" i="8"/>
  <c r="Z791" i="8"/>
  <c r="AA791" i="8"/>
  <c r="AB791" i="8"/>
  <c r="AC791" i="8"/>
  <c r="AD791" i="8"/>
  <c r="Q792" i="8"/>
  <c r="R792" i="8"/>
  <c r="S792" i="8"/>
  <c r="T792" i="8"/>
  <c r="U792" i="8"/>
  <c r="V792" i="8"/>
  <c r="W792" i="8"/>
  <c r="X792" i="8"/>
  <c r="Y792" i="8"/>
  <c r="Z792" i="8"/>
  <c r="AA792" i="8"/>
  <c r="AB792" i="8"/>
  <c r="AC792" i="8"/>
  <c r="AD792" i="8"/>
  <c r="Q793" i="8"/>
  <c r="R793" i="8"/>
  <c r="S793" i="8"/>
  <c r="T793" i="8"/>
  <c r="U793" i="8"/>
  <c r="V793" i="8"/>
  <c r="W793" i="8"/>
  <c r="X793" i="8"/>
  <c r="Y793" i="8"/>
  <c r="Z793" i="8"/>
  <c r="AA793" i="8"/>
  <c r="AB793" i="8"/>
  <c r="AC793" i="8"/>
  <c r="AD793" i="8"/>
  <c r="Q794" i="8"/>
  <c r="R794" i="8"/>
  <c r="S794" i="8"/>
  <c r="T794" i="8"/>
  <c r="U794" i="8"/>
  <c r="V794" i="8"/>
  <c r="W794" i="8"/>
  <c r="X794" i="8"/>
  <c r="Y794" i="8"/>
  <c r="Z794" i="8"/>
  <c r="AA794" i="8"/>
  <c r="AB794" i="8"/>
  <c r="AC794" i="8"/>
  <c r="AD794" i="8"/>
  <c r="Q795" i="8"/>
  <c r="R795" i="8"/>
  <c r="S795" i="8"/>
  <c r="T795" i="8"/>
  <c r="U795" i="8"/>
  <c r="V795" i="8"/>
  <c r="W795" i="8"/>
  <c r="X795" i="8"/>
  <c r="Y795" i="8"/>
  <c r="Z795" i="8"/>
  <c r="AA795" i="8"/>
  <c r="AB795" i="8"/>
  <c r="AC795" i="8"/>
  <c r="AD795" i="8"/>
  <c r="Q796" i="8"/>
  <c r="R796" i="8"/>
  <c r="S796" i="8"/>
  <c r="T796" i="8"/>
  <c r="U796" i="8"/>
  <c r="V796" i="8"/>
  <c r="W796" i="8"/>
  <c r="X796" i="8"/>
  <c r="Y796" i="8"/>
  <c r="Z796" i="8"/>
  <c r="AA796" i="8"/>
  <c r="AB796" i="8"/>
  <c r="AC796" i="8"/>
  <c r="AD796" i="8"/>
  <c r="Q797" i="8"/>
  <c r="R797" i="8"/>
  <c r="S797" i="8"/>
  <c r="T797" i="8"/>
  <c r="U797" i="8"/>
  <c r="V797" i="8"/>
  <c r="W797" i="8"/>
  <c r="X797" i="8"/>
  <c r="Y797" i="8"/>
  <c r="Z797" i="8"/>
  <c r="AA797" i="8"/>
  <c r="AB797" i="8"/>
  <c r="AC797" i="8"/>
  <c r="AD797" i="8"/>
  <c r="Q798" i="8"/>
  <c r="R798" i="8"/>
  <c r="S798" i="8"/>
  <c r="T798" i="8"/>
  <c r="U798" i="8"/>
  <c r="V798" i="8"/>
  <c r="W798" i="8"/>
  <c r="X798" i="8"/>
  <c r="Y798" i="8"/>
  <c r="Z798" i="8"/>
  <c r="AA798" i="8"/>
  <c r="AB798" i="8"/>
  <c r="AC798" i="8"/>
  <c r="AD798" i="8"/>
  <c r="Q799" i="8"/>
  <c r="R799" i="8"/>
  <c r="S799" i="8"/>
  <c r="T799" i="8"/>
  <c r="U799" i="8"/>
  <c r="V799" i="8"/>
  <c r="W799" i="8"/>
  <c r="X799" i="8"/>
  <c r="Y799" i="8"/>
  <c r="Z799" i="8"/>
  <c r="AA799" i="8"/>
  <c r="AB799" i="8"/>
  <c r="AC799" i="8"/>
  <c r="AD799" i="8"/>
  <c r="Q800" i="8"/>
  <c r="R800" i="8"/>
  <c r="S800" i="8"/>
  <c r="T800" i="8"/>
  <c r="U800" i="8"/>
  <c r="V800" i="8"/>
  <c r="W800" i="8"/>
  <c r="X800" i="8"/>
  <c r="Y800" i="8"/>
  <c r="Z800" i="8"/>
  <c r="AA800" i="8"/>
  <c r="AB800" i="8"/>
  <c r="AC800" i="8"/>
  <c r="AD800" i="8"/>
  <c r="Q801" i="8"/>
  <c r="R801" i="8"/>
  <c r="S801" i="8"/>
  <c r="T801" i="8"/>
  <c r="U801" i="8"/>
  <c r="V801" i="8"/>
  <c r="W801" i="8"/>
  <c r="X801" i="8"/>
  <c r="Y801" i="8"/>
  <c r="Z801" i="8"/>
  <c r="AA801" i="8"/>
  <c r="AB801" i="8"/>
  <c r="AC801" i="8"/>
  <c r="AD801" i="8"/>
  <c r="Q802" i="8"/>
  <c r="R802" i="8"/>
  <c r="S802" i="8"/>
  <c r="T802" i="8"/>
  <c r="U802" i="8"/>
  <c r="V802" i="8"/>
  <c r="W802" i="8"/>
  <c r="X802" i="8"/>
  <c r="Y802" i="8"/>
  <c r="Z802" i="8"/>
  <c r="AA802" i="8"/>
  <c r="AB802" i="8"/>
  <c r="AC802" i="8"/>
  <c r="AD802" i="8"/>
  <c r="Q803" i="8"/>
  <c r="R803" i="8"/>
  <c r="S803" i="8"/>
  <c r="T803" i="8"/>
  <c r="U803" i="8"/>
  <c r="V803" i="8"/>
  <c r="W803" i="8"/>
  <c r="X803" i="8"/>
  <c r="Y803" i="8"/>
  <c r="Z803" i="8"/>
  <c r="AA803" i="8"/>
  <c r="AB803" i="8"/>
  <c r="AC803" i="8"/>
  <c r="AD803" i="8"/>
  <c r="Q804" i="8"/>
  <c r="R804" i="8"/>
  <c r="S804" i="8"/>
  <c r="T804" i="8"/>
  <c r="U804" i="8"/>
  <c r="V804" i="8"/>
  <c r="W804" i="8"/>
  <c r="X804" i="8"/>
  <c r="Y804" i="8"/>
  <c r="Z804" i="8"/>
  <c r="AA804" i="8"/>
  <c r="AB804" i="8"/>
  <c r="AC804" i="8"/>
  <c r="AD804" i="8"/>
  <c r="Q805" i="8"/>
  <c r="R805" i="8"/>
  <c r="S805" i="8"/>
  <c r="T805" i="8"/>
  <c r="U805" i="8"/>
  <c r="V805" i="8"/>
  <c r="W805" i="8"/>
  <c r="X805" i="8"/>
  <c r="Y805" i="8"/>
  <c r="Z805" i="8"/>
  <c r="AA805" i="8"/>
  <c r="AB805" i="8"/>
  <c r="AC805" i="8"/>
  <c r="AD805" i="8"/>
  <c r="Q806" i="8"/>
  <c r="R806" i="8"/>
  <c r="S806" i="8"/>
  <c r="T806" i="8"/>
  <c r="U806" i="8"/>
  <c r="V806" i="8"/>
  <c r="W806" i="8"/>
  <c r="X806" i="8"/>
  <c r="Y806" i="8"/>
  <c r="Z806" i="8"/>
  <c r="AA806" i="8"/>
  <c r="AB806" i="8"/>
  <c r="AC806" i="8"/>
  <c r="AD806" i="8"/>
  <c r="Q807" i="8"/>
  <c r="R807" i="8"/>
  <c r="S807" i="8"/>
  <c r="T807" i="8"/>
  <c r="U807" i="8"/>
  <c r="V807" i="8"/>
  <c r="W807" i="8"/>
  <c r="X807" i="8"/>
  <c r="Y807" i="8"/>
  <c r="Z807" i="8"/>
  <c r="AA807" i="8"/>
  <c r="AB807" i="8"/>
  <c r="AC807" i="8"/>
  <c r="AD807" i="8"/>
  <c r="Q808" i="8"/>
  <c r="R808" i="8"/>
  <c r="S808" i="8"/>
  <c r="T808" i="8"/>
  <c r="U808" i="8"/>
  <c r="V808" i="8"/>
  <c r="W808" i="8"/>
  <c r="X808" i="8"/>
  <c r="Y808" i="8"/>
  <c r="Z808" i="8"/>
  <c r="AA808" i="8"/>
  <c r="AB808" i="8"/>
  <c r="AC808" i="8"/>
  <c r="AD808" i="8"/>
  <c r="Q809" i="8"/>
  <c r="R809" i="8"/>
  <c r="S809" i="8"/>
  <c r="T809" i="8"/>
  <c r="U809" i="8"/>
  <c r="V809" i="8"/>
  <c r="W809" i="8"/>
  <c r="X809" i="8"/>
  <c r="Y809" i="8"/>
  <c r="Z809" i="8"/>
  <c r="AA809" i="8"/>
  <c r="AB809" i="8"/>
  <c r="AC809" i="8"/>
  <c r="AD809" i="8"/>
  <c r="Q810" i="8"/>
  <c r="R810" i="8"/>
  <c r="S810" i="8"/>
  <c r="T810" i="8"/>
  <c r="U810" i="8"/>
  <c r="V810" i="8"/>
  <c r="W810" i="8"/>
  <c r="X810" i="8"/>
  <c r="Y810" i="8"/>
  <c r="Z810" i="8"/>
  <c r="AA810" i="8"/>
  <c r="AB810" i="8"/>
  <c r="AC810" i="8"/>
  <c r="AD810" i="8"/>
  <c r="Q811" i="8"/>
  <c r="R811" i="8"/>
  <c r="S811" i="8"/>
  <c r="T811" i="8"/>
  <c r="U811" i="8"/>
  <c r="V811" i="8"/>
  <c r="W811" i="8"/>
  <c r="X811" i="8"/>
  <c r="Y811" i="8"/>
  <c r="Z811" i="8"/>
  <c r="AA811" i="8"/>
  <c r="AB811" i="8"/>
  <c r="AC811" i="8"/>
  <c r="AD811" i="8"/>
  <c r="Q812" i="8"/>
  <c r="R812" i="8"/>
  <c r="S812" i="8"/>
  <c r="T812" i="8"/>
  <c r="U812" i="8"/>
  <c r="V812" i="8"/>
  <c r="W812" i="8"/>
  <c r="X812" i="8"/>
  <c r="Y812" i="8"/>
  <c r="Z812" i="8"/>
  <c r="AA812" i="8"/>
  <c r="AB812" i="8"/>
  <c r="AC812" i="8"/>
  <c r="AD812" i="8"/>
  <c r="Q813" i="8"/>
  <c r="R813" i="8"/>
  <c r="S813" i="8"/>
  <c r="T813" i="8"/>
  <c r="U813" i="8"/>
  <c r="V813" i="8"/>
  <c r="W813" i="8"/>
  <c r="X813" i="8"/>
  <c r="Y813" i="8"/>
  <c r="Z813" i="8"/>
  <c r="AA813" i="8"/>
  <c r="AB813" i="8"/>
  <c r="AC813" i="8"/>
  <c r="AD813" i="8"/>
  <c r="Q814" i="8"/>
  <c r="R814" i="8"/>
  <c r="S814" i="8"/>
  <c r="T814" i="8"/>
  <c r="U814" i="8"/>
  <c r="V814" i="8"/>
  <c r="W814" i="8"/>
  <c r="X814" i="8"/>
  <c r="Y814" i="8"/>
  <c r="Z814" i="8"/>
  <c r="AA814" i="8"/>
  <c r="AB814" i="8"/>
  <c r="AC814" i="8"/>
  <c r="AD814" i="8"/>
  <c r="Q815" i="8"/>
  <c r="R815" i="8"/>
  <c r="S815" i="8"/>
  <c r="T815" i="8"/>
  <c r="U815" i="8"/>
  <c r="V815" i="8"/>
  <c r="W815" i="8"/>
  <c r="X815" i="8"/>
  <c r="Y815" i="8"/>
  <c r="Z815" i="8"/>
  <c r="AA815" i="8"/>
  <c r="AB815" i="8"/>
  <c r="AC815" i="8"/>
  <c r="AD815" i="8"/>
  <c r="Q816" i="8"/>
  <c r="R816" i="8"/>
  <c r="S816" i="8"/>
  <c r="T816" i="8"/>
  <c r="U816" i="8"/>
  <c r="V816" i="8"/>
  <c r="W816" i="8"/>
  <c r="X816" i="8"/>
  <c r="Y816" i="8"/>
  <c r="Z816" i="8"/>
  <c r="AA816" i="8"/>
  <c r="AB816" i="8"/>
  <c r="AC816" i="8"/>
  <c r="AD816" i="8"/>
  <c r="Q817" i="8"/>
  <c r="R817" i="8"/>
  <c r="S817" i="8"/>
  <c r="T817" i="8"/>
  <c r="U817" i="8"/>
  <c r="V817" i="8"/>
  <c r="W817" i="8"/>
  <c r="X817" i="8"/>
  <c r="Y817" i="8"/>
  <c r="Z817" i="8"/>
  <c r="AA817" i="8"/>
  <c r="AB817" i="8"/>
  <c r="AC817" i="8"/>
  <c r="AD817" i="8"/>
  <c r="Q818" i="8"/>
  <c r="R818" i="8"/>
  <c r="S818" i="8"/>
  <c r="T818" i="8"/>
  <c r="U818" i="8"/>
  <c r="V818" i="8"/>
  <c r="W818" i="8"/>
  <c r="X818" i="8"/>
  <c r="Y818" i="8"/>
  <c r="Z818" i="8"/>
  <c r="AA818" i="8"/>
  <c r="AB818" i="8"/>
  <c r="AC818" i="8"/>
  <c r="AD818" i="8"/>
  <c r="Q819" i="8"/>
  <c r="R819" i="8"/>
  <c r="S819" i="8"/>
  <c r="T819" i="8"/>
  <c r="U819" i="8"/>
  <c r="V819" i="8"/>
  <c r="W819" i="8"/>
  <c r="X819" i="8"/>
  <c r="Y819" i="8"/>
  <c r="Z819" i="8"/>
  <c r="AA819" i="8"/>
  <c r="AB819" i="8"/>
  <c r="AC819" i="8"/>
  <c r="AD819" i="8"/>
  <c r="Q820" i="8"/>
  <c r="R820" i="8"/>
  <c r="S820" i="8"/>
  <c r="T820" i="8"/>
  <c r="U820" i="8"/>
  <c r="V820" i="8"/>
  <c r="W820" i="8"/>
  <c r="X820" i="8"/>
  <c r="Y820" i="8"/>
  <c r="Z820" i="8"/>
  <c r="AA820" i="8"/>
  <c r="AB820" i="8"/>
  <c r="AC820" i="8"/>
  <c r="AD820" i="8"/>
  <c r="Q821" i="8"/>
  <c r="R821" i="8"/>
  <c r="S821" i="8"/>
  <c r="T821" i="8"/>
  <c r="U821" i="8"/>
  <c r="V821" i="8"/>
  <c r="W821" i="8"/>
  <c r="X821" i="8"/>
  <c r="Y821" i="8"/>
  <c r="Z821" i="8"/>
  <c r="AA821" i="8"/>
  <c r="AB821" i="8"/>
  <c r="AC821" i="8"/>
  <c r="AD821" i="8"/>
  <c r="Q822" i="8"/>
  <c r="R822" i="8"/>
  <c r="S822" i="8"/>
  <c r="T822" i="8"/>
  <c r="U822" i="8"/>
  <c r="V822" i="8"/>
  <c r="W822" i="8"/>
  <c r="X822" i="8"/>
  <c r="Y822" i="8"/>
  <c r="Z822" i="8"/>
  <c r="AA822" i="8"/>
  <c r="AB822" i="8"/>
  <c r="AC822" i="8"/>
  <c r="AD822" i="8"/>
  <c r="Q823" i="8"/>
  <c r="R823" i="8"/>
  <c r="S823" i="8"/>
  <c r="T823" i="8"/>
  <c r="U823" i="8"/>
  <c r="V823" i="8"/>
  <c r="W823" i="8"/>
  <c r="X823" i="8"/>
  <c r="Y823" i="8"/>
  <c r="Z823" i="8"/>
  <c r="AA823" i="8"/>
  <c r="AB823" i="8"/>
  <c r="AC823" i="8"/>
  <c r="AD823" i="8"/>
  <c r="Q824" i="8"/>
  <c r="R824" i="8"/>
  <c r="S824" i="8"/>
  <c r="T824" i="8"/>
  <c r="U824" i="8"/>
  <c r="V824" i="8"/>
  <c r="W824" i="8"/>
  <c r="X824" i="8"/>
  <c r="Y824" i="8"/>
  <c r="Z824" i="8"/>
  <c r="AA824" i="8"/>
  <c r="AB824" i="8"/>
  <c r="AC824" i="8"/>
  <c r="AD824" i="8"/>
  <c r="Q825" i="8"/>
  <c r="R825" i="8"/>
  <c r="S825" i="8"/>
  <c r="T825" i="8"/>
  <c r="U825" i="8"/>
  <c r="V825" i="8"/>
  <c r="W825" i="8"/>
  <c r="X825" i="8"/>
  <c r="Y825" i="8"/>
  <c r="Z825" i="8"/>
  <c r="AA825" i="8"/>
  <c r="AB825" i="8"/>
  <c r="AC825" i="8"/>
  <c r="AD825" i="8"/>
  <c r="Q826" i="8"/>
  <c r="R826" i="8"/>
  <c r="S826" i="8"/>
  <c r="T826" i="8"/>
  <c r="U826" i="8"/>
  <c r="V826" i="8"/>
  <c r="W826" i="8"/>
  <c r="X826" i="8"/>
  <c r="Y826" i="8"/>
  <c r="Z826" i="8"/>
  <c r="AA826" i="8"/>
  <c r="AB826" i="8"/>
  <c r="AC826" i="8"/>
  <c r="AD826" i="8"/>
  <c r="Q827" i="8"/>
  <c r="R827" i="8"/>
  <c r="S827" i="8"/>
  <c r="T827" i="8"/>
  <c r="U827" i="8"/>
  <c r="V827" i="8"/>
  <c r="W827" i="8"/>
  <c r="X827" i="8"/>
  <c r="Y827" i="8"/>
  <c r="Z827" i="8"/>
  <c r="AA827" i="8"/>
  <c r="AB827" i="8"/>
  <c r="AC827" i="8"/>
  <c r="AD827" i="8"/>
  <c r="Q828" i="8"/>
  <c r="R828" i="8"/>
  <c r="S828" i="8"/>
  <c r="T828" i="8"/>
  <c r="U828" i="8"/>
  <c r="V828" i="8"/>
  <c r="W828" i="8"/>
  <c r="X828" i="8"/>
  <c r="Y828" i="8"/>
  <c r="Z828" i="8"/>
  <c r="AA828" i="8"/>
  <c r="AB828" i="8"/>
  <c r="AC828" i="8"/>
  <c r="AD828" i="8"/>
  <c r="Q829" i="8"/>
  <c r="R829" i="8"/>
  <c r="S829" i="8"/>
  <c r="T829" i="8"/>
  <c r="U829" i="8"/>
  <c r="V829" i="8"/>
  <c r="W829" i="8"/>
  <c r="X829" i="8"/>
  <c r="Y829" i="8"/>
  <c r="Z829" i="8"/>
  <c r="AA829" i="8"/>
  <c r="AB829" i="8"/>
  <c r="AC829" i="8"/>
  <c r="AD829" i="8"/>
  <c r="Q830" i="8"/>
  <c r="R830" i="8"/>
  <c r="S830" i="8"/>
  <c r="T830" i="8"/>
  <c r="U830" i="8"/>
  <c r="V830" i="8"/>
  <c r="W830" i="8"/>
  <c r="X830" i="8"/>
  <c r="Y830" i="8"/>
  <c r="Z830" i="8"/>
  <c r="AA830" i="8"/>
  <c r="AB830" i="8"/>
  <c r="AC830" i="8"/>
  <c r="AD830" i="8"/>
  <c r="Q831" i="8"/>
  <c r="R831" i="8"/>
  <c r="S831" i="8"/>
  <c r="T831" i="8"/>
  <c r="U831" i="8"/>
  <c r="V831" i="8"/>
  <c r="W831" i="8"/>
  <c r="X831" i="8"/>
  <c r="Y831" i="8"/>
  <c r="Z831" i="8"/>
  <c r="AA831" i="8"/>
  <c r="AB831" i="8"/>
  <c r="AC831" i="8"/>
  <c r="AD831" i="8"/>
  <c r="Q832" i="8"/>
  <c r="R832" i="8"/>
  <c r="S832" i="8"/>
  <c r="T832" i="8"/>
  <c r="U832" i="8"/>
  <c r="V832" i="8"/>
  <c r="W832" i="8"/>
  <c r="X832" i="8"/>
  <c r="Y832" i="8"/>
  <c r="Z832" i="8"/>
  <c r="AA832" i="8"/>
  <c r="AB832" i="8"/>
  <c r="AC832" i="8"/>
  <c r="AD832" i="8"/>
  <c r="Q833" i="8"/>
  <c r="R833" i="8"/>
  <c r="S833" i="8"/>
  <c r="T833" i="8"/>
  <c r="U833" i="8"/>
  <c r="V833" i="8"/>
  <c r="W833" i="8"/>
  <c r="X833" i="8"/>
  <c r="Y833" i="8"/>
  <c r="Z833" i="8"/>
  <c r="AA833" i="8"/>
  <c r="AB833" i="8"/>
  <c r="AC833" i="8"/>
  <c r="AD833" i="8"/>
  <c r="Q834" i="8"/>
  <c r="R834" i="8"/>
  <c r="S834" i="8"/>
  <c r="T834" i="8"/>
  <c r="U834" i="8"/>
  <c r="V834" i="8"/>
  <c r="W834" i="8"/>
  <c r="X834" i="8"/>
  <c r="Y834" i="8"/>
  <c r="Z834" i="8"/>
  <c r="AA834" i="8"/>
  <c r="AB834" i="8"/>
  <c r="AC834" i="8"/>
  <c r="AD834" i="8"/>
  <c r="Q835" i="8"/>
  <c r="R835" i="8"/>
  <c r="S835" i="8"/>
  <c r="T835" i="8"/>
  <c r="U835" i="8"/>
  <c r="V835" i="8"/>
  <c r="W835" i="8"/>
  <c r="X835" i="8"/>
  <c r="Y835" i="8"/>
  <c r="Z835" i="8"/>
  <c r="AA835" i="8"/>
  <c r="AB835" i="8"/>
  <c r="AC835" i="8"/>
  <c r="AD835" i="8"/>
  <c r="Q836" i="8"/>
  <c r="R836" i="8"/>
  <c r="S836" i="8"/>
  <c r="T836" i="8"/>
  <c r="U836" i="8"/>
  <c r="V836" i="8"/>
  <c r="W836" i="8"/>
  <c r="X836" i="8"/>
  <c r="Y836" i="8"/>
  <c r="Z836" i="8"/>
  <c r="AA836" i="8"/>
  <c r="AB836" i="8"/>
  <c r="AC836" i="8"/>
  <c r="AD836" i="8"/>
  <c r="Q837" i="8"/>
  <c r="R837" i="8"/>
  <c r="S837" i="8"/>
  <c r="T837" i="8"/>
  <c r="U837" i="8"/>
  <c r="V837" i="8"/>
  <c r="W837" i="8"/>
  <c r="X837" i="8"/>
  <c r="Y837" i="8"/>
  <c r="Z837" i="8"/>
  <c r="AA837" i="8"/>
  <c r="AB837" i="8"/>
  <c r="AC837" i="8"/>
  <c r="AD837" i="8"/>
  <c r="Q838" i="8"/>
  <c r="R838" i="8"/>
  <c r="S838" i="8"/>
  <c r="T838" i="8"/>
  <c r="U838" i="8"/>
  <c r="V838" i="8"/>
  <c r="W838" i="8"/>
  <c r="X838" i="8"/>
  <c r="Y838" i="8"/>
  <c r="Z838" i="8"/>
  <c r="AA838" i="8"/>
  <c r="AB838" i="8"/>
  <c r="AC838" i="8"/>
  <c r="AD838" i="8"/>
  <c r="Q839" i="8"/>
  <c r="R839" i="8"/>
  <c r="S839" i="8"/>
  <c r="T839" i="8"/>
  <c r="U839" i="8"/>
  <c r="V839" i="8"/>
  <c r="W839" i="8"/>
  <c r="X839" i="8"/>
  <c r="Y839" i="8"/>
  <c r="Z839" i="8"/>
  <c r="AA839" i="8"/>
  <c r="AB839" i="8"/>
  <c r="AC839" i="8"/>
  <c r="AD839" i="8"/>
  <c r="Q840" i="8"/>
  <c r="R840" i="8"/>
  <c r="S840" i="8"/>
  <c r="T840" i="8"/>
  <c r="U840" i="8"/>
  <c r="V840" i="8"/>
  <c r="W840" i="8"/>
  <c r="X840" i="8"/>
  <c r="Y840" i="8"/>
  <c r="Z840" i="8"/>
  <c r="AA840" i="8"/>
  <c r="AB840" i="8"/>
  <c r="AC840" i="8"/>
  <c r="AD840" i="8"/>
  <c r="Q841" i="8"/>
  <c r="R841" i="8"/>
  <c r="S841" i="8"/>
  <c r="T841" i="8"/>
  <c r="U841" i="8"/>
  <c r="V841" i="8"/>
  <c r="W841" i="8"/>
  <c r="X841" i="8"/>
  <c r="Y841" i="8"/>
  <c r="Z841" i="8"/>
  <c r="AA841" i="8"/>
  <c r="AB841" i="8"/>
  <c r="AC841" i="8"/>
  <c r="AD841" i="8"/>
  <c r="Q842" i="8"/>
  <c r="R842" i="8"/>
  <c r="S842" i="8"/>
  <c r="T842" i="8"/>
  <c r="U842" i="8"/>
  <c r="V842" i="8"/>
  <c r="W842" i="8"/>
  <c r="X842" i="8"/>
  <c r="Y842" i="8"/>
  <c r="Z842" i="8"/>
  <c r="AA842" i="8"/>
  <c r="AB842" i="8"/>
  <c r="AC842" i="8"/>
  <c r="AD842" i="8"/>
  <c r="Q843" i="8"/>
  <c r="R843" i="8"/>
  <c r="S843" i="8"/>
  <c r="T843" i="8"/>
  <c r="U843" i="8"/>
  <c r="V843" i="8"/>
  <c r="W843" i="8"/>
  <c r="X843" i="8"/>
  <c r="Y843" i="8"/>
  <c r="Z843" i="8"/>
  <c r="AA843" i="8"/>
  <c r="AB843" i="8"/>
  <c r="AC843" i="8"/>
  <c r="AD843" i="8"/>
  <c r="Q844" i="8"/>
  <c r="R844" i="8"/>
  <c r="S844" i="8"/>
  <c r="T844" i="8"/>
  <c r="U844" i="8"/>
  <c r="V844" i="8"/>
  <c r="W844" i="8"/>
  <c r="X844" i="8"/>
  <c r="Y844" i="8"/>
  <c r="Z844" i="8"/>
  <c r="AA844" i="8"/>
  <c r="AB844" i="8"/>
  <c r="AC844" i="8"/>
  <c r="AD844" i="8"/>
  <c r="Q845" i="8"/>
  <c r="R845" i="8"/>
  <c r="S845" i="8"/>
  <c r="T845" i="8"/>
  <c r="U845" i="8"/>
  <c r="V845" i="8"/>
  <c r="W845" i="8"/>
  <c r="X845" i="8"/>
  <c r="Y845" i="8"/>
  <c r="Z845" i="8"/>
  <c r="AA845" i="8"/>
  <c r="AB845" i="8"/>
  <c r="AC845" i="8"/>
  <c r="AD845" i="8"/>
  <c r="Q846" i="8"/>
  <c r="R846" i="8"/>
  <c r="S846" i="8"/>
  <c r="T846" i="8"/>
  <c r="U846" i="8"/>
  <c r="V846" i="8"/>
  <c r="W846" i="8"/>
  <c r="X846" i="8"/>
  <c r="Y846" i="8"/>
  <c r="Z846" i="8"/>
  <c r="AA846" i="8"/>
  <c r="AB846" i="8"/>
  <c r="AC846" i="8"/>
  <c r="AD846" i="8"/>
  <c r="Q847" i="8"/>
  <c r="R847" i="8"/>
  <c r="S847" i="8"/>
  <c r="T847" i="8"/>
  <c r="U847" i="8"/>
  <c r="V847" i="8"/>
  <c r="W847" i="8"/>
  <c r="X847" i="8"/>
  <c r="Y847" i="8"/>
  <c r="Z847" i="8"/>
  <c r="AA847" i="8"/>
  <c r="AB847" i="8"/>
  <c r="AC847" i="8"/>
  <c r="AD847" i="8"/>
  <c r="Q848" i="8"/>
  <c r="R848" i="8"/>
  <c r="S848" i="8"/>
  <c r="T848" i="8"/>
  <c r="U848" i="8"/>
  <c r="V848" i="8"/>
  <c r="W848" i="8"/>
  <c r="X848" i="8"/>
  <c r="Y848" i="8"/>
  <c r="Z848" i="8"/>
  <c r="AA848" i="8"/>
  <c r="AB848" i="8"/>
  <c r="AC848" i="8"/>
  <c r="AD848" i="8"/>
  <c r="Q849" i="8"/>
  <c r="R849" i="8"/>
  <c r="S849" i="8"/>
  <c r="T849" i="8"/>
  <c r="U849" i="8"/>
  <c r="V849" i="8"/>
  <c r="W849" i="8"/>
  <c r="X849" i="8"/>
  <c r="Y849" i="8"/>
  <c r="Z849" i="8"/>
  <c r="AA849" i="8"/>
  <c r="AB849" i="8"/>
  <c r="AC849" i="8"/>
  <c r="AD849" i="8"/>
  <c r="Q850" i="8"/>
  <c r="R850" i="8"/>
  <c r="S850" i="8"/>
  <c r="T850" i="8"/>
  <c r="U850" i="8"/>
  <c r="V850" i="8"/>
  <c r="W850" i="8"/>
  <c r="X850" i="8"/>
  <c r="Y850" i="8"/>
  <c r="Z850" i="8"/>
  <c r="AA850" i="8"/>
  <c r="AB850" i="8"/>
  <c r="AC850" i="8"/>
  <c r="AD850" i="8"/>
  <c r="Q851" i="8"/>
  <c r="R851" i="8"/>
  <c r="S851" i="8"/>
  <c r="T851" i="8"/>
  <c r="U851" i="8"/>
  <c r="V851" i="8"/>
  <c r="W851" i="8"/>
  <c r="X851" i="8"/>
  <c r="Y851" i="8"/>
  <c r="Z851" i="8"/>
  <c r="AA851" i="8"/>
  <c r="AB851" i="8"/>
  <c r="AC851" i="8"/>
  <c r="AD851" i="8"/>
  <c r="Q852" i="8"/>
  <c r="R852" i="8"/>
  <c r="S852" i="8"/>
  <c r="T852" i="8"/>
  <c r="U852" i="8"/>
  <c r="V852" i="8"/>
  <c r="W852" i="8"/>
  <c r="X852" i="8"/>
  <c r="Y852" i="8"/>
  <c r="Z852" i="8"/>
  <c r="AA852" i="8"/>
  <c r="AB852" i="8"/>
  <c r="AC852" i="8"/>
  <c r="AD852" i="8"/>
  <c r="Q853" i="8"/>
  <c r="R853" i="8"/>
  <c r="S853" i="8"/>
  <c r="T853" i="8"/>
  <c r="U853" i="8"/>
  <c r="V853" i="8"/>
  <c r="W853" i="8"/>
  <c r="X853" i="8"/>
  <c r="Y853" i="8"/>
  <c r="Z853" i="8"/>
  <c r="AA853" i="8"/>
  <c r="AB853" i="8"/>
  <c r="AC853" i="8"/>
  <c r="AD853" i="8"/>
  <c r="Q854" i="8"/>
  <c r="R854" i="8"/>
  <c r="S854" i="8"/>
  <c r="T854" i="8"/>
  <c r="U854" i="8"/>
  <c r="V854" i="8"/>
  <c r="W854" i="8"/>
  <c r="X854" i="8"/>
  <c r="Y854" i="8"/>
  <c r="Z854" i="8"/>
  <c r="AA854" i="8"/>
  <c r="AB854" i="8"/>
  <c r="AC854" i="8"/>
  <c r="AD854" i="8"/>
  <c r="Q855" i="8"/>
  <c r="R855" i="8"/>
  <c r="S855" i="8"/>
  <c r="T855" i="8"/>
  <c r="U855" i="8"/>
  <c r="V855" i="8"/>
  <c r="W855" i="8"/>
  <c r="X855" i="8"/>
  <c r="Y855" i="8"/>
  <c r="Z855" i="8"/>
  <c r="AA855" i="8"/>
  <c r="AB855" i="8"/>
  <c r="AC855" i="8"/>
  <c r="AD855" i="8"/>
  <c r="Q856" i="8"/>
  <c r="R856" i="8"/>
  <c r="S856" i="8"/>
  <c r="T856" i="8"/>
  <c r="U856" i="8"/>
  <c r="V856" i="8"/>
  <c r="W856" i="8"/>
  <c r="X856" i="8"/>
  <c r="Y856" i="8"/>
  <c r="Z856" i="8"/>
  <c r="AA856" i="8"/>
  <c r="AB856" i="8"/>
  <c r="AC856" i="8"/>
  <c r="AD856" i="8"/>
  <c r="Q857" i="8"/>
  <c r="R857" i="8"/>
  <c r="S857" i="8"/>
  <c r="T857" i="8"/>
  <c r="U857" i="8"/>
  <c r="V857" i="8"/>
  <c r="W857" i="8"/>
  <c r="X857" i="8"/>
  <c r="Y857" i="8"/>
  <c r="Z857" i="8"/>
  <c r="AA857" i="8"/>
  <c r="AB857" i="8"/>
  <c r="AC857" i="8"/>
  <c r="AD857" i="8"/>
  <c r="Q858" i="8"/>
  <c r="R858" i="8"/>
  <c r="S858" i="8"/>
  <c r="T858" i="8"/>
  <c r="U858" i="8"/>
  <c r="V858" i="8"/>
  <c r="W858" i="8"/>
  <c r="X858" i="8"/>
  <c r="Y858" i="8"/>
  <c r="Z858" i="8"/>
  <c r="AA858" i="8"/>
  <c r="AB858" i="8"/>
  <c r="AC858" i="8"/>
  <c r="AD858" i="8"/>
  <c r="Q859" i="8"/>
  <c r="R859" i="8"/>
  <c r="S859" i="8"/>
  <c r="T859" i="8"/>
  <c r="U859" i="8"/>
  <c r="V859" i="8"/>
  <c r="W859" i="8"/>
  <c r="X859" i="8"/>
  <c r="Y859" i="8"/>
  <c r="Z859" i="8"/>
  <c r="AA859" i="8"/>
  <c r="AB859" i="8"/>
  <c r="AC859" i="8"/>
  <c r="AD859" i="8"/>
  <c r="Q860" i="8"/>
  <c r="R860" i="8"/>
  <c r="S860" i="8"/>
  <c r="T860" i="8"/>
  <c r="U860" i="8"/>
  <c r="V860" i="8"/>
  <c r="W860" i="8"/>
  <c r="X860" i="8"/>
  <c r="Y860" i="8"/>
  <c r="Z860" i="8"/>
  <c r="AA860" i="8"/>
  <c r="AB860" i="8"/>
  <c r="AC860" i="8"/>
  <c r="AD860" i="8"/>
  <c r="Q861" i="8"/>
  <c r="R861" i="8"/>
  <c r="S861" i="8"/>
  <c r="T861" i="8"/>
  <c r="U861" i="8"/>
  <c r="V861" i="8"/>
  <c r="W861" i="8"/>
  <c r="X861" i="8"/>
  <c r="Y861" i="8"/>
  <c r="Z861" i="8"/>
  <c r="AA861" i="8"/>
  <c r="AB861" i="8"/>
  <c r="AC861" i="8"/>
  <c r="AD861" i="8"/>
  <c r="Q862" i="8"/>
  <c r="R862" i="8"/>
  <c r="S862" i="8"/>
  <c r="T862" i="8"/>
  <c r="U862" i="8"/>
  <c r="V862" i="8"/>
  <c r="W862" i="8"/>
  <c r="X862" i="8"/>
  <c r="Y862" i="8"/>
  <c r="Z862" i="8"/>
  <c r="AA862" i="8"/>
  <c r="AB862" i="8"/>
  <c r="AC862" i="8"/>
  <c r="AD862" i="8"/>
  <c r="Q863" i="8"/>
  <c r="R863" i="8"/>
  <c r="S863" i="8"/>
  <c r="T863" i="8"/>
  <c r="U863" i="8"/>
  <c r="V863" i="8"/>
  <c r="W863" i="8"/>
  <c r="X863" i="8"/>
  <c r="Y863" i="8"/>
  <c r="Z863" i="8"/>
  <c r="AA863" i="8"/>
  <c r="AB863" i="8"/>
  <c r="AC863" i="8"/>
  <c r="AD863" i="8"/>
  <c r="Q864" i="8"/>
  <c r="R864" i="8"/>
  <c r="S864" i="8"/>
  <c r="T864" i="8"/>
  <c r="U864" i="8"/>
  <c r="V864" i="8"/>
  <c r="W864" i="8"/>
  <c r="X864" i="8"/>
  <c r="Y864" i="8"/>
  <c r="Z864" i="8"/>
  <c r="AA864" i="8"/>
  <c r="AB864" i="8"/>
  <c r="AC864" i="8"/>
  <c r="AD864" i="8"/>
  <c r="Q865" i="8"/>
  <c r="R865" i="8"/>
  <c r="S865" i="8"/>
  <c r="T865" i="8"/>
  <c r="U865" i="8"/>
  <c r="V865" i="8"/>
  <c r="W865" i="8"/>
  <c r="X865" i="8"/>
  <c r="Y865" i="8"/>
  <c r="Z865" i="8"/>
  <c r="AA865" i="8"/>
  <c r="AB865" i="8"/>
  <c r="AC865" i="8"/>
  <c r="AD865" i="8"/>
  <c r="Q866" i="8"/>
  <c r="R866" i="8"/>
  <c r="S866" i="8"/>
  <c r="T866" i="8"/>
  <c r="U866" i="8"/>
  <c r="V866" i="8"/>
  <c r="W866" i="8"/>
  <c r="X866" i="8"/>
  <c r="Y866" i="8"/>
  <c r="Z866" i="8"/>
  <c r="AA866" i="8"/>
  <c r="AB866" i="8"/>
  <c r="AC866" i="8"/>
  <c r="AD866" i="8"/>
  <c r="Q867" i="8"/>
  <c r="R867" i="8"/>
  <c r="S867" i="8"/>
  <c r="T867" i="8"/>
  <c r="U867" i="8"/>
  <c r="V867" i="8"/>
  <c r="W867" i="8"/>
  <c r="X867" i="8"/>
  <c r="Y867" i="8"/>
  <c r="Z867" i="8"/>
  <c r="AA867" i="8"/>
  <c r="AB867" i="8"/>
  <c r="AC867" i="8"/>
  <c r="AD867" i="8"/>
  <c r="Q868" i="8"/>
  <c r="R868" i="8"/>
  <c r="S868" i="8"/>
  <c r="T868" i="8"/>
  <c r="U868" i="8"/>
  <c r="V868" i="8"/>
  <c r="W868" i="8"/>
  <c r="X868" i="8"/>
  <c r="Y868" i="8"/>
  <c r="Z868" i="8"/>
  <c r="AA868" i="8"/>
  <c r="AB868" i="8"/>
  <c r="AC868" i="8"/>
  <c r="AD868" i="8"/>
  <c r="Q869" i="8"/>
  <c r="R869" i="8"/>
  <c r="S869" i="8"/>
  <c r="T869" i="8"/>
  <c r="U869" i="8"/>
  <c r="V869" i="8"/>
  <c r="W869" i="8"/>
  <c r="X869" i="8"/>
  <c r="Y869" i="8"/>
  <c r="Z869" i="8"/>
  <c r="AA869" i="8"/>
  <c r="AB869" i="8"/>
  <c r="AC869" i="8"/>
  <c r="AD869" i="8"/>
  <c r="Q870" i="8"/>
  <c r="R870" i="8"/>
  <c r="S870" i="8"/>
  <c r="T870" i="8"/>
  <c r="U870" i="8"/>
  <c r="V870" i="8"/>
  <c r="W870" i="8"/>
  <c r="X870" i="8"/>
  <c r="Y870" i="8"/>
  <c r="Z870" i="8"/>
  <c r="AA870" i="8"/>
  <c r="AB870" i="8"/>
  <c r="AC870" i="8"/>
  <c r="AD870" i="8"/>
  <c r="Q871" i="8"/>
  <c r="R871" i="8"/>
  <c r="S871" i="8"/>
  <c r="T871" i="8"/>
  <c r="U871" i="8"/>
  <c r="V871" i="8"/>
  <c r="W871" i="8"/>
  <c r="X871" i="8"/>
  <c r="Y871" i="8"/>
  <c r="Z871" i="8"/>
  <c r="AA871" i="8"/>
  <c r="AB871" i="8"/>
  <c r="AC871" i="8"/>
  <c r="AD871" i="8"/>
  <c r="Q872" i="8"/>
  <c r="R872" i="8"/>
  <c r="S872" i="8"/>
  <c r="T872" i="8"/>
  <c r="U872" i="8"/>
  <c r="V872" i="8"/>
  <c r="W872" i="8"/>
  <c r="X872" i="8"/>
  <c r="Y872" i="8"/>
  <c r="Z872" i="8"/>
  <c r="AA872" i="8"/>
  <c r="AB872" i="8"/>
  <c r="AC872" i="8"/>
  <c r="AD872" i="8"/>
  <c r="Q873" i="8"/>
  <c r="R873" i="8"/>
  <c r="S873" i="8"/>
  <c r="T873" i="8"/>
  <c r="U873" i="8"/>
  <c r="V873" i="8"/>
  <c r="W873" i="8"/>
  <c r="X873" i="8"/>
  <c r="Y873" i="8"/>
  <c r="Z873" i="8"/>
  <c r="AA873" i="8"/>
  <c r="AB873" i="8"/>
  <c r="AC873" i="8"/>
  <c r="AD873" i="8"/>
  <c r="Q874" i="8"/>
  <c r="R874" i="8"/>
  <c r="S874" i="8"/>
  <c r="T874" i="8"/>
  <c r="U874" i="8"/>
  <c r="V874" i="8"/>
  <c r="W874" i="8"/>
  <c r="X874" i="8"/>
  <c r="Y874" i="8"/>
  <c r="Z874" i="8"/>
  <c r="AA874" i="8"/>
  <c r="AB874" i="8"/>
  <c r="AC874" i="8"/>
  <c r="AD874" i="8"/>
  <c r="Q875" i="8"/>
  <c r="R875" i="8"/>
  <c r="S875" i="8"/>
  <c r="T875" i="8"/>
  <c r="U875" i="8"/>
  <c r="V875" i="8"/>
  <c r="W875" i="8"/>
  <c r="X875" i="8"/>
  <c r="Y875" i="8"/>
  <c r="Z875" i="8"/>
  <c r="AA875" i="8"/>
  <c r="AB875" i="8"/>
  <c r="AC875" i="8"/>
  <c r="AD875" i="8"/>
  <c r="Q876" i="8"/>
  <c r="R876" i="8"/>
  <c r="S876" i="8"/>
  <c r="T876" i="8"/>
  <c r="U876" i="8"/>
  <c r="V876" i="8"/>
  <c r="W876" i="8"/>
  <c r="X876" i="8"/>
  <c r="Y876" i="8"/>
  <c r="Z876" i="8"/>
  <c r="AA876" i="8"/>
  <c r="AB876" i="8"/>
  <c r="AC876" i="8"/>
  <c r="AD876" i="8"/>
  <c r="Q877" i="8"/>
  <c r="R877" i="8"/>
  <c r="S877" i="8"/>
  <c r="T877" i="8"/>
  <c r="U877" i="8"/>
  <c r="V877" i="8"/>
  <c r="W877" i="8"/>
  <c r="X877" i="8"/>
  <c r="Y877" i="8"/>
  <c r="Z877" i="8"/>
  <c r="AA877" i="8"/>
  <c r="AB877" i="8"/>
  <c r="AC877" i="8"/>
  <c r="AD877" i="8"/>
  <c r="Q878" i="8"/>
  <c r="R878" i="8"/>
  <c r="S878" i="8"/>
  <c r="T878" i="8"/>
  <c r="U878" i="8"/>
  <c r="V878" i="8"/>
  <c r="W878" i="8"/>
  <c r="X878" i="8"/>
  <c r="Y878" i="8"/>
  <c r="Z878" i="8"/>
  <c r="AA878" i="8"/>
  <c r="AB878" i="8"/>
  <c r="AC878" i="8"/>
  <c r="AD878" i="8"/>
  <c r="Q879" i="8"/>
  <c r="R879" i="8"/>
  <c r="S879" i="8"/>
  <c r="T879" i="8"/>
  <c r="U879" i="8"/>
  <c r="V879" i="8"/>
  <c r="W879" i="8"/>
  <c r="X879" i="8"/>
  <c r="Y879" i="8"/>
  <c r="Z879" i="8"/>
  <c r="AA879" i="8"/>
  <c r="AB879" i="8"/>
  <c r="AC879" i="8"/>
  <c r="AD879" i="8"/>
  <c r="Q880" i="8"/>
  <c r="R880" i="8"/>
  <c r="S880" i="8"/>
  <c r="T880" i="8"/>
  <c r="U880" i="8"/>
  <c r="V880" i="8"/>
  <c r="W880" i="8"/>
  <c r="X880" i="8"/>
  <c r="Y880" i="8"/>
  <c r="Z880" i="8"/>
  <c r="AA880" i="8"/>
  <c r="AB880" i="8"/>
  <c r="AC880" i="8"/>
  <c r="AD880" i="8"/>
  <c r="Q881" i="8"/>
  <c r="R881" i="8"/>
  <c r="S881" i="8"/>
  <c r="T881" i="8"/>
  <c r="U881" i="8"/>
  <c r="V881" i="8"/>
  <c r="W881" i="8"/>
  <c r="X881" i="8"/>
  <c r="Y881" i="8"/>
  <c r="Z881" i="8"/>
  <c r="AA881" i="8"/>
  <c r="AB881" i="8"/>
  <c r="AC881" i="8"/>
  <c r="AD881" i="8"/>
  <c r="Q882" i="8"/>
  <c r="R882" i="8"/>
  <c r="S882" i="8"/>
  <c r="T882" i="8"/>
  <c r="U882" i="8"/>
  <c r="V882" i="8"/>
  <c r="W882" i="8"/>
  <c r="X882" i="8"/>
  <c r="Y882" i="8"/>
  <c r="Z882" i="8"/>
  <c r="AA882" i="8"/>
  <c r="AB882" i="8"/>
  <c r="AC882" i="8"/>
  <c r="AD882" i="8"/>
  <c r="Q883" i="8"/>
  <c r="R883" i="8"/>
  <c r="S883" i="8"/>
  <c r="T883" i="8"/>
  <c r="U883" i="8"/>
  <c r="V883" i="8"/>
  <c r="W883" i="8"/>
  <c r="X883" i="8"/>
  <c r="Y883" i="8"/>
  <c r="Z883" i="8"/>
  <c r="AA883" i="8"/>
  <c r="AB883" i="8"/>
  <c r="AC883" i="8"/>
  <c r="AD883" i="8"/>
  <c r="Q884" i="8"/>
  <c r="R884" i="8"/>
  <c r="S884" i="8"/>
  <c r="T884" i="8"/>
  <c r="U884" i="8"/>
  <c r="V884" i="8"/>
  <c r="W884" i="8"/>
  <c r="X884" i="8"/>
  <c r="Y884" i="8"/>
  <c r="Z884" i="8"/>
  <c r="AA884" i="8"/>
  <c r="AB884" i="8"/>
  <c r="AC884" i="8"/>
  <c r="AD884" i="8"/>
  <c r="Q885" i="8"/>
  <c r="R885" i="8"/>
  <c r="S885" i="8"/>
  <c r="T885" i="8"/>
  <c r="U885" i="8"/>
  <c r="V885" i="8"/>
  <c r="W885" i="8"/>
  <c r="X885" i="8"/>
  <c r="Y885" i="8"/>
  <c r="Z885" i="8"/>
  <c r="AA885" i="8"/>
  <c r="AB885" i="8"/>
  <c r="AC885" i="8"/>
  <c r="AD885" i="8"/>
  <c r="Q886" i="8"/>
  <c r="R886" i="8"/>
  <c r="S886" i="8"/>
  <c r="T886" i="8"/>
  <c r="U886" i="8"/>
  <c r="V886" i="8"/>
  <c r="W886" i="8"/>
  <c r="X886" i="8"/>
  <c r="Y886" i="8"/>
  <c r="Z886" i="8"/>
  <c r="AA886" i="8"/>
  <c r="AB886" i="8"/>
  <c r="AC886" i="8"/>
  <c r="AD886" i="8"/>
  <c r="Q887" i="8"/>
  <c r="R887" i="8"/>
  <c r="S887" i="8"/>
  <c r="T887" i="8"/>
  <c r="U887" i="8"/>
  <c r="V887" i="8"/>
  <c r="W887" i="8"/>
  <c r="X887" i="8"/>
  <c r="Y887" i="8"/>
  <c r="Z887" i="8"/>
  <c r="AA887" i="8"/>
  <c r="AB887" i="8"/>
  <c r="AC887" i="8"/>
  <c r="AD887" i="8"/>
  <c r="Q888" i="8"/>
  <c r="R888" i="8"/>
  <c r="S888" i="8"/>
  <c r="T888" i="8"/>
  <c r="U888" i="8"/>
  <c r="V888" i="8"/>
  <c r="W888" i="8"/>
  <c r="X888" i="8"/>
  <c r="Y888" i="8"/>
  <c r="Z888" i="8"/>
  <c r="AA888" i="8"/>
  <c r="AB888" i="8"/>
  <c r="AC888" i="8"/>
  <c r="AD888" i="8"/>
  <c r="Q889" i="8"/>
  <c r="R889" i="8"/>
  <c r="S889" i="8"/>
  <c r="T889" i="8"/>
  <c r="U889" i="8"/>
  <c r="V889" i="8"/>
  <c r="W889" i="8"/>
  <c r="X889" i="8"/>
  <c r="Y889" i="8"/>
  <c r="Z889" i="8"/>
  <c r="AA889" i="8"/>
  <c r="AB889" i="8"/>
  <c r="AC889" i="8"/>
  <c r="AD889" i="8"/>
  <c r="Q890" i="8"/>
  <c r="R890" i="8"/>
  <c r="S890" i="8"/>
  <c r="T890" i="8"/>
  <c r="U890" i="8"/>
  <c r="V890" i="8"/>
  <c r="W890" i="8"/>
  <c r="X890" i="8"/>
  <c r="Y890" i="8"/>
  <c r="Z890" i="8"/>
  <c r="AA890" i="8"/>
  <c r="AB890" i="8"/>
  <c r="AC890" i="8"/>
  <c r="AD890" i="8"/>
  <c r="Q891" i="8"/>
  <c r="R891" i="8"/>
  <c r="S891" i="8"/>
  <c r="T891" i="8"/>
  <c r="U891" i="8"/>
  <c r="V891" i="8"/>
  <c r="W891" i="8"/>
  <c r="X891" i="8"/>
  <c r="Y891" i="8"/>
  <c r="Z891" i="8"/>
  <c r="AA891" i="8"/>
  <c r="AB891" i="8"/>
  <c r="AC891" i="8"/>
  <c r="AD891" i="8"/>
  <c r="Q892" i="8"/>
  <c r="R892" i="8"/>
  <c r="S892" i="8"/>
  <c r="T892" i="8"/>
  <c r="U892" i="8"/>
  <c r="V892" i="8"/>
  <c r="W892" i="8"/>
  <c r="X892" i="8"/>
  <c r="Y892" i="8"/>
  <c r="Z892" i="8"/>
  <c r="AA892" i="8"/>
  <c r="AB892" i="8"/>
  <c r="AC892" i="8"/>
  <c r="AD892" i="8"/>
  <c r="Q893" i="8"/>
  <c r="R893" i="8"/>
  <c r="S893" i="8"/>
  <c r="T893" i="8"/>
  <c r="U893" i="8"/>
  <c r="V893" i="8"/>
  <c r="W893" i="8"/>
  <c r="X893" i="8"/>
  <c r="Y893" i="8"/>
  <c r="Z893" i="8"/>
  <c r="AA893" i="8"/>
  <c r="AB893" i="8"/>
  <c r="AC893" i="8"/>
  <c r="AD893" i="8"/>
  <c r="Q894" i="8"/>
  <c r="R894" i="8"/>
  <c r="S894" i="8"/>
  <c r="T894" i="8"/>
  <c r="U894" i="8"/>
  <c r="V894" i="8"/>
  <c r="W894" i="8"/>
  <c r="X894" i="8"/>
  <c r="Y894" i="8"/>
  <c r="Z894" i="8"/>
  <c r="AA894" i="8"/>
  <c r="AB894" i="8"/>
  <c r="AC894" i="8"/>
  <c r="AD894" i="8"/>
  <c r="Q895" i="8"/>
  <c r="R895" i="8"/>
  <c r="S895" i="8"/>
  <c r="T895" i="8"/>
  <c r="U895" i="8"/>
  <c r="V895" i="8"/>
  <c r="W895" i="8"/>
  <c r="X895" i="8"/>
  <c r="Y895" i="8"/>
  <c r="Z895" i="8"/>
  <c r="AA895" i="8"/>
  <c r="AB895" i="8"/>
  <c r="AC895" i="8"/>
  <c r="AD895" i="8"/>
  <c r="Q896" i="8"/>
  <c r="R896" i="8"/>
  <c r="S896" i="8"/>
  <c r="T896" i="8"/>
  <c r="U896" i="8"/>
  <c r="V896" i="8"/>
  <c r="W896" i="8"/>
  <c r="X896" i="8"/>
  <c r="Y896" i="8"/>
  <c r="Z896" i="8"/>
  <c r="AA896" i="8"/>
  <c r="AB896" i="8"/>
  <c r="AC896" i="8"/>
  <c r="AD896" i="8"/>
  <c r="Q897" i="8"/>
  <c r="R897" i="8"/>
  <c r="S897" i="8"/>
  <c r="T897" i="8"/>
  <c r="U897" i="8"/>
  <c r="V897" i="8"/>
  <c r="W897" i="8"/>
  <c r="X897" i="8"/>
  <c r="Y897" i="8"/>
  <c r="Z897" i="8"/>
  <c r="AA897" i="8"/>
  <c r="AB897" i="8"/>
  <c r="AC897" i="8"/>
  <c r="AD897" i="8"/>
  <c r="Q898" i="8"/>
  <c r="R898" i="8"/>
  <c r="S898" i="8"/>
  <c r="T898" i="8"/>
  <c r="U898" i="8"/>
  <c r="V898" i="8"/>
  <c r="W898" i="8"/>
  <c r="X898" i="8"/>
  <c r="Y898" i="8"/>
  <c r="Z898" i="8"/>
  <c r="AA898" i="8"/>
  <c r="AB898" i="8"/>
  <c r="AC898" i="8"/>
  <c r="AD898" i="8"/>
  <c r="Q899" i="8"/>
  <c r="R899" i="8"/>
  <c r="S899" i="8"/>
  <c r="T899" i="8"/>
  <c r="U899" i="8"/>
  <c r="V899" i="8"/>
  <c r="W899" i="8"/>
  <c r="X899" i="8"/>
  <c r="Y899" i="8"/>
  <c r="Z899" i="8"/>
  <c r="AA899" i="8"/>
  <c r="AB899" i="8"/>
  <c r="AC899" i="8"/>
  <c r="AD899" i="8"/>
  <c r="Q900" i="8"/>
  <c r="R900" i="8"/>
  <c r="S900" i="8"/>
  <c r="T900" i="8"/>
  <c r="U900" i="8"/>
  <c r="V900" i="8"/>
  <c r="W900" i="8"/>
  <c r="X900" i="8"/>
  <c r="Y900" i="8"/>
  <c r="Z900" i="8"/>
  <c r="AA900" i="8"/>
  <c r="AB900" i="8"/>
  <c r="AC900" i="8"/>
  <c r="AD900" i="8"/>
  <c r="Q901" i="8"/>
  <c r="R901" i="8"/>
  <c r="S901" i="8"/>
  <c r="T901" i="8"/>
  <c r="U901" i="8"/>
  <c r="V901" i="8"/>
  <c r="W901" i="8"/>
  <c r="X901" i="8"/>
  <c r="Y901" i="8"/>
  <c r="Z901" i="8"/>
  <c r="AA901" i="8"/>
  <c r="AB901" i="8"/>
  <c r="AC901" i="8"/>
  <c r="AD901" i="8"/>
  <c r="Q902" i="8"/>
  <c r="R902" i="8"/>
  <c r="S902" i="8"/>
  <c r="T902" i="8"/>
  <c r="U902" i="8"/>
  <c r="V902" i="8"/>
  <c r="W902" i="8"/>
  <c r="X902" i="8"/>
  <c r="Y902" i="8"/>
  <c r="Z902" i="8"/>
  <c r="AA902" i="8"/>
  <c r="AB902" i="8"/>
  <c r="AC902" i="8"/>
  <c r="AD902" i="8"/>
  <c r="Q903" i="8"/>
  <c r="R903" i="8"/>
  <c r="S903" i="8"/>
  <c r="T903" i="8"/>
  <c r="U903" i="8"/>
  <c r="V903" i="8"/>
  <c r="W903" i="8"/>
  <c r="X903" i="8"/>
  <c r="Y903" i="8"/>
  <c r="Z903" i="8"/>
  <c r="AA903" i="8"/>
  <c r="AB903" i="8"/>
  <c r="AC903" i="8"/>
  <c r="AD903" i="8"/>
  <c r="Q904" i="8"/>
  <c r="R904" i="8"/>
  <c r="S904" i="8"/>
  <c r="T904" i="8"/>
  <c r="U904" i="8"/>
  <c r="V904" i="8"/>
  <c r="W904" i="8"/>
  <c r="X904" i="8"/>
  <c r="Y904" i="8"/>
  <c r="Z904" i="8"/>
  <c r="AA904" i="8"/>
  <c r="AB904" i="8"/>
  <c r="AC904" i="8"/>
  <c r="AD904" i="8"/>
  <c r="Q905" i="8"/>
  <c r="R905" i="8"/>
  <c r="S905" i="8"/>
  <c r="T905" i="8"/>
  <c r="U905" i="8"/>
  <c r="V905" i="8"/>
  <c r="W905" i="8"/>
  <c r="X905" i="8"/>
  <c r="Y905" i="8"/>
  <c r="Z905" i="8"/>
  <c r="AA905" i="8"/>
  <c r="AB905" i="8"/>
  <c r="AC905" i="8"/>
  <c r="AD905" i="8"/>
  <c r="Q906" i="8"/>
  <c r="R906" i="8"/>
  <c r="S906" i="8"/>
  <c r="T906" i="8"/>
  <c r="U906" i="8"/>
  <c r="V906" i="8"/>
  <c r="W906" i="8"/>
  <c r="X906" i="8"/>
  <c r="Y906" i="8"/>
  <c r="Z906" i="8"/>
  <c r="AA906" i="8"/>
  <c r="AB906" i="8"/>
  <c r="AC906" i="8"/>
  <c r="AD906" i="8"/>
  <c r="Q907" i="8"/>
  <c r="R907" i="8"/>
  <c r="S907" i="8"/>
  <c r="T907" i="8"/>
  <c r="U907" i="8"/>
  <c r="V907" i="8"/>
  <c r="W907" i="8"/>
  <c r="X907" i="8"/>
  <c r="Y907" i="8"/>
  <c r="Z907" i="8"/>
  <c r="AA907" i="8"/>
  <c r="AB907" i="8"/>
  <c r="AC907" i="8"/>
  <c r="AD907" i="8"/>
  <c r="Q908" i="8"/>
  <c r="R908" i="8"/>
  <c r="S908" i="8"/>
  <c r="T908" i="8"/>
  <c r="U908" i="8"/>
  <c r="V908" i="8"/>
  <c r="W908" i="8"/>
  <c r="X908" i="8"/>
  <c r="Y908" i="8"/>
  <c r="Z908" i="8"/>
  <c r="AA908" i="8"/>
  <c r="AB908" i="8"/>
  <c r="AC908" i="8"/>
  <c r="AD908" i="8"/>
  <c r="Q909" i="8"/>
  <c r="R909" i="8"/>
  <c r="S909" i="8"/>
  <c r="T909" i="8"/>
  <c r="U909" i="8"/>
  <c r="V909" i="8"/>
  <c r="W909" i="8"/>
  <c r="X909" i="8"/>
  <c r="Y909" i="8"/>
  <c r="Z909" i="8"/>
  <c r="AA909" i="8"/>
  <c r="AB909" i="8"/>
  <c r="AC909" i="8"/>
  <c r="AD909" i="8"/>
  <c r="Q910" i="8"/>
  <c r="R910" i="8"/>
  <c r="S910" i="8"/>
  <c r="T910" i="8"/>
  <c r="U910" i="8"/>
  <c r="V910" i="8"/>
  <c r="W910" i="8"/>
  <c r="X910" i="8"/>
  <c r="Y910" i="8"/>
  <c r="Z910" i="8"/>
  <c r="AA910" i="8"/>
  <c r="AB910" i="8"/>
  <c r="AC910" i="8"/>
  <c r="AD910" i="8"/>
  <c r="Q911" i="8"/>
  <c r="R911" i="8"/>
  <c r="S911" i="8"/>
  <c r="T911" i="8"/>
  <c r="U911" i="8"/>
  <c r="V911" i="8"/>
  <c r="W911" i="8"/>
  <c r="X911" i="8"/>
  <c r="Y911" i="8"/>
  <c r="Z911" i="8"/>
  <c r="AA911" i="8"/>
  <c r="AB911" i="8"/>
  <c r="AC911" i="8"/>
  <c r="AD911" i="8"/>
  <c r="Q912" i="8"/>
  <c r="R912" i="8"/>
  <c r="S912" i="8"/>
  <c r="T912" i="8"/>
  <c r="U912" i="8"/>
  <c r="V912" i="8"/>
  <c r="W912" i="8"/>
  <c r="X912" i="8"/>
  <c r="Y912" i="8"/>
  <c r="Z912" i="8"/>
  <c r="AA912" i="8"/>
  <c r="AB912" i="8"/>
  <c r="AC912" i="8"/>
  <c r="AD912" i="8"/>
  <c r="Q913" i="8"/>
  <c r="R913" i="8"/>
  <c r="S913" i="8"/>
  <c r="T913" i="8"/>
  <c r="U913" i="8"/>
  <c r="V913" i="8"/>
  <c r="W913" i="8"/>
  <c r="X913" i="8"/>
  <c r="Y913" i="8"/>
  <c r="Z913" i="8"/>
  <c r="AA913" i="8"/>
  <c r="AB913" i="8"/>
  <c r="AC913" i="8"/>
  <c r="AD913" i="8"/>
  <c r="Q914" i="8"/>
  <c r="R914" i="8"/>
  <c r="S914" i="8"/>
  <c r="T914" i="8"/>
  <c r="U914" i="8"/>
  <c r="V914" i="8"/>
  <c r="W914" i="8"/>
  <c r="X914" i="8"/>
  <c r="Y914" i="8"/>
  <c r="Z914" i="8"/>
  <c r="AA914" i="8"/>
  <c r="AB914" i="8"/>
  <c r="AC914" i="8"/>
  <c r="AD914" i="8"/>
  <c r="Q915" i="8"/>
  <c r="R915" i="8"/>
  <c r="S915" i="8"/>
  <c r="T915" i="8"/>
  <c r="U915" i="8"/>
  <c r="V915" i="8"/>
  <c r="W915" i="8"/>
  <c r="X915" i="8"/>
  <c r="Y915" i="8"/>
  <c r="Z915" i="8"/>
  <c r="AA915" i="8"/>
  <c r="AB915" i="8"/>
  <c r="AC915" i="8"/>
  <c r="AD915" i="8"/>
  <c r="Q916" i="8"/>
  <c r="R916" i="8"/>
  <c r="S916" i="8"/>
  <c r="T916" i="8"/>
  <c r="U916" i="8"/>
  <c r="V916" i="8"/>
  <c r="W916" i="8"/>
  <c r="X916" i="8"/>
  <c r="Y916" i="8"/>
  <c r="Z916" i="8"/>
  <c r="AA916" i="8"/>
  <c r="AB916" i="8"/>
  <c r="AC916" i="8"/>
  <c r="AD916" i="8"/>
  <c r="Q917" i="8"/>
  <c r="R917" i="8"/>
  <c r="S917" i="8"/>
  <c r="T917" i="8"/>
  <c r="U917" i="8"/>
  <c r="V917" i="8"/>
  <c r="W917" i="8"/>
  <c r="X917" i="8"/>
  <c r="Y917" i="8"/>
  <c r="Z917" i="8"/>
  <c r="AA917" i="8"/>
  <c r="AB917" i="8"/>
  <c r="AC917" i="8"/>
  <c r="AD917" i="8"/>
  <c r="Q918" i="8"/>
  <c r="R918" i="8"/>
  <c r="S918" i="8"/>
  <c r="T918" i="8"/>
  <c r="U918" i="8"/>
  <c r="V918" i="8"/>
  <c r="W918" i="8"/>
  <c r="X918" i="8"/>
  <c r="Y918" i="8"/>
  <c r="Z918" i="8"/>
  <c r="AA918" i="8"/>
  <c r="AB918" i="8"/>
  <c r="AC918" i="8"/>
  <c r="AD918" i="8"/>
  <c r="Q919" i="8"/>
  <c r="R919" i="8"/>
  <c r="S919" i="8"/>
  <c r="T919" i="8"/>
  <c r="U919" i="8"/>
  <c r="V919" i="8"/>
  <c r="W919" i="8"/>
  <c r="X919" i="8"/>
  <c r="Y919" i="8"/>
  <c r="Z919" i="8"/>
  <c r="AA919" i="8"/>
  <c r="AB919" i="8"/>
  <c r="AC919" i="8"/>
  <c r="AD919" i="8"/>
  <c r="Q920" i="8"/>
  <c r="R920" i="8"/>
  <c r="S920" i="8"/>
  <c r="T920" i="8"/>
  <c r="U920" i="8"/>
  <c r="V920" i="8"/>
  <c r="W920" i="8"/>
  <c r="X920" i="8"/>
  <c r="Y920" i="8"/>
  <c r="Z920" i="8"/>
  <c r="AA920" i="8"/>
  <c r="AB920" i="8"/>
  <c r="AC920" i="8"/>
  <c r="AD920" i="8"/>
  <c r="Q921" i="8"/>
  <c r="R921" i="8"/>
  <c r="S921" i="8"/>
  <c r="T921" i="8"/>
  <c r="U921" i="8"/>
  <c r="V921" i="8"/>
  <c r="W921" i="8"/>
  <c r="X921" i="8"/>
  <c r="Y921" i="8"/>
  <c r="Z921" i="8"/>
  <c r="AA921" i="8"/>
  <c r="AB921" i="8"/>
  <c r="AC921" i="8"/>
  <c r="AD921" i="8"/>
  <c r="Q922" i="8"/>
  <c r="R922" i="8"/>
  <c r="S922" i="8"/>
  <c r="T922" i="8"/>
  <c r="U922" i="8"/>
  <c r="V922" i="8"/>
  <c r="W922" i="8"/>
  <c r="X922" i="8"/>
  <c r="Y922" i="8"/>
  <c r="Z922" i="8"/>
  <c r="AA922" i="8"/>
  <c r="AB922" i="8"/>
  <c r="AC922" i="8"/>
  <c r="AD922" i="8"/>
  <c r="Q923" i="8"/>
  <c r="R923" i="8"/>
  <c r="S923" i="8"/>
  <c r="T923" i="8"/>
  <c r="U923" i="8"/>
  <c r="V923" i="8"/>
  <c r="W923" i="8"/>
  <c r="X923" i="8"/>
  <c r="Y923" i="8"/>
  <c r="Z923" i="8"/>
  <c r="AA923" i="8"/>
  <c r="AB923" i="8"/>
  <c r="AC923" i="8"/>
  <c r="AD923" i="8"/>
  <c r="Q924" i="8"/>
  <c r="R924" i="8"/>
  <c r="S924" i="8"/>
  <c r="T924" i="8"/>
  <c r="U924" i="8"/>
  <c r="V924" i="8"/>
  <c r="W924" i="8"/>
  <c r="X924" i="8"/>
  <c r="Y924" i="8"/>
  <c r="Z924" i="8"/>
  <c r="AA924" i="8"/>
  <c r="AB924" i="8"/>
  <c r="AC924" i="8"/>
  <c r="AD924" i="8"/>
  <c r="Q925" i="8"/>
  <c r="R925" i="8"/>
  <c r="S925" i="8"/>
  <c r="T925" i="8"/>
  <c r="U925" i="8"/>
  <c r="V925" i="8"/>
  <c r="W925" i="8"/>
  <c r="X925" i="8"/>
  <c r="Y925" i="8"/>
  <c r="Z925" i="8"/>
  <c r="AA925" i="8"/>
  <c r="AB925" i="8"/>
  <c r="AC925" i="8"/>
  <c r="AD925" i="8"/>
  <c r="Q926" i="8"/>
  <c r="R926" i="8"/>
  <c r="S926" i="8"/>
  <c r="T926" i="8"/>
  <c r="U926" i="8"/>
  <c r="V926" i="8"/>
  <c r="W926" i="8"/>
  <c r="X926" i="8"/>
  <c r="Y926" i="8"/>
  <c r="Z926" i="8"/>
  <c r="AA926" i="8"/>
  <c r="AB926" i="8"/>
  <c r="AC926" i="8"/>
  <c r="AD926" i="8"/>
  <c r="Q927" i="8"/>
  <c r="R927" i="8"/>
  <c r="S927" i="8"/>
  <c r="T927" i="8"/>
  <c r="U927" i="8"/>
  <c r="V927" i="8"/>
  <c r="W927" i="8"/>
  <c r="X927" i="8"/>
  <c r="Y927" i="8"/>
  <c r="Z927" i="8"/>
  <c r="AA927" i="8"/>
  <c r="AB927" i="8"/>
  <c r="AC927" i="8"/>
  <c r="AD927" i="8"/>
  <c r="Q928" i="8"/>
  <c r="R928" i="8"/>
  <c r="S928" i="8"/>
  <c r="T928" i="8"/>
  <c r="U928" i="8"/>
  <c r="V928" i="8"/>
  <c r="W928" i="8"/>
  <c r="X928" i="8"/>
  <c r="Y928" i="8"/>
  <c r="Z928" i="8"/>
  <c r="AA928" i="8"/>
  <c r="AB928" i="8"/>
  <c r="AC928" i="8"/>
  <c r="AD928" i="8"/>
  <c r="Q929" i="8"/>
  <c r="R929" i="8"/>
  <c r="S929" i="8"/>
  <c r="T929" i="8"/>
  <c r="U929" i="8"/>
  <c r="V929" i="8"/>
  <c r="W929" i="8"/>
  <c r="X929" i="8"/>
  <c r="Y929" i="8"/>
  <c r="Z929" i="8"/>
  <c r="AA929" i="8"/>
  <c r="AB929" i="8"/>
  <c r="AC929" i="8"/>
  <c r="AD929" i="8"/>
  <c r="Q930" i="8"/>
  <c r="R930" i="8"/>
  <c r="S930" i="8"/>
  <c r="T930" i="8"/>
  <c r="U930" i="8"/>
  <c r="V930" i="8"/>
  <c r="W930" i="8"/>
  <c r="X930" i="8"/>
  <c r="Y930" i="8"/>
  <c r="Z930" i="8"/>
  <c r="AA930" i="8"/>
  <c r="AB930" i="8"/>
  <c r="AC930" i="8"/>
  <c r="AD930" i="8"/>
  <c r="Q931" i="8"/>
  <c r="R931" i="8"/>
  <c r="S931" i="8"/>
  <c r="T931" i="8"/>
  <c r="U931" i="8"/>
  <c r="V931" i="8"/>
  <c r="W931" i="8"/>
  <c r="X931" i="8"/>
  <c r="Y931" i="8"/>
  <c r="Z931" i="8"/>
  <c r="AA931" i="8"/>
  <c r="AB931" i="8"/>
  <c r="AC931" i="8"/>
  <c r="AD931" i="8"/>
  <c r="Q932" i="8"/>
  <c r="R932" i="8"/>
  <c r="S932" i="8"/>
  <c r="T932" i="8"/>
  <c r="U932" i="8"/>
  <c r="V932" i="8"/>
  <c r="W932" i="8"/>
  <c r="X932" i="8"/>
  <c r="Y932" i="8"/>
  <c r="Z932" i="8"/>
  <c r="AA932" i="8"/>
  <c r="AB932" i="8"/>
  <c r="AC932" i="8"/>
  <c r="AD932" i="8"/>
  <c r="Q933" i="8"/>
  <c r="R933" i="8"/>
  <c r="S933" i="8"/>
  <c r="T933" i="8"/>
  <c r="U933" i="8"/>
  <c r="V933" i="8"/>
  <c r="W933" i="8"/>
  <c r="X933" i="8"/>
  <c r="Y933" i="8"/>
  <c r="Z933" i="8"/>
  <c r="AA933" i="8"/>
  <c r="AB933" i="8"/>
  <c r="AC933" i="8"/>
  <c r="AD933" i="8"/>
  <c r="Q934" i="8"/>
  <c r="R934" i="8"/>
  <c r="S934" i="8"/>
  <c r="T934" i="8"/>
  <c r="U934" i="8"/>
  <c r="V934" i="8"/>
  <c r="W934" i="8"/>
  <c r="X934" i="8"/>
  <c r="Y934" i="8"/>
  <c r="Z934" i="8"/>
  <c r="AA934" i="8"/>
  <c r="AB934" i="8"/>
  <c r="AC934" i="8"/>
  <c r="AD934" i="8"/>
  <c r="Q935" i="8"/>
  <c r="R935" i="8"/>
  <c r="S935" i="8"/>
  <c r="T935" i="8"/>
  <c r="U935" i="8"/>
  <c r="V935" i="8"/>
  <c r="W935" i="8"/>
  <c r="X935" i="8"/>
  <c r="Y935" i="8"/>
  <c r="Z935" i="8"/>
  <c r="AA935" i="8"/>
  <c r="AB935" i="8"/>
  <c r="AC935" i="8"/>
  <c r="AD935" i="8"/>
  <c r="Q936" i="8"/>
  <c r="R936" i="8"/>
  <c r="S936" i="8"/>
  <c r="T936" i="8"/>
  <c r="U936" i="8"/>
  <c r="V936" i="8"/>
  <c r="W936" i="8"/>
  <c r="X936" i="8"/>
  <c r="Y936" i="8"/>
  <c r="Z936" i="8"/>
  <c r="AA936" i="8"/>
  <c r="AB936" i="8"/>
  <c r="AC936" i="8"/>
  <c r="AD936" i="8"/>
  <c r="Q937" i="8"/>
  <c r="R937" i="8"/>
  <c r="S937" i="8"/>
  <c r="T937" i="8"/>
  <c r="U937" i="8"/>
  <c r="V937" i="8"/>
  <c r="W937" i="8"/>
  <c r="X937" i="8"/>
  <c r="Y937" i="8"/>
  <c r="Z937" i="8"/>
  <c r="AA937" i="8"/>
  <c r="AB937" i="8"/>
  <c r="AC937" i="8"/>
  <c r="AD937" i="8"/>
  <c r="Q938" i="8"/>
  <c r="R938" i="8"/>
  <c r="S938" i="8"/>
  <c r="T938" i="8"/>
  <c r="U938" i="8"/>
  <c r="V938" i="8"/>
  <c r="W938" i="8"/>
  <c r="X938" i="8"/>
  <c r="Y938" i="8"/>
  <c r="Z938" i="8"/>
  <c r="AA938" i="8"/>
  <c r="AB938" i="8"/>
  <c r="AC938" i="8"/>
  <c r="AD938" i="8"/>
  <c r="Q939" i="8"/>
  <c r="R939" i="8"/>
  <c r="S939" i="8"/>
  <c r="T939" i="8"/>
  <c r="U939" i="8"/>
  <c r="V939" i="8"/>
  <c r="W939" i="8"/>
  <c r="X939" i="8"/>
  <c r="Y939" i="8"/>
  <c r="Z939" i="8"/>
  <c r="AA939" i="8"/>
  <c r="AB939" i="8"/>
  <c r="AC939" i="8"/>
  <c r="AD939" i="8"/>
  <c r="Q940" i="8"/>
  <c r="R940" i="8"/>
  <c r="S940" i="8"/>
  <c r="T940" i="8"/>
  <c r="U940" i="8"/>
  <c r="V940" i="8"/>
  <c r="W940" i="8"/>
  <c r="X940" i="8"/>
  <c r="Y940" i="8"/>
  <c r="Z940" i="8"/>
  <c r="AA940" i="8"/>
  <c r="AB940" i="8"/>
  <c r="AC940" i="8"/>
  <c r="AD940" i="8"/>
  <c r="Q941" i="8"/>
  <c r="R941" i="8"/>
  <c r="S941" i="8"/>
  <c r="T941" i="8"/>
  <c r="U941" i="8"/>
  <c r="V941" i="8"/>
  <c r="W941" i="8"/>
  <c r="X941" i="8"/>
  <c r="Y941" i="8"/>
  <c r="Z941" i="8"/>
  <c r="AA941" i="8"/>
  <c r="AB941" i="8"/>
  <c r="AC941" i="8"/>
  <c r="AD941" i="8"/>
  <c r="Q942" i="8"/>
  <c r="R942" i="8"/>
  <c r="S942" i="8"/>
  <c r="T942" i="8"/>
  <c r="U942" i="8"/>
  <c r="V942" i="8"/>
  <c r="W942" i="8"/>
  <c r="X942" i="8"/>
  <c r="Y942" i="8"/>
  <c r="Z942" i="8"/>
  <c r="AA942" i="8"/>
  <c r="AB942" i="8"/>
  <c r="AC942" i="8"/>
  <c r="AD942" i="8"/>
  <c r="Q943" i="8"/>
  <c r="R943" i="8"/>
  <c r="S943" i="8"/>
  <c r="T943" i="8"/>
  <c r="U943" i="8"/>
  <c r="V943" i="8"/>
  <c r="W943" i="8"/>
  <c r="X943" i="8"/>
  <c r="Y943" i="8"/>
  <c r="Z943" i="8"/>
  <c r="AA943" i="8"/>
  <c r="AB943" i="8"/>
  <c r="AC943" i="8"/>
  <c r="AD943" i="8"/>
  <c r="Q944" i="8"/>
  <c r="R944" i="8"/>
  <c r="S944" i="8"/>
  <c r="T944" i="8"/>
  <c r="U944" i="8"/>
  <c r="V944" i="8"/>
  <c r="W944" i="8"/>
  <c r="X944" i="8"/>
  <c r="Y944" i="8"/>
  <c r="Z944" i="8"/>
  <c r="AA944" i="8"/>
  <c r="AB944" i="8"/>
  <c r="AC944" i="8"/>
  <c r="AD944" i="8"/>
  <c r="Q945" i="8"/>
  <c r="R945" i="8"/>
  <c r="S945" i="8"/>
  <c r="T945" i="8"/>
  <c r="U945" i="8"/>
  <c r="V945" i="8"/>
  <c r="W945" i="8"/>
  <c r="X945" i="8"/>
  <c r="Y945" i="8"/>
  <c r="Z945" i="8"/>
  <c r="AA945" i="8"/>
  <c r="AB945" i="8"/>
  <c r="AC945" i="8"/>
  <c r="AD945" i="8"/>
  <c r="Q946" i="8"/>
  <c r="R946" i="8"/>
  <c r="S946" i="8"/>
  <c r="T946" i="8"/>
  <c r="U946" i="8"/>
  <c r="V946" i="8"/>
  <c r="W946" i="8"/>
  <c r="X946" i="8"/>
  <c r="Y946" i="8"/>
  <c r="Z946" i="8"/>
  <c r="AA946" i="8"/>
  <c r="AB946" i="8"/>
  <c r="AC946" i="8"/>
  <c r="AD946" i="8"/>
  <c r="Q947" i="8"/>
  <c r="R947" i="8"/>
  <c r="S947" i="8"/>
  <c r="T947" i="8"/>
  <c r="U947" i="8"/>
  <c r="V947" i="8"/>
  <c r="W947" i="8"/>
  <c r="X947" i="8"/>
  <c r="Y947" i="8"/>
  <c r="Z947" i="8"/>
  <c r="AA947" i="8"/>
  <c r="AB947" i="8"/>
  <c r="AC947" i="8"/>
  <c r="AD947" i="8"/>
  <c r="Q948" i="8"/>
  <c r="R948" i="8"/>
  <c r="S948" i="8"/>
  <c r="T948" i="8"/>
  <c r="U948" i="8"/>
  <c r="V948" i="8"/>
  <c r="W948" i="8"/>
  <c r="X948" i="8"/>
  <c r="Y948" i="8"/>
  <c r="Z948" i="8"/>
  <c r="AA948" i="8"/>
  <c r="AB948" i="8"/>
  <c r="AC948" i="8"/>
  <c r="AD948" i="8"/>
  <c r="Q949" i="8"/>
  <c r="R949" i="8"/>
  <c r="S949" i="8"/>
  <c r="T949" i="8"/>
  <c r="U949" i="8"/>
  <c r="V949" i="8"/>
  <c r="W949" i="8"/>
  <c r="X949" i="8"/>
  <c r="Y949" i="8"/>
  <c r="Z949" i="8"/>
  <c r="AA949" i="8"/>
  <c r="AB949" i="8"/>
  <c r="AC949" i="8"/>
  <c r="AD949" i="8"/>
  <c r="Q950" i="8"/>
  <c r="R950" i="8"/>
  <c r="S950" i="8"/>
  <c r="T950" i="8"/>
  <c r="U950" i="8"/>
  <c r="V950" i="8"/>
  <c r="W950" i="8"/>
  <c r="X950" i="8"/>
  <c r="Y950" i="8"/>
  <c r="Z950" i="8"/>
  <c r="AA950" i="8"/>
  <c r="AB950" i="8"/>
  <c r="AC950" i="8"/>
  <c r="AD950" i="8"/>
  <c r="Q951" i="8"/>
  <c r="R951" i="8"/>
  <c r="S951" i="8"/>
  <c r="T951" i="8"/>
  <c r="U951" i="8"/>
  <c r="V951" i="8"/>
  <c r="W951" i="8"/>
  <c r="X951" i="8"/>
  <c r="Y951" i="8"/>
  <c r="Z951" i="8"/>
  <c r="AA951" i="8"/>
  <c r="AB951" i="8"/>
  <c r="AC951" i="8"/>
  <c r="AD951" i="8"/>
  <c r="Q952" i="8"/>
  <c r="R952" i="8"/>
  <c r="S952" i="8"/>
  <c r="T952" i="8"/>
  <c r="U952" i="8"/>
  <c r="V952" i="8"/>
  <c r="W952" i="8"/>
  <c r="X952" i="8"/>
  <c r="Y952" i="8"/>
  <c r="Z952" i="8"/>
  <c r="AA952" i="8"/>
  <c r="AB952" i="8"/>
  <c r="AC952" i="8"/>
  <c r="AD952" i="8"/>
  <c r="Q953" i="8"/>
  <c r="R953" i="8"/>
  <c r="S953" i="8"/>
  <c r="T953" i="8"/>
  <c r="U953" i="8"/>
  <c r="V953" i="8"/>
  <c r="W953" i="8"/>
  <c r="X953" i="8"/>
  <c r="Y953" i="8"/>
  <c r="Z953" i="8"/>
  <c r="AA953" i="8"/>
  <c r="AB953" i="8"/>
  <c r="AC953" i="8"/>
  <c r="AD953" i="8"/>
  <c r="Q954" i="8"/>
  <c r="R954" i="8"/>
  <c r="S954" i="8"/>
  <c r="T954" i="8"/>
  <c r="U954" i="8"/>
  <c r="V954" i="8"/>
  <c r="W954" i="8"/>
  <c r="X954" i="8"/>
  <c r="Y954" i="8"/>
  <c r="Z954" i="8"/>
  <c r="AA954" i="8"/>
  <c r="AB954" i="8"/>
  <c r="AC954" i="8"/>
  <c r="AD954" i="8"/>
  <c r="Q955" i="8"/>
  <c r="R955" i="8"/>
  <c r="S955" i="8"/>
  <c r="T955" i="8"/>
  <c r="U955" i="8"/>
  <c r="V955" i="8"/>
  <c r="W955" i="8"/>
  <c r="X955" i="8"/>
  <c r="Y955" i="8"/>
  <c r="Z955" i="8"/>
  <c r="AA955" i="8"/>
  <c r="AB955" i="8"/>
  <c r="AC955" i="8"/>
  <c r="AD955" i="8"/>
  <c r="Q956" i="8"/>
  <c r="R956" i="8"/>
  <c r="S956" i="8"/>
  <c r="T956" i="8"/>
  <c r="U956" i="8"/>
  <c r="V956" i="8"/>
  <c r="W956" i="8"/>
  <c r="X956" i="8"/>
  <c r="Y956" i="8"/>
  <c r="Z956" i="8"/>
  <c r="AA956" i="8"/>
  <c r="AB956" i="8"/>
  <c r="AC956" i="8"/>
  <c r="AD956" i="8"/>
  <c r="Q957" i="8"/>
  <c r="R957" i="8"/>
  <c r="S957" i="8"/>
  <c r="T957" i="8"/>
  <c r="U957" i="8"/>
  <c r="V957" i="8"/>
  <c r="W957" i="8"/>
  <c r="X957" i="8"/>
  <c r="Y957" i="8"/>
  <c r="Z957" i="8"/>
  <c r="AA957" i="8"/>
  <c r="AB957" i="8"/>
  <c r="AC957" i="8"/>
  <c r="AD957" i="8"/>
  <c r="Q958" i="8"/>
  <c r="R958" i="8"/>
  <c r="S958" i="8"/>
  <c r="T958" i="8"/>
  <c r="U958" i="8"/>
  <c r="V958" i="8"/>
  <c r="W958" i="8"/>
  <c r="X958" i="8"/>
  <c r="Y958" i="8"/>
  <c r="Z958" i="8"/>
  <c r="AA958" i="8"/>
  <c r="AB958" i="8"/>
  <c r="AC958" i="8"/>
  <c r="AD958" i="8"/>
  <c r="Q959" i="8"/>
  <c r="R959" i="8"/>
  <c r="S959" i="8"/>
  <c r="T959" i="8"/>
  <c r="U959" i="8"/>
  <c r="V959" i="8"/>
  <c r="W959" i="8"/>
  <c r="X959" i="8"/>
  <c r="Y959" i="8"/>
  <c r="Z959" i="8"/>
  <c r="AA959" i="8"/>
  <c r="AB959" i="8"/>
  <c r="AC959" i="8"/>
  <c r="AD959" i="8"/>
  <c r="Q960" i="8"/>
  <c r="R960" i="8"/>
  <c r="S960" i="8"/>
  <c r="T960" i="8"/>
  <c r="U960" i="8"/>
  <c r="V960" i="8"/>
  <c r="W960" i="8"/>
  <c r="X960" i="8"/>
  <c r="Y960" i="8"/>
  <c r="Z960" i="8"/>
  <c r="AA960" i="8"/>
  <c r="AB960" i="8"/>
  <c r="AC960" i="8"/>
  <c r="AD960" i="8"/>
  <c r="Q961" i="8"/>
  <c r="R961" i="8"/>
  <c r="S961" i="8"/>
  <c r="T961" i="8"/>
  <c r="U961" i="8"/>
  <c r="V961" i="8"/>
  <c r="W961" i="8"/>
  <c r="X961" i="8"/>
  <c r="Y961" i="8"/>
  <c r="Z961" i="8"/>
  <c r="AA961" i="8"/>
  <c r="AB961" i="8"/>
  <c r="AC961" i="8"/>
  <c r="AD961" i="8"/>
  <c r="Q962" i="8"/>
  <c r="R962" i="8"/>
  <c r="S962" i="8"/>
  <c r="T962" i="8"/>
  <c r="U962" i="8"/>
  <c r="V962" i="8"/>
  <c r="W962" i="8"/>
  <c r="X962" i="8"/>
  <c r="Y962" i="8"/>
  <c r="Z962" i="8"/>
  <c r="AA962" i="8"/>
  <c r="AB962" i="8"/>
  <c r="AC962" i="8"/>
  <c r="AD962" i="8"/>
  <c r="Q963" i="8"/>
  <c r="R963" i="8"/>
  <c r="S963" i="8"/>
  <c r="T963" i="8"/>
  <c r="U963" i="8"/>
  <c r="V963" i="8"/>
  <c r="W963" i="8"/>
  <c r="X963" i="8"/>
  <c r="Y963" i="8"/>
  <c r="Z963" i="8"/>
  <c r="AA963" i="8"/>
  <c r="AB963" i="8"/>
  <c r="AC963" i="8"/>
  <c r="AD963" i="8"/>
  <c r="Q964" i="8"/>
  <c r="R964" i="8"/>
  <c r="S964" i="8"/>
  <c r="T964" i="8"/>
  <c r="U964" i="8"/>
  <c r="V964" i="8"/>
  <c r="W964" i="8"/>
  <c r="X964" i="8"/>
  <c r="Y964" i="8"/>
  <c r="Z964" i="8"/>
  <c r="AA964" i="8"/>
  <c r="AB964" i="8"/>
  <c r="AC964" i="8"/>
  <c r="AD964" i="8"/>
  <c r="Q965" i="8"/>
  <c r="R965" i="8"/>
  <c r="S965" i="8"/>
  <c r="T965" i="8"/>
  <c r="U965" i="8"/>
  <c r="V965" i="8"/>
  <c r="W965" i="8"/>
  <c r="X965" i="8"/>
  <c r="Y965" i="8"/>
  <c r="Z965" i="8"/>
  <c r="AA965" i="8"/>
  <c r="AB965" i="8"/>
  <c r="AC965" i="8"/>
  <c r="AD965" i="8"/>
  <c r="Q966" i="8"/>
  <c r="R966" i="8"/>
  <c r="S966" i="8"/>
  <c r="T966" i="8"/>
  <c r="U966" i="8"/>
  <c r="V966" i="8"/>
  <c r="W966" i="8"/>
  <c r="X966" i="8"/>
  <c r="Y966" i="8"/>
  <c r="Z966" i="8"/>
  <c r="AA966" i="8"/>
  <c r="AB966" i="8"/>
  <c r="AC966" i="8"/>
  <c r="AD966" i="8"/>
  <c r="Q967" i="8"/>
  <c r="R967" i="8"/>
  <c r="S967" i="8"/>
  <c r="T967" i="8"/>
  <c r="U967" i="8"/>
  <c r="V967" i="8"/>
  <c r="W967" i="8"/>
  <c r="X967" i="8"/>
  <c r="Y967" i="8"/>
  <c r="Z967" i="8"/>
  <c r="AA967" i="8"/>
  <c r="AB967" i="8"/>
  <c r="AC967" i="8"/>
  <c r="AD967" i="8"/>
  <c r="Q968" i="8"/>
  <c r="R968" i="8"/>
  <c r="S968" i="8"/>
  <c r="T968" i="8"/>
  <c r="U968" i="8"/>
  <c r="V968" i="8"/>
  <c r="W968" i="8"/>
  <c r="X968" i="8"/>
  <c r="Y968" i="8"/>
  <c r="Z968" i="8"/>
  <c r="AA968" i="8"/>
  <c r="AB968" i="8"/>
  <c r="AC968" i="8"/>
  <c r="AD968" i="8"/>
  <c r="Q969" i="8"/>
  <c r="R969" i="8"/>
  <c r="S969" i="8"/>
  <c r="T969" i="8"/>
  <c r="U969" i="8"/>
  <c r="V969" i="8"/>
  <c r="W969" i="8"/>
  <c r="X969" i="8"/>
  <c r="Y969" i="8"/>
  <c r="Z969" i="8"/>
  <c r="AA969" i="8"/>
  <c r="AB969" i="8"/>
  <c r="AC969" i="8"/>
  <c r="AD969" i="8"/>
  <c r="Q970" i="8"/>
  <c r="R970" i="8"/>
  <c r="S970" i="8"/>
  <c r="T970" i="8"/>
  <c r="U970" i="8"/>
  <c r="V970" i="8"/>
  <c r="W970" i="8"/>
  <c r="X970" i="8"/>
  <c r="Y970" i="8"/>
  <c r="Z970" i="8"/>
  <c r="AA970" i="8"/>
  <c r="AB970" i="8"/>
  <c r="AC970" i="8"/>
  <c r="AD970" i="8"/>
  <c r="Q971" i="8"/>
  <c r="R971" i="8"/>
  <c r="S971" i="8"/>
  <c r="T971" i="8"/>
  <c r="U971" i="8"/>
  <c r="V971" i="8"/>
  <c r="W971" i="8"/>
  <c r="X971" i="8"/>
  <c r="Y971" i="8"/>
  <c r="Z971" i="8"/>
  <c r="AA971" i="8"/>
  <c r="AB971" i="8"/>
  <c r="AC971" i="8"/>
  <c r="AD971" i="8"/>
  <c r="Q972" i="8"/>
  <c r="R972" i="8"/>
  <c r="S972" i="8"/>
  <c r="T972" i="8"/>
  <c r="U972" i="8"/>
  <c r="V972" i="8"/>
  <c r="W972" i="8"/>
  <c r="X972" i="8"/>
  <c r="Y972" i="8"/>
  <c r="Z972" i="8"/>
  <c r="AA972" i="8"/>
  <c r="AB972" i="8"/>
  <c r="AC972" i="8"/>
  <c r="AD972" i="8"/>
  <c r="Q973" i="8"/>
  <c r="R973" i="8"/>
  <c r="S973" i="8"/>
  <c r="T973" i="8"/>
  <c r="U973" i="8"/>
  <c r="V973" i="8"/>
  <c r="W973" i="8"/>
  <c r="X973" i="8"/>
  <c r="Y973" i="8"/>
  <c r="Z973" i="8"/>
  <c r="AA973" i="8"/>
  <c r="AB973" i="8"/>
  <c r="AC973" i="8"/>
  <c r="AD973" i="8"/>
  <c r="Q974" i="8"/>
  <c r="R974" i="8"/>
  <c r="S974" i="8"/>
  <c r="T974" i="8"/>
  <c r="U974" i="8"/>
  <c r="V974" i="8"/>
  <c r="W974" i="8"/>
  <c r="X974" i="8"/>
  <c r="Y974" i="8"/>
  <c r="Z974" i="8"/>
  <c r="AA974" i="8"/>
  <c r="AB974" i="8"/>
  <c r="AC974" i="8"/>
  <c r="AD974" i="8"/>
  <c r="Q975" i="8"/>
  <c r="R975" i="8"/>
  <c r="S975" i="8"/>
  <c r="T975" i="8"/>
  <c r="U975" i="8"/>
  <c r="V975" i="8"/>
  <c r="W975" i="8"/>
  <c r="X975" i="8"/>
  <c r="Y975" i="8"/>
  <c r="Z975" i="8"/>
  <c r="AA975" i="8"/>
  <c r="AB975" i="8"/>
  <c r="AC975" i="8"/>
  <c r="AD975" i="8"/>
  <c r="Q976" i="8"/>
  <c r="R976" i="8"/>
  <c r="S976" i="8"/>
  <c r="T976" i="8"/>
  <c r="U976" i="8"/>
  <c r="V976" i="8"/>
  <c r="W976" i="8"/>
  <c r="X976" i="8"/>
  <c r="Y976" i="8"/>
  <c r="Z976" i="8"/>
  <c r="AA976" i="8"/>
  <c r="AB976" i="8"/>
  <c r="AC976" i="8"/>
  <c r="AD976" i="8"/>
  <c r="Q977" i="8"/>
  <c r="R977" i="8"/>
  <c r="S977" i="8"/>
  <c r="T977" i="8"/>
  <c r="U977" i="8"/>
  <c r="V977" i="8"/>
  <c r="W977" i="8"/>
  <c r="X977" i="8"/>
  <c r="Y977" i="8"/>
  <c r="Z977" i="8"/>
  <c r="AA977" i="8"/>
  <c r="AB977" i="8"/>
  <c r="AC977" i="8"/>
  <c r="AD977" i="8"/>
  <c r="Q978" i="8"/>
  <c r="R978" i="8"/>
  <c r="S978" i="8"/>
  <c r="T978" i="8"/>
  <c r="U978" i="8"/>
  <c r="V978" i="8"/>
  <c r="W978" i="8"/>
  <c r="X978" i="8"/>
  <c r="Y978" i="8"/>
  <c r="Z978" i="8"/>
  <c r="AA978" i="8"/>
  <c r="AB978" i="8"/>
  <c r="AC978" i="8"/>
  <c r="AD978" i="8"/>
  <c r="Q979" i="8"/>
  <c r="R979" i="8"/>
  <c r="S979" i="8"/>
  <c r="T979" i="8"/>
  <c r="U979" i="8"/>
  <c r="V979" i="8"/>
  <c r="W979" i="8"/>
  <c r="X979" i="8"/>
  <c r="Y979" i="8"/>
  <c r="Z979" i="8"/>
  <c r="AA979" i="8"/>
  <c r="AB979" i="8"/>
  <c r="AC979" i="8"/>
  <c r="AD979" i="8"/>
  <c r="Q980" i="8"/>
  <c r="R980" i="8"/>
  <c r="S980" i="8"/>
  <c r="T980" i="8"/>
  <c r="U980" i="8"/>
  <c r="V980" i="8"/>
  <c r="W980" i="8"/>
  <c r="X980" i="8"/>
  <c r="Y980" i="8"/>
  <c r="Z980" i="8"/>
  <c r="AA980" i="8"/>
  <c r="AB980" i="8"/>
  <c r="AC980" i="8"/>
  <c r="AD980" i="8"/>
  <c r="Q981" i="8"/>
  <c r="R981" i="8"/>
  <c r="S981" i="8"/>
  <c r="T981" i="8"/>
  <c r="U981" i="8"/>
  <c r="V981" i="8"/>
  <c r="W981" i="8"/>
  <c r="X981" i="8"/>
  <c r="Y981" i="8"/>
  <c r="Z981" i="8"/>
  <c r="AA981" i="8"/>
  <c r="AB981" i="8"/>
  <c r="AC981" i="8"/>
  <c r="AD981" i="8"/>
  <c r="Q982" i="8"/>
  <c r="R982" i="8"/>
  <c r="S982" i="8"/>
  <c r="T982" i="8"/>
  <c r="U982" i="8"/>
  <c r="V982" i="8"/>
  <c r="W982" i="8"/>
  <c r="X982" i="8"/>
  <c r="Y982" i="8"/>
  <c r="Z982" i="8"/>
  <c r="AA982" i="8"/>
  <c r="AB982" i="8"/>
  <c r="AC982" i="8"/>
  <c r="AD982" i="8"/>
  <c r="Q983" i="8"/>
  <c r="R983" i="8"/>
  <c r="S983" i="8"/>
  <c r="T983" i="8"/>
  <c r="U983" i="8"/>
  <c r="V983" i="8"/>
  <c r="W983" i="8"/>
  <c r="X983" i="8"/>
  <c r="Y983" i="8"/>
  <c r="Z983" i="8"/>
  <c r="AA983" i="8"/>
  <c r="AB983" i="8"/>
  <c r="AC983" i="8"/>
  <c r="AD983" i="8"/>
  <c r="Q984" i="8"/>
  <c r="R984" i="8"/>
  <c r="S984" i="8"/>
  <c r="T984" i="8"/>
  <c r="U984" i="8"/>
  <c r="V984" i="8"/>
  <c r="W984" i="8"/>
  <c r="X984" i="8"/>
  <c r="Y984" i="8"/>
  <c r="Z984" i="8"/>
  <c r="AA984" i="8"/>
  <c r="AB984" i="8"/>
  <c r="AC984" i="8"/>
  <c r="AD984" i="8"/>
  <c r="Q985" i="8"/>
  <c r="R985" i="8"/>
  <c r="S985" i="8"/>
  <c r="T985" i="8"/>
  <c r="U985" i="8"/>
  <c r="V985" i="8"/>
  <c r="W985" i="8"/>
  <c r="X985" i="8"/>
  <c r="Y985" i="8"/>
  <c r="Z985" i="8"/>
  <c r="AA985" i="8"/>
  <c r="AB985" i="8"/>
  <c r="AC985" i="8"/>
  <c r="AD985" i="8"/>
  <c r="Q986" i="8"/>
  <c r="R986" i="8"/>
  <c r="S986" i="8"/>
  <c r="T986" i="8"/>
  <c r="U986" i="8"/>
  <c r="V986" i="8"/>
  <c r="W986" i="8"/>
  <c r="X986" i="8"/>
  <c r="Y986" i="8"/>
  <c r="Z986" i="8"/>
  <c r="AA986" i="8"/>
  <c r="AB986" i="8"/>
  <c r="AC986" i="8"/>
  <c r="AD986" i="8"/>
  <c r="Q987" i="8"/>
  <c r="R987" i="8"/>
  <c r="S987" i="8"/>
  <c r="T987" i="8"/>
  <c r="U987" i="8"/>
  <c r="V987" i="8"/>
  <c r="W987" i="8"/>
  <c r="X987" i="8"/>
  <c r="Y987" i="8"/>
  <c r="Z987" i="8"/>
  <c r="AA987" i="8"/>
  <c r="AB987" i="8"/>
  <c r="AC987" i="8"/>
  <c r="AD987" i="8"/>
  <c r="Q988" i="8"/>
  <c r="R988" i="8"/>
  <c r="S988" i="8"/>
  <c r="T988" i="8"/>
  <c r="U988" i="8"/>
  <c r="V988" i="8"/>
  <c r="W988" i="8"/>
  <c r="X988" i="8"/>
  <c r="Y988" i="8"/>
  <c r="Z988" i="8"/>
  <c r="AA988" i="8"/>
  <c r="AB988" i="8"/>
  <c r="AC988" i="8"/>
  <c r="AD988" i="8"/>
  <c r="Q989" i="8"/>
  <c r="R989" i="8"/>
  <c r="S989" i="8"/>
  <c r="T989" i="8"/>
  <c r="U989" i="8"/>
  <c r="V989" i="8"/>
  <c r="W989" i="8"/>
  <c r="X989" i="8"/>
  <c r="Y989" i="8"/>
  <c r="Z989" i="8"/>
  <c r="AA989" i="8"/>
  <c r="AB989" i="8"/>
  <c r="AC989" i="8"/>
  <c r="AD989" i="8"/>
  <c r="Q990" i="8"/>
  <c r="R990" i="8"/>
  <c r="S990" i="8"/>
  <c r="T990" i="8"/>
  <c r="U990" i="8"/>
  <c r="V990" i="8"/>
  <c r="W990" i="8"/>
  <c r="X990" i="8"/>
  <c r="Y990" i="8"/>
  <c r="Z990" i="8"/>
  <c r="AA990" i="8"/>
  <c r="AB990" i="8"/>
  <c r="AC990" i="8"/>
  <c r="AD990" i="8"/>
  <c r="Q991" i="8"/>
  <c r="R991" i="8"/>
  <c r="S991" i="8"/>
  <c r="T991" i="8"/>
  <c r="U991" i="8"/>
  <c r="V991" i="8"/>
  <c r="W991" i="8"/>
  <c r="X991" i="8"/>
  <c r="Y991" i="8"/>
  <c r="Z991" i="8"/>
  <c r="AA991" i="8"/>
  <c r="AB991" i="8"/>
  <c r="AC991" i="8"/>
  <c r="AD991" i="8"/>
  <c r="Q992" i="8"/>
  <c r="R992" i="8"/>
  <c r="S992" i="8"/>
  <c r="T992" i="8"/>
  <c r="U992" i="8"/>
  <c r="V992" i="8"/>
  <c r="W992" i="8"/>
  <c r="X992" i="8"/>
  <c r="Y992" i="8"/>
  <c r="Z992" i="8"/>
  <c r="AA992" i="8"/>
  <c r="AB992" i="8"/>
  <c r="AC992" i="8"/>
  <c r="AD992" i="8"/>
  <c r="Q993" i="8"/>
  <c r="R993" i="8"/>
  <c r="S993" i="8"/>
  <c r="T993" i="8"/>
  <c r="U993" i="8"/>
  <c r="V993" i="8"/>
  <c r="W993" i="8"/>
  <c r="X993" i="8"/>
  <c r="Y993" i="8"/>
  <c r="Z993" i="8"/>
  <c r="AA993" i="8"/>
  <c r="AB993" i="8"/>
  <c r="AC993" i="8"/>
  <c r="AD993" i="8"/>
  <c r="Q994" i="8"/>
  <c r="R994" i="8"/>
  <c r="S994" i="8"/>
  <c r="T994" i="8"/>
  <c r="U994" i="8"/>
  <c r="V994" i="8"/>
  <c r="W994" i="8"/>
  <c r="X994" i="8"/>
  <c r="Y994" i="8"/>
  <c r="Z994" i="8"/>
  <c r="AA994" i="8"/>
  <c r="AB994" i="8"/>
  <c r="AC994" i="8"/>
  <c r="AD994" i="8"/>
  <c r="Q995" i="8"/>
  <c r="R995" i="8"/>
  <c r="S995" i="8"/>
  <c r="T995" i="8"/>
  <c r="U995" i="8"/>
  <c r="V995" i="8"/>
  <c r="W995" i="8"/>
  <c r="X995" i="8"/>
  <c r="Y995" i="8"/>
  <c r="Z995" i="8"/>
  <c r="AA995" i="8"/>
  <c r="AB995" i="8"/>
  <c r="AC995" i="8"/>
  <c r="AD995" i="8"/>
  <c r="Q996" i="8"/>
  <c r="R996" i="8"/>
  <c r="S996" i="8"/>
  <c r="T996" i="8"/>
  <c r="U996" i="8"/>
  <c r="V996" i="8"/>
  <c r="W996" i="8"/>
  <c r="X996" i="8"/>
  <c r="Y996" i="8"/>
  <c r="Z996" i="8"/>
  <c r="AA996" i="8"/>
  <c r="AB996" i="8"/>
  <c r="AC996" i="8"/>
  <c r="AD996" i="8"/>
  <c r="Q997" i="8"/>
  <c r="R997" i="8"/>
  <c r="S997" i="8"/>
  <c r="T997" i="8"/>
  <c r="U997" i="8"/>
  <c r="V997" i="8"/>
  <c r="W997" i="8"/>
  <c r="X997" i="8"/>
  <c r="Y997" i="8"/>
  <c r="Z997" i="8"/>
  <c r="AA997" i="8"/>
  <c r="AB997" i="8"/>
  <c r="AC997" i="8"/>
  <c r="AD997" i="8"/>
  <c r="Q998" i="8"/>
  <c r="R998" i="8"/>
  <c r="S998" i="8"/>
  <c r="T998" i="8"/>
  <c r="U998" i="8"/>
  <c r="V998" i="8"/>
  <c r="W998" i="8"/>
  <c r="X998" i="8"/>
  <c r="Y998" i="8"/>
  <c r="Z998" i="8"/>
  <c r="AA998" i="8"/>
  <c r="AB998" i="8"/>
  <c r="AC998" i="8"/>
  <c r="AD998" i="8"/>
  <c r="Q999" i="8"/>
  <c r="R999" i="8"/>
  <c r="S999" i="8"/>
  <c r="T999" i="8"/>
  <c r="U999" i="8"/>
  <c r="V999" i="8"/>
  <c r="W999" i="8"/>
  <c r="X999" i="8"/>
  <c r="Y999" i="8"/>
  <c r="Z999" i="8"/>
  <c r="AA999" i="8"/>
  <c r="AB999" i="8"/>
  <c r="AC999" i="8"/>
  <c r="AD999" i="8"/>
  <c r="Q1000" i="8"/>
  <c r="R1000" i="8"/>
  <c r="S1000" i="8"/>
  <c r="T1000" i="8"/>
  <c r="U1000" i="8"/>
  <c r="V1000" i="8"/>
  <c r="W1000" i="8"/>
  <c r="X1000" i="8"/>
  <c r="Y1000" i="8"/>
  <c r="Z1000" i="8"/>
  <c r="AA1000" i="8"/>
  <c r="AB1000" i="8"/>
  <c r="AC1000" i="8"/>
  <c r="AD1000" i="8"/>
  <c r="Q1001" i="8"/>
  <c r="R1001" i="8"/>
  <c r="S1001" i="8"/>
  <c r="T1001" i="8"/>
  <c r="U1001" i="8"/>
  <c r="V1001" i="8"/>
  <c r="W1001" i="8"/>
  <c r="X1001" i="8"/>
  <c r="Y1001" i="8"/>
  <c r="Z1001" i="8"/>
  <c r="AA1001" i="8"/>
  <c r="AB1001" i="8"/>
  <c r="AC1001" i="8"/>
  <c r="AD1001" i="8"/>
  <c r="Q1002" i="8"/>
  <c r="R1002" i="8"/>
  <c r="S1002" i="8"/>
  <c r="T1002" i="8"/>
  <c r="U1002" i="8"/>
  <c r="V1002" i="8"/>
  <c r="W1002" i="8"/>
  <c r="X1002" i="8"/>
  <c r="Y1002" i="8"/>
  <c r="Z1002" i="8"/>
  <c r="AA1002" i="8"/>
  <c r="AB1002" i="8"/>
  <c r="AC1002" i="8"/>
  <c r="AD1002" i="8"/>
  <c r="Q1003" i="8"/>
  <c r="R1003" i="8"/>
  <c r="S1003" i="8"/>
  <c r="T1003" i="8"/>
  <c r="U1003" i="8"/>
  <c r="V1003" i="8"/>
  <c r="W1003" i="8"/>
  <c r="X1003" i="8"/>
  <c r="Y1003" i="8"/>
  <c r="Z1003" i="8"/>
  <c r="AA1003" i="8"/>
  <c r="AB1003" i="8"/>
  <c r="AC1003" i="8"/>
  <c r="AD1003" i="8"/>
  <c r="Q1004" i="8"/>
  <c r="R1004" i="8"/>
  <c r="S1004" i="8"/>
  <c r="T1004" i="8"/>
  <c r="U1004" i="8"/>
  <c r="V1004" i="8"/>
  <c r="W1004" i="8"/>
  <c r="X1004" i="8"/>
  <c r="Y1004" i="8"/>
  <c r="Z1004" i="8"/>
  <c r="AA1004" i="8"/>
  <c r="AB1004" i="8"/>
  <c r="AC1004" i="8"/>
  <c r="AD1004" i="8"/>
  <c r="Q1005" i="8"/>
  <c r="R1005" i="8"/>
  <c r="S1005" i="8"/>
  <c r="T1005" i="8"/>
  <c r="U1005" i="8"/>
  <c r="V1005" i="8"/>
  <c r="W1005" i="8"/>
  <c r="X1005" i="8"/>
  <c r="Y1005" i="8"/>
  <c r="Z1005" i="8"/>
  <c r="AA1005" i="8"/>
  <c r="AB1005" i="8"/>
  <c r="AC1005" i="8"/>
  <c r="AD1005" i="8"/>
  <c r="Q1006" i="8"/>
  <c r="R1006" i="8"/>
  <c r="S1006" i="8"/>
  <c r="T1006" i="8"/>
  <c r="U1006" i="8"/>
  <c r="V1006" i="8"/>
  <c r="W1006" i="8"/>
  <c r="X1006" i="8"/>
  <c r="Y1006" i="8"/>
  <c r="Z1006" i="8"/>
  <c r="AA1006" i="8"/>
  <c r="AB1006" i="8"/>
  <c r="AC1006" i="8"/>
  <c r="AD1006" i="8"/>
  <c r="Q1007" i="8"/>
  <c r="R1007" i="8"/>
  <c r="S1007" i="8"/>
  <c r="T1007" i="8"/>
  <c r="U1007" i="8"/>
  <c r="V1007" i="8"/>
  <c r="W1007" i="8"/>
  <c r="X1007" i="8"/>
  <c r="Y1007" i="8"/>
  <c r="Z1007" i="8"/>
  <c r="AA1007" i="8"/>
  <c r="AB1007" i="8"/>
  <c r="AC1007" i="8"/>
  <c r="AD1007" i="8"/>
  <c r="Q1008" i="8"/>
  <c r="R1008" i="8"/>
  <c r="S1008" i="8"/>
  <c r="T1008" i="8"/>
  <c r="U1008" i="8"/>
  <c r="V1008" i="8"/>
  <c r="W1008" i="8"/>
  <c r="X1008" i="8"/>
  <c r="Y1008" i="8"/>
  <c r="Z1008" i="8"/>
  <c r="AA1008" i="8"/>
  <c r="AB1008" i="8"/>
  <c r="AC1008" i="8"/>
  <c r="AD1008" i="8"/>
  <c r="Q1009" i="8"/>
  <c r="R1009" i="8"/>
  <c r="S1009" i="8"/>
  <c r="T1009" i="8"/>
  <c r="U1009" i="8"/>
  <c r="V1009" i="8"/>
  <c r="W1009" i="8"/>
  <c r="X1009" i="8"/>
  <c r="Y1009" i="8"/>
  <c r="Z1009" i="8"/>
  <c r="AA1009" i="8"/>
  <c r="AB1009" i="8"/>
  <c r="AC1009" i="8"/>
  <c r="AD1009" i="8"/>
  <c r="Q1010" i="8"/>
  <c r="R1010" i="8"/>
  <c r="S1010" i="8"/>
  <c r="T1010" i="8"/>
  <c r="U1010" i="8"/>
  <c r="V1010" i="8"/>
  <c r="W1010" i="8"/>
  <c r="X1010" i="8"/>
  <c r="Y1010" i="8"/>
  <c r="Z1010" i="8"/>
  <c r="AA1010" i="8"/>
  <c r="AB1010" i="8"/>
  <c r="AC1010" i="8"/>
  <c r="AD1010" i="8"/>
  <c r="Q1011" i="8"/>
  <c r="R1011" i="8"/>
  <c r="S1011" i="8"/>
  <c r="T1011" i="8"/>
  <c r="U1011" i="8"/>
  <c r="V1011" i="8"/>
  <c r="W1011" i="8"/>
  <c r="X1011" i="8"/>
  <c r="Y1011" i="8"/>
  <c r="Z1011" i="8"/>
  <c r="AA1011" i="8"/>
  <c r="AB1011" i="8"/>
  <c r="AC1011" i="8"/>
  <c r="AD1011" i="8"/>
  <c r="Q1012" i="8"/>
  <c r="R1012" i="8"/>
  <c r="S1012" i="8"/>
  <c r="T1012" i="8"/>
  <c r="U1012" i="8"/>
  <c r="V1012" i="8"/>
  <c r="W1012" i="8"/>
  <c r="X1012" i="8"/>
  <c r="Y1012" i="8"/>
  <c r="Z1012" i="8"/>
  <c r="AA1012" i="8"/>
  <c r="AB1012" i="8"/>
  <c r="AC1012" i="8"/>
  <c r="AD1012" i="8"/>
  <c r="Q1013" i="8"/>
  <c r="R1013" i="8"/>
  <c r="S1013" i="8"/>
  <c r="T1013" i="8"/>
  <c r="U1013" i="8"/>
  <c r="V1013" i="8"/>
  <c r="W1013" i="8"/>
  <c r="X1013" i="8"/>
  <c r="Y1013" i="8"/>
  <c r="Z1013" i="8"/>
  <c r="AA1013" i="8"/>
  <c r="AB1013" i="8"/>
  <c r="AC1013" i="8"/>
  <c r="AD1013" i="8"/>
  <c r="Q1014" i="8"/>
  <c r="R1014" i="8"/>
  <c r="S1014" i="8"/>
  <c r="T1014" i="8"/>
  <c r="U1014" i="8"/>
  <c r="V1014" i="8"/>
  <c r="W1014" i="8"/>
  <c r="X1014" i="8"/>
  <c r="Y1014" i="8"/>
  <c r="Z1014" i="8"/>
  <c r="AA1014" i="8"/>
  <c r="AB1014" i="8"/>
  <c r="AC1014" i="8"/>
  <c r="AD1014" i="8"/>
  <c r="Q1015" i="8"/>
  <c r="R1015" i="8"/>
  <c r="S1015" i="8"/>
  <c r="T1015" i="8"/>
  <c r="U1015" i="8"/>
  <c r="V1015" i="8"/>
  <c r="W1015" i="8"/>
  <c r="X1015" i="8"/>
  <c r="Y1015" i="8"/>
  <c r="Z1015" i="8"/>
  <c r="AA1015" i="8"/>
  <c r="AB1015" i="8"/>
  <c r="AC1015" i="8"/>
  <c r="AD1015" i="8"/>
  <c r="Q1016" i="8"/>
  <c r="R1016" i="8"/>
  <c r="S1016" i="8"/>
  <c r="T1016" i="8"/>
  <c r="U1016" i="8"/>
  <c r="V1016" i="8"/>
  <c r="W1016" i="8"/>
  <c r="X1016" i="8"/>
  <c r="Y1016" i="8"/>
  <c r="Z1016" i="8"/>
  <c r="AA1016" i="8"/>
  <c r="AB1016" i="8"/>
  <c r="AC1016" i="8"/>
  <c r="AD1016" i="8"/>
  <c r="Q1017" i="8"/>
  <c r="R1017" i="8"/>
  <c r="S1017" i="8"/>
  <c r="T1017" i="8"/>
  <c r="U1017" i="8"/>
  <c r="V1017" i="8"/>
  <c r="W1017" i="8"/>
  <c r="X1017" i="8"/>
  <c r="Y1017" i="8"/>
  <c r="Z1017" i="8"/>
  <c r="AA1017" i="8"/>
  <c r="AB1017" i="8"/>
  <c r="AC1017" i="8"/>
  <c r="AD1017" i="8"/>
  <c r="Q1018" i="8"/>
  <c r="R1018" i="8"/>
  <c r="S1018" i="8"/>
  <c r="T1018" i="8"/>
  <c r="U1018" i="8"/>
  <c r="V1018" i="8"/>
  <c r="W1018" i="8"/>
  <c r="X1018" i="8"/>
  <c r="Y1018" i="8"/>
  <c r="Z1018" i="8"/>
  <c r="AA1018" i="8"/>
  <c r="AB1018" i="8"/>
  <c r="AC1018" i="8"/>
  <c r="AD1018" i="8"/>
  <c r="Q1019" i="8"/>
  <c r="R1019" i="8"/>
  <c r="S1019" i="8"/>
  <c r="T1019" i="8"/>
  <c r="U1019" i="8"/>
  <c r="V1019" i="8"/>
  <c r="W1019" i="8"/>
  <c r="X1019" i="8"/>
  <c r="Y1019" i="8"/>
  <c r="Z1019" i="8"/>
  <c r="AA1019" i="8"/>
  <c r="AB1019" i="8"/>
  <c r="AC1019" i="8"/>
  <c r="AD1019" i="8"/>
  <c r="Q1020" i="8"/>
  <c r="R1020" i="8"/>
  <c r="S1020" i="8"/>
  <c r="T1020" i="8"/>
  <c r="U1020" i="8"/>
  <c r="V1020" i="8"/>
  <c r="W1020" i="8"/>
  <c r="X1020" i="8"/>
  <c r="Y1020" i="8"/>
  <c r="Z1020" i="8"/>
  <c r="AA1020" i="8"/>
  <c r="AB1020" i="8"/>
  <c r="AC1020" i="8"/>
  <c r="AD1020" i="8"/>
  <c r="Q1021" i="8"/>
  <c r="R1021" i="8"/>
  <c r="S1021" i="8"/>
  <c r="T1021" i="8"/>
  <c r="U1021" i="8"/>
  <c r="V1021" i="8"/>
  <c r="W1021" i="8"/>
  <c r="X1021" i="8"/>
  <c r="Y1021" i="8"/>
  <c r="Z1021" i="8"/>
  <c r="AA1021" i="8"/>
  <c r="AB1021" i="8"/>
  <c r="AC1021" i="8"/>
  <c r="AD1021" i="8"/>
  <c r="Q1022" i="8"/>
  <c r="R1022" i="8"/>
  <c r="S1022" i="8"/>
  <c r="T1022" i="8"/>
  <c r="U1022" i="8"/>
  <c r="V1022" i="8"/>
  <c r="W1022" i="8"/>
  <c r="X1022" i="8"/>
  <c r="Y1022" i="8"/>
  <c r="Z1022" i="8"/>
  <c r="AA1022" i="8"/>
  <c r="AB1022" i="8"/>
  <c r="AC1022" i="8"/>
  <c r="AD1022" i="8"/>
  <c r="Q1023" i="8"/>
  <c r="R1023" i="8"/>
  <c r="S1023" i="8"/>
  <c r="T1023" i="8"/>
  <c r="U1023" i="8"/>
  <c r="V1023" i="8"/>
  <c r="W1023" i="8"/>
  <c r="X1023" i="8"/>
  <c r="Y1023" i="8"/>
  <c r="Z1023" i="8"/>
  <c r="AA1023" i="8"/>
  <c r="AB1023" i="8"/>
  <c r="AC1023" i="8"/>
  <c r="AD1023" i="8"/>
  <c r="Q1024" i="8"/>
  <c r="R1024" i="8"/>
  <c r="S1024" i="8"/>
  <c r="T1024" i="8"/>
  <c r="U1024" i="8"/>
  <c r="V1024" i="8"/>
  <c r="W1024" i="8"/>
  <c r="X1024" i="8"/>
  <c r="Y1024" i="8"/>
  <c r="Z1024" i="8"/>
  <c r="AA1024" i="8"/>
  <c r="AB1024" i="8"/>
  <c r="AC1024" i="8"/>
  <c r="AD1024" i="8"/>
  <c r="Q1025" i="8"/>
  <c r="R1025" i="8"/>
  <c r="S1025" i="8"/>
  <c r="T1025" i="8"/>
  <c r="U1025" i="8"/>
  <c r="V1025" i="8"/>
  <c r="W1025" i="8"/>
  <c r="X1025" i="8"/>
  <c r="Y1025" i="8"/>
  <c r="Z1025" i="8"/>
  <c r="AA1025" i="8"/>
  <c r="AB1025" i="8"/>
  <c r="AC1025" i="8"/>
  <c r="AD1025" i="8"/>
  <c r="Q1026" i="8"/>
  <c r="R1026" i="8"/>
  <c r="S1026" i="8"/>
  <c r="T1026" i="8"/>
  <c r="U1026" i="8"/>
  <c r="V1026" i="8"/>
  <c r="W1026" i="8"/>
  <c r="X1026" i="8"/>
  <c r="Y1026" i="8"/>
  <c r="Z1026" i="8"/>
  <c r="AA1026" i="8"/>
  <c r="AB1026" i="8"/>
  <c r="AC1026" i="8"/>
  <c r="AD1026" i="8"/>
  <c r="Q1027" i="8"/>
  <c r="R1027" i="8"/>
  <c r="S1027" i="8"/>
  <c r="T1027" i="8"/>
  <c r="U1027" i="8"/>
  <c r="V1027" i="8"/>
  <c r="W1027" i="8"/>
  <c r="X1027" i="8"/>
  <c r="Y1027" i="8"/>
  <c r="Z1027" i="8"/>
  <c r="AA1027" i="8"/>
  <c r="AB1027" i="8"/>
  <c r="AC1027" i="8"/>
  <c r="AD1027" i="8"/>
  <c r="Q1028" i="8"/>
  <c r="R1028" i="8"/>
  <c r="S1028" i="8"/>
  <c r="T1028" i="8"/>
  <c r="U1028" i="8"/>
  <c r="V1028" i="8"/>
  <c r="W1028" i="8"/>
  <c r="X1028" i="8"/>
  <c r="Y1028" i="8"/>
  <c r="Z1028" i="8"/>
  <c r="AA1028" i="8"/>
  <c r="AB1028" i="8"/>
  <c r="AC1028" i="8"/>
  <c r="AD1028" i="8"/>
  <c r="Q1029" i="8"/>
  <c r="R1029" i="8"/>
  <c r="S1029" i="8"/>
  <c r="T1029" i="8"/>
  <c r="U1029" i="8"/>
  <c r="V1029" i="8"/>
  <c r="W1029" i="8"/>
  <c r="X1029" i="8"/>
  <c r="Y1029" i="8"/>
  <c r="Z1029" i="8"/>
  <c r="AA1029" i="8"/>
  <c r="AB1029" i="8"/>
  <c r="AC1029" i="8"/>
  <c r="AD1029" i="8"/>
  <c r="Q1030" i="8"/>
  <c r="R1030" i="8"/>
  <c r="S1030" i="8"/>
  <c r="T1030" i="8"/>
  <c r="U1030" i="8"/>
  <c r="V1030" i="8"/>
  <c r="W1030" i="8"/>
  <c r="X1030" i="8"/>
  <c r="Y1030" i="8"/>
  <c r="Z1030" i="8"/>
  <c r="AA1030" i="8"/>
  <c r="AB1030" i="8"/>
  <c r="AC1030" i="8"/>
  <c r="AD1030" i="8"/>
  <c r="Q1031" i="8"/>
  <c r="R1031" i="8"/>
  <c r="S1031" i="8"/>
  <c r="T1031" i="8"/>
  <c r="U1031" i="8"/>
  <c r="V1031" i="8"/>
  <c r="W1031" i="8"/>
  <c r="X1031" i="8"/>
  <c r="Y1031" i="8"/>
  <c r="Z1031" i="8"/>
  <c r="AA1031" i="8"/>
  <c r="AB1031" i="8"/>
  <c r="AC1031" i="8"/>
  <c r="AD1031" i="8"/>
  <c r="Q1032" i="8"/>
  <c r="R1032" i="8"/>
  <c r="S1032" i="8"/>
  <c r="T1032" i="8"/>
  <c r="U1032" i="8"/>
  <c r="V1032" i="8"/>
  <c r="W1032" i="8"/>
  <c r="X1032" i="8"/>
  <c r="Y1032" i="8"/>
  <c r="Z1032" i="8"/>
  <c r="AA1032" i="8"/>
  <c r="AB1032" i="8"/>
  <c r="AC1032" i="8"/>
  <c r="AD1032" i="8"/>
  <c r="Q1033" i="8"/>
  <c r="R1033" i="8"/>
  <c r="S1033" i="8"/>
  <c r="T1033" i="8"/>
  <c r="U1033" i="8"/>
  <c r="V1033" i="8"/>
  <c r="W1033" i="8"/>
  <c r="X1033" i="8"/>
  <c r="Y1033" i="8"/>
  <c r="Z1033" i="8"/>
  <c r="AA1033" i="8"/>
  <c r="AB1033" i="8"/>
  <c r="AC1033" i="8"/>
  <c r="AD1033" i="8"/>
  <c r="Q1034" i="8"/>
  <c r="R1034" i="8"/>
  <c r="S1034" i="8"/>
  <c r="T1034" i="8"/>
  <c r="U1034" i="8"/>
  <c r="V1034" i="8"/>
  <c r="W1034" i="8"/>
  <c r="X1034" i="8"/>
  <c r="Y1034" i="8"/>
  <c r="Z1034" i="8"/>
  <c r="AA1034" i="8"/>
  <c r="AB1034" i="8"/>
  <c r="AC1034" i="8"/>
  <c r="AD1034" i="8"/>
  <c r="Q1035" i="8"/>
  <c r="R1035" i="8"/>
  <c r="S1035" i="8"/>
  <c r="T1035" i="8"/>
  <c r="U1035" i="8"/>
  <c r="V1035" i="8"/>
  <c r="W1035" i="8"/>
  <c r="X1035" i="8"/>
  <c r="Y1035" i="8"/>
  <c r="Z1035" i="8"/>
  <c r="AA1035" i="8"/>
  <c r="AB1035" i="8"/>
  <c r="AC1035" i="8"/>
  <c r="AD1035" i="8"/>
  <c r="Q1036" i="8"/>
  <c r="R1036" i="8"/>
  <c r="S1036" i="8"/>
  <c r="T1036" i="8"/>
  <c r="U1036" i="8"/>
  <c r="V1036" i="8"/>
  <c r="W1036" i="8"/>
  <c r="X1036" i="8"/>
  <c r="Y1036" i="8"/>
  <c r="Z1036" i="8"/>
  <c r="AA1036" i="8"/>
  <c r="AB1036" i="8"/>
  <c r="AC1036" i="8"/>
  <c r="AD1036" i="8"/>
  <c r="Q1037" i="8"/>
  <c r="R1037" i="8"/>
  <c r="S1037" i="8"/>
  <c r="T1037" i="8"/>
  <c r="U1037" i="8"/>
  <c r="V1037" i="8"/>
  <c r="W1037" i="8"/>
  <c r="X1037" i="8"/>
  <c r="Y1037" i="8"/>
  <c r="Z1037" i="8"/>
  <c r="AA1037" i="8"/>
  <c r="AB1037" i="8"/>
  <c r="AC1037" i="8"/>
  <c r="AD1037" i="8"/>
  <c r="Q1038" i="8"/>
  <c r="R1038" i="8"/>
  <c r="S1038" i="8"/>
  <c r="T1038" i="8"/>
  <c r="U1038" i="8"/>
  <c r="V1038" i="8"/>
  <c r="W1038" i="8"/>
  <c r="X1038" i="8"/>
  <c r="Y1038" i="8"/>
  <c r="Z1038" i="8"/>
  <c r="AA1038" i="8"/>
  <c r="AB1038" i="8"/>
  <c r="AC1038" i="8"/>
  <c r="AD1038" i="8"/>
  <c r="Q1039" i="8"/>
  <c r="R1039" i="8"/>
  <c r="S1039" i="8"/>
  <c r="T1039" i="8"/>
  <c r="U1039" i="8"/>
  <c r="V1039" i="8"/>
  <c r="W1039" i="8"/>
  <c r="X1039" i="8"/>
  <c r="Y1039" i="8"/>
  <c r="Z1039" i="8"/>
  <c r="AA1039" i="8"/>
  <c r="AB1039" i="8"/>
  <c r="AC1039" i="8"/>
  <c r="AD1039" i="8"/>
  <c r="Q1040" i="8"/>
  <c r="R1040" i="8"/>
  <c r="S1040" i="8"/>
  <c r="T1040" i="8"/>
  <c r="U1040" i="8"/>
  <c r="V1040" i="8"/>
  <c r="W1040" i="8"/>
  <c r="X1040" i="8"/>
  <c r="Y1040" i="8"/>
  <c r="Z1040" i="8"/>
  <c r="AA1040" i="8"/>
  <c r="AB1040" i="8"/>
  <c r="AC1040" i="8"/>
  <c r="AD1040" i="8"/>
  <c r="Q1041" i="8"/>
  <c r="R1041" i="8"/>
  <c r="S1041" i="8"/>
  <c r="T1041" i="8"/>
  <c r="U1041" i="8"/>
  <c r="V1041" i="8"/>
  <c r="W1041" i="8"/>
  <c r="X1041" i="8"/>
  <c r="Y1041" i="8"/>
  <c r="Z1041" i="8"/>
  <c r="AA1041" i="8"/>
  <c r="AB1041" i="8"/>
  <c r="AC1041" i="8"/>
  <c r="AD1041" i="8"/>
  <c r="S109" i="8"/>
  <c r="S110" i="8"/>
  <c r="S111" i="8"/>
  <c r="S112" i="8"/>
  <c r="S113" i="8"/>
  <c r="S2" i="8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108" i="8"/>
  <c r="B3" i="5"/>
  <c r="C2" i="5"/>
  <c r="C3" i="5" s="1"/>
  <c r="B12" i="5" s="1"/>
  <c r="D2" i="5"/>
  <c r="D3" i="5" s="1"/>
  <c r="C12" i="5" s="1"/>
  <c r="Q2" i="8"/>
  <c r="R2" i="8"/>
  <c r="T2" i="8"/>
  <c r="U2" i="8"/>
  <c r="V2" i="8"/>
  <c r="W2" i="8"/>
  <c r="X2" i="8"/>
  <c r="Y2" i="8"/>
  <c r="Z2" i="8"/>
  <c r="AA2" i="8"/>
  <c r="AB2" i="8"/>
  <c r="AC2" i="8"/>
  <c r="AD2" i="8"/>
  <c r="Q3" i="8"/>
  <c r="R3" i="8"/>
  <c r="T3" i="8"/>
  <c r="U3" i="8"/>
  <c r="V3" i="8"/>
  <c r="W3" i="8"/>
  <c r="X3" i="8"/>
  <c r="Y3" i="8"/>
  <c r="Z3" i="8"/>
  <c r="AA3" i="8"/>
  <c r="AB3" i="8"/>
  <c r="AC3" i="8"/>
  <c r="AD3" i="8"/>
  <c r="Q4" i="8"/>
  <c r="R4" i="8"/>
  <c r="T4" i="8"/>
  <c r="U4" i="8"/>
  <c r="V4" i="8"/>
  <c r="W4" i="8"/>
  <c r="X4" i="8"/>
  <c r="Y4" i="8"/>
  <c r="Z4" i="8"/>
  <c r="AA4" i="8"/>
  <c r="AB4" i="8"/>
  <c r="AC4" i="8"/>
  <c r="AD4" i="8"/>
  <c r="Q5" i="8"/>
  <c r="R5" i="8"/>
  <c r="T5" i="8"/>
  <c r="U5" i="8"/>
  <c r="V5" i="8"/>
  <c r="W5" i="8"/>
  <c r="X5" i="8"/>
  <c r="Y5" i="8"/>
  <c r="Z5" i="8"/>
  <c r="AA5" i="8"/>
  <c r="AB5" i="8"/>
  <c r="AC5" i="8"/>
  <c r="AD5" i="8"/>
  <c r="Q6" i="8"/>
  <c r="R6" i="8"/>
  <c r="T6" i="8"/>
  <c r="U6" i="8"/>
  <c r="V6" i="8"/>
  <c r="W6" i="8"/>
  <c r="X6" i="8"/>
  <c r="Y6" i="8"/>
  <c r="Z6" i="8"/>
  <c r="AA6" i="8"/>
  <c r="AB6" i="8"/>
  <c r="AC6" i="8"/>
  <c r="AD6" i="8"/>
  <c r="Q7" i="8"/>
  <c r="R7" i="8"/>
  <c r="T7" i="8"/>
  <c r="U7" i="8"/>
  <c r="V7" i="8"/>
  <c r="W7" i="8"/>
  <c r="X7" i="8"/>
  <c r="Y7" i="8"/>
  <c r="Z7" i="8"/>
  <c r="AA7" i="8"/>
  <c r="AB7" i="8"/>
  <c r="AC7" i="8"/>
  <c r="AD7" i="8"/>
  <c r="Q8" i="8"/>
  <c r="R8" i="8"/>
  <c r="T8" i="8"/>
  <c r="U8" i="8"/>
  <c r="V8" i="8"/>
  <c r="W8" i="8"/>
  <c r="X8" i="8"/>
  <c r="Y8" i="8"/>
  <c r="Z8" i="8"/>
  <c r="AA8" i="8"/>
  <c r="AB8" i="8"/>
  <c r="AC8" i="8"/>
  <c r="AD8" i="8"/>
  <c r="Q9" i="8"/>
  <c r="R9" i="8"/>
  <c r="T9" i="8"/>
  <c r="U9" i="8"/>
  <c r="V9" i="8"/>
  <c r="W9" i="8"/>
  <c r="X9" i="8"/>
  <c r="Y9" i="8"/>
  <c r="Z9" i="8"/>
  <c r="AA9" i="8"/>
  <c r="AB9" i="8"/>
  <c r="AC9" i="8"/>
  <c r="AD9" i="8"/>
  <c r="Q10" i="8"/>
  <c r="R10" i="8"/>
  <c r="T10" i="8"/>
  <c r="U10" i="8"/>
  <c r="V10" i="8"/>
  <c r="W10" i="8"/>
  <c r="X10" i="8"/>
  <c r="Y10" i="8"/>
  <c r="Z10" i="8"/>
  <c r="AA10" i="8"/>
  <c r="AB10" i="8"/>
  <c r="AC10" i="8"/>
  <c r="AD10" i="8"/>
  <c r="Q11" i="8"/>
  <c r="R11" i="8"/>
  <c r="T11" i="8"/>
  <c r="U11" i="8"/>
  <c r="V11" i="8"/>
  <c r="W11" i="8"/>
  <c r="X11" i="8"/>
  <c r="Y11" i="8"/>
  <c r="Z11" i="8"/>
  <c r="AA11" i="8"/>
  <c r="AB11" i="8"/>
  <c r="AC11" i="8"/>
  <c r="AD11" i="8"/>
  <c r="Q12" i="8"/>
  <c r="R12" i="8"/>
  <c r="T12" i="8"/>
  <c r="U12" i="8"/>
  <c r="V12" i="8"/>
  <c r="W12" i="8"/>
  <c r="X12" i="8"/>
  <c r="Y12" i="8"/>
  <c r="Z12" i="8"/>
  <c r="AA12" i="8"/>
  <c r="AB12" i="8"/>
  <c r="AC12" i="8"/>
  <c r="AD12" i="8"/>
  <c r="Q13" i="8"/>
  <c r="R13" i="8"/>
  <c r="T13" i="8"/>
  <c r="U13" i="8"/>
  <c r="V13" i="8"/>
  <c r="W13" i="8"/>
  <c r="X13" i="8"/>
  <c r="Y13" i="8"/>
  <c r="Z13" i="8"/>
  <c r="AA13" i="8"/>
  <c r="AB13" i="8"/>
  <c r="AC13" i="8"/>
  <c r="AD13" i="8"/>
  <c r="Q14" i="8"/>
  <c r="R14" i="8"/>
  <c r="T14" i="8"/>
  <c r="U14" i="8"/>
  <c r="V14" i="8"/>
  <c r="W14" i="8"/>
  <c r="X14" i="8"/>
  <c r="Y14" i="8"/>
  <c r="Z14" i="8"/>
  <c r="AA14" i="8"/>
  <c r="AB14" i="8"/>
  <c r="AC14" i="8"/>
  <c r="AD14" i="8"/>
  <c r="Q15" i="8"/>
  <c r="R15" i="8"/>
  <c r="T15" i="8"/>
  <c r="U15" i="8"/>
  <c r="V15" i="8"/>
  <c r="W15" i="8"/>
  <c r="X15" i="8"/>
  <c r="Y15" i="8"/>
  <c r="Z15" i="8"/>
  <c r="AA15" i="8"/>
  <c r="AB15" i="8"/>
  <c r="AC15" i="8"/>
  <c r="AD15" i="8"/>
  <c r="Q16" i="8"/>
  <c r="R16" i="8"/>
  <c r="T16" i="8"/>
  <c r="U16" i="8"/>
  <c r="V16" i="8"/>
  <c r="W16" i="8"/>
  <c r="X16" i="8"/>
  <c r="Y16" i="8"/>
  <c r="Z16" i="8"/>
  <c r="AA16" i="8"/>
  <c r="AB16" i="8"/>
  <c r="AC16" i="8"/>
  <c r="AD16" i="8"/>
  <c r="Q17" i="8"/>
  <c r="R17" i="8"/>
  <c r="T17" i="8"/>
  <c r="U17" i="8"/>
  <c r="V17" i="8"/>
  <c r="W17" i="8"/>
  <c r="X17" i="8"/>
  <c r="Y17" i="8"/>
  <c r="Z17" i="8"/>
  <c r="AA17" i="8"/>
  <c r="AB17" i="8"/>
  <c r="AC17" i="8"/>
  <c r="AD17" i="8"/>
  <c r="Q18" i="8"/>
  <c r="R18" i="8"/>
  <c r="T18" i="8"/>
  <c r="U18" i="8"/>
  <c r="V18" i="8"/>
  <c r="W18" i="8"/>
  <c r="X18" i="8"/>
  <c r="Y18" i="8"/>
  <c r="Z18" i="8"/>
  <c r="AA18" i="8"/>
  <c r="AB18" i="8"/>
  <c r="AC18" i="8"/>
  <c r="AD18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Q20" i="8"/>
  <c r="R20" i="8"/>
  <c r="T20" i="8"/>
  <c r="U20" i="8"/>
  <c r="V20" i="8"/>
  <c r="W20" i="8"/>
  <c r="X20" i="8"/>
  <c r="Y20" i="8"/>
  <c r="Z20" i="8"/>
  <c r="AA20" i="8"/>
  <c r="AB20" i="8"/>
  <c r="AC20" i="8"/>
  <c r="AD20" i="8"/>
  <c r="Q21" i="8"/>
  <c r="R21" i="8"/>
  <c r="T21" i="8"/>
  <c r="U21" i="8"/>
  <c r="V21" i="8"/>
  <c r="W21" i="8"/>
  <c r="X21" i="8"/>
  <c r="Y21" i="8"/>
  <c r="Z21" i="8"/>
  <c r="AA21" i="8"/>
  <c r="AB21" i="8"/>
  <c r="AC21" i="8"/>
  <c r="AD21" i="8"/>
  <c r="Q22" i="8"/>
  <c r="R22" i="8"/>
  <c r="T22" i="8"/>
  <c r="U22" i="8"/>
  <c r="V22" i="8"/>
  <c r="W22" i="8"/>
  <c r="X22" i="8"/>
  <c r="Y22" i="8"/>
  <c r="Z22" i="8"/>
  <c r="AA22" i="8"/>
  <c r="AB22" i="8"/>
  <c r="AC22" i="8"/>
  <c r="AD22" i="8"/>
  <c r="Q23" i="8"/>
  <c r="R23" i="8"/>
  <c r="T23" i="8"/>
  <c r="U23" i="8"/>
  <c r="V23" i="8"/>
  <c r="W23" i="8"/>
  <c r="X23" i="8"/>
  <c r="Y23" i="8"/>
  <c r="Z23" i="8"/>
  <c r="AA23" i="8"/>
  <c r="AB23" i="8"/>
  <c r="AC23" i="8"/>
  <c r="AD23" i="8"/>
  <c r="Q24" i="8"/>
  <c r="R24" i="8"/>
  <c r="T24" i="8"/>
  <c r="U24" i="8"/>
  <c r="V24" i="8"/>
  <c r="W24" i="8"/>
  <c r="X24" i="8"/>
  <c r="Y24" i="8"/>
  <c r="Z24" i="8"/>
  <c r="AA24" i="8"/>
  <c r="AB24" i="8"/>
  <c r="AC24" i="8"/>
  <c r="AD24" i="8"/>
  <c r="Q25" i="8"/>
  <c r="R25" i="8"/>
  <c r="T25" i="8"/>
  <c r="U25" i="8"/>
  <c r="V25" i="8"/>
  <c r="W25" i="8"/>
  <c r="X25" i="8"/>
  <c r="Y25" i="8"/>
  <c r="Z25" i="8"/>
  <c r="AA25" i="8"/>
  <c r="AB25" i="8"/>
  <c r="AC25" i="8"/>
  <c r="AD25" i="8"/>
  <c r="Q26" i="8"/>
  <c r="R26" i="8"/>
  <c r="T26" i="8"/>
  <c r="U26" i="8"/>
  <c r="V26" i="8"/>
  <c r="W26" i="8"/>
  <c r="X26" i="8"/>
  <c r="Y26" i="8"/>
  <c r="Z26" i="8"/>
  <c r="AA26" i="8"/>
  <c r="AB26" i="8"/>
  <c r="AC26" i="8"/>
  <c r="AD26" i="8"/>
  <c r="AD109" i="8"/>
  <c r="AD110" i="8"/>
  <c r="AD111" i="8"/>
  <c r="AD112" i="8"/>
  <c r="AD113" i="8"/>
  <c r="AC109" i="8"/>
  <c r="AC110" i="8"/>
  <c r="AC111" i="8"/>
  <c r="AC112" i="8"/>
  <c r="AC113" i="8"/>
  <c r="AC108" i="8"/>
  <c r="AB109" i="8"/>
  <c r="AB110" i="8"/>
  <c r="AB111" i="8"/>
  <c r="AB112" i="8"/>
  <c r="AB113" i="8"/>
  <c r="AB108" i="8"/>
  <c r="AA109" i="8"/>
  <c r="AA110" i="8"/>
  <c r="AA111" i="8"/>
  <c r="AA112" i="8"/>
  <c r="AA113" i="8"/>
  <c r="Z109" i="8"/>
  <c r="Z110" i="8"/>
  <c r="Z111" i="8"/>
  <c r="Z112" i="8"/>
  <c r="Z113" i="8"/>
  <c r="Z108" i="8"/>
  <c r="Y109" i="8"/>
  <c r="Y110" i="8"/>
  <c r="Y111" i="8"/>
  <c r="Y112" i="8"/>
  <c r="Y113" i="8"/>
  <c r="Y108" i="8"/>
  <c r="X109" i="8"/>
  <c r="X110" i="8"/>
  <c r="X111" i="8"/>
  <c r="X112" i="8"/>
  <c r="X113" i="8"/>
  <c r="X108" i="8"/>
  <c r="W109" i="8"/>
  <c r="W110" i="8"/>
  <c r="W111" i="8"/>
  <c r="W112" i="8"/>
  <c r="W113" i="8"/>
  <c r="W108" i="8"/>
  <c r="V109" i="8"/>
  <c r="V110" i="8"/>
  <c r="V111" i="8"/>
  <c r="V112" i="8"/>
  <c r="V113" i="8"/>
  <c r="V108" i="8"/>
  <c r="U109" i="8"/>
  <c r="U110" i="8"/>
  <c r="U111" i="8"/>
  <c r="U112" i="8"/>
  <c r="U113" i="8"/>
  <c r="U108" i="8"/>
  <c r="T109" i="8"/>
  <c r="T110" i="8"/>
  <c r="T111" i="8"/>
  <c r="T112" i="8"/>
  <c r="T113" i="8"/>
  <c r="T108" i="8"/>
  <c r="R110" i="8"/>
  <c r="R111" i="8"/>
  <c r="R112" i="8"/>
  <c r="R113" i="8"/>
  <c r="R109" i="8"/>
  <c r="R108" i="8"/>
  <c r="Q110" i="8"/>
  <c r="Q111" i="8"/>
  <c r="Q112" i="8"/>
  <c r="Q113" i="8"/>
  <c r="Q109" i="8"/>
  <c r="Q108" i="8"/>
  <c r="AD108" i="8"/>
  <c r="AA108" i="8"/>
  <c r="F6" i="5" a="1"/>
  <c r="F6" i="5" s="1"/>
  <c r="E6" i="5" a="1"/>
  <c r="E6" i="5" s="1"/>
  <c r="D6" i="5" a="1"/>
  <c r="D6" i="5" s="1"/>
  <c r="I12" i="5" s="1"/>
  <c r="E9" i="3"/>
  <c r="D9" i="3"/>
  <c r="E2" i="5"/>
  <c r="E3" i="5" s="1" a="1"/>
  <c r="E3" i="5" s="1"/>
  <c r="D12" i="5" s="1"/>
  <c r="P2" i="5"/>
  <c r="F3" i="5" a="1"/>
  <c r="F3" i="5" s="1"/>
  <c r="E12" i="5" s="1"/>
  <c r="A12" i="5" l="1"/>
  <c r="A3" i="5"/>
  <c r="F9" i="3"/>
  <c r="P2" i="8"/>
  <c r="P370" i="8"/>
  <c r="P366" i="8"/>
  <c r="P369" i="8"/>
  <c r="P371" i="8"/>
  <c r="P368" i="8"/>
  <c r="P367" i="8"/>
  <c r="P107" i="8"/>
  <c r="P104" i="8"/>
  <c r="P103" i="8"/>
  <c r="P102" i="8"/>
  <c r="P101" i="8"/>
  <c r="P100" i="8"/>
  <c r="P99" i="8"/>
  <c r="P97" i="8"/>
  <c r="P96" i="8"/>
  <c r="P95" i="8"/>
  <c r="P94" i="8"/>
  <c r="P93" i="8"/>
  <c r="P91" i="8"/>
  <c r="P90" i="8"/>
  <c r="P89" i="8"/>
  <c r="P88" i="8"/>
  <c r="P87" i="8"/>
  <c r="P85" i="8"/>
  <c r="P84" i="8"/>
  <c r="P83" i="8"/>
  <c r="P82" i="8"/>
  <c r="P81" i="8"/>
  <c r="P80" i="8"/>
  <c r="P79" i="8"/>
  <c r="P78" i="8"/>
  <c r="P77" i="8"/>
  <c r="P76" i="8"/>
  <c r="P75" i="8"/>
  <c r="P73" i="8"/>
  <c r="P72" i="8"/>
  <c r="P71" i="8"/>
  <c r="P70" i="8"/>
  <c r="P69" i="8"/>
  <c r="P68" i="8"/>
  <c r="P67" i="8"/>
  <c r="P66" i="8"/>
  <c r="P64" i="8"/>
  <c r="P63" i="8"/>
  <c r="P61" i="8"/>
  <c r="P60" i="8"/>
  <c r="P58" i="8"/>
  <c r="P57" i="8"/>
  <c r="P56" i="8"/>
  <c r="P55" i="8"/>
  <c r="P54" i="8"/>
  <c r="P52" i="8"/>
  <c r="P51" i="8"/>
  <c r="P48" i="8"/>
  <c r="P46" i="8"/>
  <c r="P40" i="8"/>
  <c r="P34" i="8"/>
  <c r="P28" i="8"/>
  <c r="P65" i="8"/>
  <c r="P59" i="8"/>
  <c r="P53" i="8"/>
  <c r="P49" i="8"/>
  <c r="P47" i="8"/>
  <c r="P43" i="8"/>
  <c r="P41" i="8"/>
  <c r="P37" i="8"/>
  <c r="P35" i="8"/>
  <c r="P31" i="8"/>
  <c r="P29" i="8"/>
  <c r="P92" i="8"/>
  <c r="P45" i="8"/>
  <c r="P44" i="8"/>
  <c r="P42" i="8"/>
  <c r="P39" i="8"/>
  <c r="P36" i="8"/>
  <c r="P33" i="8"/>
  <c r="P32" i="8"/>
  <c r="P30" i="8"/>
  <c r="P27" i="8"/>
  <c r="P98" i="8"/>
  <c r="P86" i="8"/>
  <c r="P74" i="8"/>
  <c r="P62" i="8"/>
  <c r="P50" i="8"/>
  <c r="P38" i="8"/>
  <c r="P106" i="8"/>
  <c r="P105" i="8"/>
  <c r="P12" i="8"/>
  <c r="P11" i="8"/>
  <c r="P10" i="8"/>
  <c r="P9" i="8"/>
  <c r="P8" i="8"/>
  <c r="P7" i="8"/>
  <c r="P301" i="8"/>
  <c r="P13" i="8"/>
  <c r="P6" i="8"/>
  <c r="P5" i="8"/>
  <c r="P4" i="8"/>
  <c r="P3" i="8"/>
  <c r="P26" i="8"/>
  <c r="P17" i="8"/>
  <c r="P16" i="8"/>
  <c r="P15" i="8"/>
  <c r="P25" i="8"/>
  <c r="P24" i="8"/>
  <c r="P300" i="8"/>
  <c r="P23" i="8"/>
  <c r="P378" i="8"/>
  <c r="P303" i="8"/>
  <c r="P302" i="8"/>
  <c r="P22" i="8"/>
  <c r="P304" i="8"/>
  <c r="P14" i="8"/>
  <c r="P21" i="8"/>
  <c r="P20" i="8"/>
  <c r="P19" i="8"/>
  <c r="P18" i="8"/>
  <c r="P383" i="8"/>
  <c r="P377" i="8"/>
  <c r="P382" i="8"/>
  <c r="P376" i="8"/>
  <c r="P381" i="8"/>
  <c r="P375" i="8"/>
  <c r="P380" i="8"/>
  <c r="P374" i="8"/>
  <c r="P379" i="8"/>
  <c r="P373" i="8"/>
  <c r="P298" i="8"/>
  <c r="P290" i="8"/>
  <c r="P289" i="8"/>
  <c r="P286" i="8"/>
  <c r="P297" i="8"/>
  <c r="P294" i="8"/>
  <c r="P293" i="8"/>
  <c r="P292" i="8"/>
  <c r="P291" i="8"/>
  <c r="P288" i="8"/>
  <c r="P287" i="8"/>
  <c r="P285" i="8"/>
  <c r="P284" i="8"/>
  <c r="P283" i="8"/>
  <c r="P282" i="8"/>
  <c r="P281" i="8"/>
  <c r="P299" i="8"/>
  <c r="P296" i="8"/>
  <c r="P295" i="8"/>
  <c r="P221" i="8"/>
  <c r="P422" i="8"/>
  <c r="P1001" i="8"/>
  <c r="P1000" i="8"/>
  <c r="P999" i="8"/>
  <c r="P995" i="8"/>
  <c r="P994" i="8"/>
  <c r="P989" i="8"/>
  <c r="P988" i="8"/>
  <c r="P987" i="8"/>
  <c r="P983" i="8"/>
  <c r="P982" i="8"/>
  <c r="P977" i="8"/>
  <c r="P976" i="8"/>
  <c r="P975" i="8"/>
  <c r="P971" i="8"/>
  <c r="P970" i="8"/>
  <c r="P965" i="8"/>
  <c r="P964" i="8"/>
  <c r="P963" i="8"/>
  <c r="P959" i="8"/>
  <c r="P958" i="8"/>
  <c r="P953" i="8"/>
  <c r="P952" i="8"/>
  <c r="P951" i="8"/>
  <c r="P947" i="8"/>
  <c r="P946" i="8"/>
  <c r="P941" i="8"/>
  <c r="P940" i="8"/>
  <c r="P939" i="8"/>
  <c r="P935" i="8"/>
  <c r="P934" i="8"/>
  <c r="P929" i="8"/>
  <c r="P928" i="8"/>
  <c r="P927" i="8"/>
  <c r="P923" i="8"/>
  <c r="P922" i="8"/>
  <c r="P917" i="8"/>
  <c r="P916" i="8"/>
  <c r="P915" i="8"/>
  <c r="P911" i="8"/>
  <c r="P910" i="8"/>
  <c r="P905" i="8"/>
  <c r="P904" i="8"/>
  <c r="P903" i="8"/>
  <c r="P899" i="8"/>
  <c r="P898" i="8"/>
  <c r="P893" i="8"/>
  <c r="P892" i="8"/>
  <c r="P891" i="8"/>
  <c r="P887" i="8"/>
  <c r="P886" i="8"/>
  <c r="P881" i="8"/>
  <c r="P880" i="8"/>
  <c r="P879" i="8"/>
  <c r="P875" i="8"/>
  <c r="P874" i="8"/>
  <c r="P869" i="8"/>
  <c r="P868" i="8"/>
  <c r="P867" i="8"/>
  <c r="P863" i="8"/>
  <c r="P862" i="8"/>
  <c r="P857" i="8"/>
  <c r="P856" i="8"/>
  <c r="P851" i="8"/>
  <c r="P850" i="8"/>
  <c r="P845" i="8"/>
  <c r="P844" i="8"/>
  <c r="P843" i="8"/>
  <c r="P839" i="8"/>
  <c r="P838" i="8"/>
  <c r="P833" i="8"/>
  <c r="P832" i="8"/>
  <c r="P831" i="8"/>
  <c r="P827" i="8"/>
  <c r="P826" i="8"/>
  <c r="P821" i="8"/>
  <c r="P820" i="8"/>
  <c r="P819" i="8"/>
  <c r="P815" i="8"/>
  <c r="P814" i="8"/>
  <c r="P808" i="8"/>
  <c r="P807" i="8"/>
  <c r="P803" i="8"/>
  <c r="P802" i="8"/>
  <c r="P797" i="8"/>
  <c r="P796" i="8"/>
  <c r="P795" i="8"/>
  <c r="P794" i="8"/>
  <c r="P793" i="8"/>
  <c r="P792" i="8"/>
  <c r="P791" i="8"/>
  <c r="P790" i="8"/>
  <c r="P789" i="8"/>
  <c r="P788" i="8"/>
  <c r="P787" i="8"/>
  <c r="P786" i="8"/>
  <c r="P785" i="8"/>
  <c r="P784" i="8"/>
  <c r="P783" i="8"/>
  <c r="P782" i="8"/>
  <c r="P781" i="8"/>
  <c r="P780" i="8"/>
  <c r="P779" i="8"/>
  <c r="P778" i="8"/>
  <c r="P777" i="8"/>
  <c r="P776" i="8"/>
  <c r="P775" i="8"/>
  <c r="P774" i="8"/>
  <c r="P773" i="8"/>
  <c r="P772" i="8"/>
  <c r="P771" i="8"/>
  <c r="P770" i="8"/>
  <c r="P769" i="8"/>
  <c r="P768" i="8"/>
  <c r="P767" i="8"/>
  <c r="P766" i="8"/>
  <c r="P765" i="8"/>
  <c r="P764" i="8"/>
  <c r="P763" i="8"/>
  <c r="P762" i="8"/>
  <c r="P761" i="8"/>
  <c r="P760" i="8"/>
  <c r="P759" i="8"/>
  <c r="P758" i="8"/>
  <c r="P757" i="8"/>
  <c r="P756" i="8"/>
  <c r="P755" i="8"/>
  <c r="P754" i="8"/>
  <c r="P753" i="8"/>
  <c r="P752" i="8"/>
  <c r="P751" i="8"/>
  <c r="P750" i="8"/>
  <c r="P748" i="8"/>
  <c r="P747" i="8"/>
  <c r="P746" i="8"/>
  <c r="P745" i="8"/>
  <c r="P744" i="8"/>
  <c r="P743" i="8"/>
  <c r="P742" i="8"/>
  <c r="P741" i="8"/>
  <c r="P739" i="8"/>
  <c r="P738" i="8"/>
  <c r="P737" i="8"/>
  <c r="P736" i="8"/>
  <c r="P735" i="8"/>
  <c r="P733" i="8"/>
  <c r="P732" i="8"/>
  <c r="P731" i="8"/>
  <c r="P730" i="8"/>
  <c r="P729" i="8"/>
  <c r="P727" i="8"/>
  <c r="P726" i="8"/>
  <c r="P725" i="8"/>
  <c r="P724" i="8"/>
  <c r="P723" i="8"/>
  <c r="P721" i="8"/>
  <c r="P720" i="8"/>
  <c r="P719" i="8"/>
  <c r="P718" i="8"/>
  <c r="P717" i="8"/>
  <c r="P715" i="8"/>
  <c r="P714" i="8"/>
  <c r="P713" i="8"/>
  <c r="P712" i="8"/>
  <c r="P709" i="8"/>
  <c r="P708" i="8"/>
  <c r="P706" i="8"/>
  <c r="P705" i="8"/>
  <c r="P703" i="8"/>
  <c r="P702" i="8"/>
  <c r="P701" i="8"/>
  <c r="P700" i="8"/>
  <c r="P699" i="8"/>
  <c r="P697" i="8"/>
  <c r="P696" i="8"/>
  <c r="P694" i="8"/>
  <c r="P693" i="8"/>
  <c r="P691" i="8"/>
  <c r="P690" i="8"/>
  <c r="P688" i="8"/>
  <c r="P687" i="8"/>
  <c r="P685" i="8"/>
  <c r="P855" i="8"/>
  <c r="P711" i="8"/>
  <c r="P684" i="8"/>
  <c r="P682" i="8"/>
  <c r="P681" i="8"/>
  <c r="P679" i="8"/>
  <c r="P678" i="8"/>
  <c r="P676" i="8"/>
  <c r="P675" i="8"/>
  <c r="P673" i="8"/>
  <c r="P672" i="8"/>
  <c r="P670" i="8"/>
  <c r="P669" i="8"/>
  <c r="P667" i="8"/>
  <c r="P666" i="8"/>
  <c r="P664" i="8"/>
  <c r="P663" i="8"/>
  <c r="P661" i="8"/>
  <c r="P660" i="8"/>
  <c r="P658" i="8"/>
  <c r="P657" i="8"/>
  <c r="P655" i="8"/>
  <c r="P654" i="8"/>
  <c r="P652" i="8"/>
  <c r="P651" i="8"/>
  <c r="P649" i="8"/>
  <c r="P648" i="8"/>
  <c r="P646" i="8"/>
  <c r="P645" i="8"/>
  <c r="P643" i="8"/>
  <c r="P642" i="8"/>
  <c r="P640" i="8"/>
  <c r="P639" i="8"/>
  <c r="P637" i="8"/>
  <c r="P636" i="8"/>
  <c r="P634" i="8"/>
  <c r="P633" i="8"/>
  <c r="P631" i="8"/>
  <c r="P630" i="8"/>
  <c r="P628" i="8"/>
  <c r="P627" i="8"/>
  <c r="P625" i="8"/>
  <c r="P624" i="8"/>
  <c r="P622" i="8"/>
  <c r="P621" i="8"/>
  <c r="P619" i="8"/>
  <c r="P618" i="8"/>
  <c r="P616" i="8"/>
  <c r="P615" i="8"/>
  <c r="P613" i="8"/>
  <c r="P612" i="8"/>
  <c r="P610" i="8"/>
  <c r="P609" i="8"/>
  <c r="P607" i="8"/>
  <c r="P606" i="8"/>
  <c r="P604" i="8"/>
  <c r="P603" i="8"/>
  <c r="P601" i="8"/>
  <c r="P600" i="8"/>
  <c r="P598" i="8"/>
  <c r="P597" i="8"/>
  <c r="P595" i="8"/>
  <c r="P594" i="8"/>
  <c r="P592" i="8"/>
  <c r="P591" i="8"/>
  <c r="P589" i="8"/>
  <c r="P588" i="8"/>
  <c r="P586" i="8"/>
  <c r="P585" i="8"/>
  <c r="P583" i="8"/>
  <c r="P582" i="8"/>
  <c r="P580" i="8"/>
  <c r="P579" i="8"/>
  <c r="P577" i="8"/>
  <c r="P576" i="8"/>
  <c r="P574" i="8"/>
  <c r="P573" i="8"/>
  <c r="P571" i="8"/>
  <c r="P570" i="8"/>
  <c r="P568" i="8"/>
  <c r="P565" i="8"/>
  <c r="P564" i="8"/>
  <c r="P562" i="8"/>
  <c r="P561" i="8"/>
  <c r="P559" i="8"/>
  <c r="P558" i="8"/>
  <c r="P556" i="8"/>
  <c r="P567" i="8"/>
  <c r="P740" i="8"/>
  <c r="P734" i="8"/>
  <c r="P728" i="8"/>
  <c r="P722" i="8"/>
  <c r="P716" i="8"/>
  <c r="P710" i="8"/>
  <c r="P704" i="8"/>
  <c r="P698" i="8"/>
  <c r="P692" i="8"/>
  <c r="P686" i="8"/>
  <c r="P680" i="8"/>
  <c r="P674" i="8"/>
  <c r="P668" i="8"/>
  <c r="P662" i="8"/>
  <c r="P656" i="8"/>
  <c r="P650" i="8"/>
  <c r="P644" i="8"/>
  <c r="P638" i="8"/>
  <c r="P632" i="8"/>
  <c r="P626" i="8"/>
  <c r="P620" i="8"/>
  <c r="P614" i="8"/>
  <c r="P608" i="8"/>
  <c r="P602" i="8"/>
  <c r="P596" i="8"/>
  <c r="P590" i="8"/>
  <c r="P584" i="8"/>
  <c r="P578" i="8"/>
  <c r="P572" i="8"/>
  <c r="P566" i="8"/>
  <c r="P560" i="8"/>
  <c r="P555" i="8"/>
  <c r="P554" i="8"/>
  <c r="P553" i="8"/>
  <c r="P552" i="8"/>
  <c r="P550" i="8"/>
  <c r="P549" i="8"/>
  <c r="P548" i="8"/>
  <c r="P547" i="8"/>
  <c r="P546" i="8"/>
  <c r="P544" i="8"/>
  <c r="P543" i="8"/>
  <c r="P542" i="8"/>
  <c r="P541" i="8"/>
  <c r="P540" i="8"/>
  <c r="P538" i="8"/>
  <c r="P537" i="8"/>
  <c r="P536" i="8"/>
  <c r="P535" i="8"/>
  <c r="P534" i="8"/>
  <c r="P532" i="8"/>
  <c r="P531" i="8"/>
  <c r="P530" i="8"/>
  <c r="P529" i="8"/>
  <c r="P528" i="8"/>
  <c r="P526" i="8"/>
  <c r="P525" i="8"/>
  <c r="P524" i="8"/>
  <c r="P523" i="8"/>
  <c r="P522" i="8"/>
  <c r="P520" i="8"/>
  <c r="P519" i="8"/>
  <c r="P518" i="8"/>
  <c r="P517" i="8"/>
  <c r="P516" i="8"/>
  <c r="P514" i="8"/>
  <c r="P513" i="8"/>
  <c r="P512" i="8"/>
  <c r="P511" i="8"/>
  <c r="P510" i="8"/>
  <c r="P508" i="8"/>
  <c r="P507" i="8"/>
  <c r="P506" i="8"/>
  <c r="P505" i="8"/>
  <c r="P504" i="8"/>
  <c r="P502" i="8"/>
  <c r="P501" i="8"/>
  <c r="P500" i="8"/>
  <c r="P499" i="8"/>
  <c r="P498" i="8"/>
  <c r="P496" i="8"/>
  <c r="P495" i="8"/>
  <c r="P494" i="8"/>
  <c r="P493" i="8"/>
  <c r="P492" i="8"/>
  <c r="P1031" i="8"/>
  <c r="P707" i="8"/>
  <c r="P695" i="8"/>
  <c r="P689" i="8"/>
  <c r="P683" i="8"/>
  <c r="P677" i="8"/>
  <c r="P671" i="8"/>
  <c r="P665" i="8"/>
  <c r="P659" i="8"/>
  <c r="P653" i="8"/>
  <c r="P641" i="8"/>
  <c r="P635" i="8"/>
  <c r="P629" i="8"/>
  <c r="P623" i="8"/>
  <c r="P617" i="8"/>
  <c r="P611" i="8"/>
  <c r="P605" i="8"/>
  <c r="P599" i="8"/>
  <c r="P593" i="8"/>
  <c r="P587" i="8"/>
  <c r="P581" i="8"/>
  <c r="P575" i="8"/>
  <c r="P569" i="8"/>
  <c r="P563" i="8"/>
  <c r="P557" i="8"/>
  <c r="P551" i="8"/>
  <c r="P545" i="8"/>
  <c r="P749" i="8"/>
  <c r="P1023" i="8"/>
  <c r="P1036" i="8"/>
  <c r="P1019" i="8"/>
  <c r="P1006" i="8"/>
  <c r="P1037" i="8"/>
  <c r="P1013" i="8"/>
  <c r="P1025" i="8"/>
  <c r="P1012" i="8"/>
  <c r="P1018" i="8"/>
  <c r="P1030" i="8"/>
  <c r="P1011" i="8"/>
  <c r="P1035" i="8"/>
  <c r="P1024" i="8"/>
  <c r="P1007" i="8"/>
  <c r="P539" i="8"/>
  <c r="P533" i="8"/>
  <c r="P527" i="8"/>
  <c r="P521" i="8"/>
  <c r="P515" i="8"/>
  <c r="P509" i="8"/>
  <c r="P503" i="8"/>
  <c r="P491" i="8"/>
  <c r="P490" i="8"/>
  <c r="P489" i="8"/>
  <c r="P488" i="8"/>
  <c r="P487" i="8"/>
  <c r="P486" i="8"/>
  <c r="P485" i="8"/>
  <c r="P484" i="8"/>
  <c r="P483" i="8"/>
  <c r="P482" i="8"/>
  <c r="P481" i="8"/>
  <c r="P480" i="8"/>
  <c r="P479" i="8"/>
  <c r="P478" i="8"/>
  <c r="P477" i="8"/>
  <c r="P476" i="8"/>
  <c r="P475" i="8"/>
  <c r="P474" i="8"/>
  <c r="P473" i="8"/>
  <c r="P472" i="8"/>
  <c r="P471" i="8"/>
  <c r="P470" i="8"/>
  <c r="P469" i="8"/>
  <c r="P468" i="8"/>
  <c r="P467" i="8"/>
  <c r="P466" i="8"/>
  <c r="P465" i="8"/>
  <c r="P464" i="8"/>
  <c r="P463" i="8"/>
  <c r="P462" i="8"/>
  <c r="P461" i="8"/>
  <c r="P460" i="8"/>
  <c r="P459" i="8"/>
  <c r="P458" i="8"/>
  <c r="P457" i="8"/>
  <c r="P456" i="8"/>
  <c r="P455" i="8"/>
  <c r="P454" i="8"/>
  <c r="P453" i="8"/>
  <c r="P452" i="8"/>
  <c r="P451" i="8"/>
  <c r="P450" i="8"/>
  <c r="P449" i="8"/>
  <c r="P448" i="8"/>
  <c r="P447" i="8"/>
  <c r="P446" i="8"/>
  <c r="P445" i="8"/>
  <c r="P444" i="8"/>
  <c r="P443" i="8"/>
  <c r="P442" i="8"/>
  <c r="P441" i="8"/>
  <c r="P440" i="8"/>
  <c r="P439" i="8"/>
  <c r="P438" i="8"/>
  <c r="P437" i="8"/>
  <c r="P436" i="8"/>
  <c r="P435" i="8"/>
  <c r="P434" i="8"/>
  <c r="P433" i="8"/>
  <c r="P432" i="8"/>
  <c r="P431" i="8"/>
  <c r="P430" i="8"/>
  <c r="P429" i="8"/>
  <c r="P428" i="8"/>
  <c r="P427" i="8"/>
  <c r="P426" i="8"/>
  <c r="P425" i="8"/>
  <c r="P424" i="8"/>
  <c r="P423" i="8"/>
  <c r="P421" i="8"/>
  <c r="P420" i="8"/>
  <c r="P419" i="8"/>
  <c r="P418" i="8"/>
  <c r="P417" i="8"/>
  <c r="P416" i="8"/>
  <c r="P415" i="8"/>
  <c r="P414" i="8"/>
  <c r="P413" i="8"/>
  <c r="P412" i="8"/>
  <c r="P411" i="8"/>
  <c r="P410" i="8"/>
  <c r="P409" i="8"/>
  <c r="P408" i="8"/>
  <c r="P407" i="8"/>
  <c r="P406" i="8"/>
  <c r="P405" i="8"/>
  <c r="P404" i="8"/>
  <c r="P403" i="8"/>
  <c r="P402" i="8"/>
  <c r="P401" i="8"/>
  <c r="P400" i="8"/>
  <c r="P399" i="8"/>
  <c r="P398" i="8"/>
  <c r="P397" i="8"/>
  <c r="P396" i="8"/>
  <c r="P395" i="8"/>
  <c r="P394" i="8"/>
  <c r="P393" i="8"/>
  <c r="P392" i="8"/>
  <c r="P391" i="8"/>
  <c r="P390" i="8"/>
  <c r="P389" i="8"/>
  <c r="P388" i="8"/>
  <c r="P387" i="8"/>
  <c r="P386" i="8"/>
  <c r="P385" i="8"/>
  <c r="P384" i="8"/>
  <c r="P372" i="8"/>
  <c r="P365" i="8"/>
  <c r="P364" i="8"/>
  <c r="P363" i="8"/>
  <c r="P362" i="8"/>
  <c r="P361" i="8"/>
  <c r="P360" i="8"/>
  <c r="P359" i="8"/>
  <c r="P358" i="8"/>
  <c r="P357" i="8"/>
  <c r="P356" i="8"/>
  <c r="P355" i="8"/>
  <c r="P354" i="8"/>
  <c r="P353" i="8"/>
  <c r="P352" i="8"/>
  <c r="P351" i="8"/>
  <c r="P350" i="8"/>
  <c r="P349" i="8"/>
  <c r="P348" i="8"/>
  <c r="P347" i="8"/>
  <c r="P346" i="8"/>
  <c r="P345" i="8"/>
  <c r="P344" i="8"/>
  <c r="P343" i="8"/>
  <c r="P342" i="8"/>
  <c r="P341" i="8"/>
  <c r="P340" i="8"/>
  <c r="P339" i="8"/>
  <c r="P338" i="8"/>
  <c r="P337" i="8"/>
  <c r="P336" i="8"/>
  <c r="P335" i="8"/>
  <c r="P334" i="8"/>
  <c r="P333" i="8"/>
  <c r="P332" i="8"/>
  <c r="P331" i="8"/>
  <c r="P330" i="8"/>
  <c r="P329" i="8"/>
  <c r="P328" i="8"/>
  <c r="P327" i="8"/>
  <c r="P326" i="8"/>
  <c r="P325" i="8"/>
  <c r="P324" i="8"/>
  <c r="P323" i="8"/>
  <c r="P322" i="8"/>
  <c r="P321" i="8"/>
  <c r="P320" i="8"/>
  <c r="P319" i="8"/>
  <c r="P318" i="8"/>
  <c r="P317" i="8"/>
  <c r="P316" i="8"/>
  <c r="P315" i="8"/>
  <c r="P314" i="8"/>
  <c r="P313" i="8"/>
  <c r="P312" i="8"/>
  <c r="P311" i="8"/>
  <c r="P310" i="8"/>
  <c r="P309" i="8"/>
  <c r="P308" i="8"/>
  <c r="P307" i="8"/>
  <c r="P306" i="8"/>
  <c r="P305" i="8"/>
  <c r="P280" i="8"/>
  <c r="P279" i="8"/>
  <c r="P278" i="8"/>
  <c r="P277" i="8"/>
  <c r="P276" i="8"/>
  <c r="P275" i="8"/>
  <c r="P274" i="8"/>
  <c r="P273" i="8"/>
  <c r="P272" i="8"/>
  <c r="P271" i="8"/>
  <c r="P270" i="8"/>
  <c r="P269" i="8"/>
  <c r="P268" i="8"/>
  <c r="P267" i="8"/>
  <c r="P266" i="8"/>
  <c r="P265" i="8"/>
  <c r="P264" i="8"/>
  <c r="P263" i="8"/>
  <c r="P262" i="8"/>
  <c r="P261" i="8"/>
  <c r="P260" i="8"/>
  <c r="P259" i="8"/>
  <c r="P258" i="8"/>
  <c r="P257" i="8"/>
  <c r="P256" i="8"/>
  <c r="P255" i="8"/>
  <c r="P254" i="8"/>
  <c r="P253" i="8"/>
  <c r="P247" i="8"/>
  <c r="P241" i="8"/>
  <c r="P234" i="8"/>
  <c r="P233" i="8"/>
  <c r="P229" i="8"/>
  <c r="P222" i="8"/>
  <c r="P213" i="8"/>
  <c r="P205" i="8"/>
  <c r="P201" i="8"/>
  <c r="P196" i="8"/>
  <c r="P194" i="8"/>
  <c r="P193" i="8"/>
  <c r="P190" i="8"/>
  <c r="P189" i="8"/>
  <c r="P187" i="8"/>
  <c r="P184" i="8"/>
  <c r="P182" i="8"/>
  <c r="P181" i="8"/>
  <c r="P178" i="8"/>
  <c r="P177" i="8"/>
  <c r="P175" i="8"/>
  <c r="P172" i="8"/>
  <c r="P170" i="8"/>
  <c r="P169" i="8"/>
  <c r="P165" i="8"/>
  <c r="P158" i="8"/>
  <c r="P153" i="8"/>
  <c r="P148" i="8"/>
  <c r="P146" i="8"/>
  <c r="P141" i="8"/>
  <c r="P134" i="8"/>
  <c r="P129" i="8"/>
  <c r="P122" i="8"/>
  <c r="P120" i="8"/>
  <c r="P119" i="8"/>
  <c r="P118" i="8"/>
  <c r="P117" i="8"/>
  <c r="P116" i="8"/>
  <c r="P115" i="8"/>
  <c r="P114" i="8"/>
  <c r="P809" i="8"/>
  <c r="P215" i="8"/>
  <c r="P1032" i="8"/>
  <c r="P1021" i="8"/>
  <c r="P1008" i="8"/>
  <c r="P998" i="8"/>
  <c r="P985" i="8"/>
  <c r="P969" i="8"/>
  <c r="P955" i="8"/>
  <c r="P942" i="8"/>
  <c r="P933" i="8"/>
  <c r="P919" i="8"/>
  <c r="P907" i="8"/>
  <c r="P894" i="8"/>
  <c r="P888" i="8"/>
  <c r="P885" i="8"/>
  <c r="P884" i="8"/>
  <c r="P883" i="8"/>
  <c r="P882" i="8"/>
  <c r="P878" i="8"/>
  <c r="P877" i="8"/>
  <c r="P872" i="8"/>
  <c r="P866" i="8"/>
  <c r="P865" i="8"/>
  <c r="P864" i="8"/>
  <c r="P861" i="8"/>
  <c r="P860" i="8"/>
  <c r="P859" i="8"/>
  <c r="P858" i="8"/>
  <c r="P854" i="8"/>
  <c r="P853" i="8"/>
  <c r="P852" i="8"/>
  <c r="P849" i="8"/>
  <c r="P848" i="8"/>
  <c r="P847" i="8"/>
  <c r="P846" i="8"/>
  <c r="P842" i="8"/>
  <c r="P841" i="8"/>
  <c r="P840" i="8"/>
  <c r="P837" i="8"/>
  <c r="P836" i="8"/>
  <c r="P835" i="8"/>
  <c r="P834" i="8"/>
  <c r="P830" i="8"/>
  <c r="P829" i="8"/>
  <c r="P828" i="8"/>
  <c r="P825" i="8"/>
  <c r="P824" i="8"/>
  <c r="P823" i="8"/>
  <c r="P822" i="8"/>
  <c r="P818" i="8"/>
  <c r="P817" i="8"/>
  <c r="P816" i="8"/>
  <c r="P813" i="8"/>
  <c r="P812" i="8"/>
  <c r="P811" i="8"/>
  <c r="P810" i="8"/>
  <c r="P806" i="8"/>
  <c r="P805" i="8"/>
  <c r="P804" i="8"/>
  <c r="P801" i="8"/>
  <c r="P800" i="8"/>
  <c r="P799" i="8"/>
  <c r="P798" i="8"/>
  <c r="P1033" i="8"/>
  <c r="P1022" i="8"/>
  <c r="P1009" i="8"/>
  <c r="P997" i="8"/>
  <c r="P984" i="8"/>
  <c r="P973" i="8"/>
  <c r="P961" i="8"/>
  <c r="P944" i="8"/>
  <c r="P931" i="8"/>
  <c r="P918" i="8"/>
  <c r="P908" i="8"/>
  <c r="P897" i="8"/>
  <c r="P870" i="8"/>
  <c r="P647" i="8"/>
  <c r="P1040" i="8"/>
  <c r="P1026" i="8"/>
  <c r="P1017" i="8"/>
  <c r="P1002" i="8"/>
  <c r="P986" i="8"/>
  <c r="P974" i="8"/>
  <c r="P956" i="8"/>
  <c r="P945" i="8"/>
  <c r="P932" i="8"/>
  <c r="P871" i="8"/>
  <c r="P197" i="8"/>
  <c r="P1034" i="8"/>
  <c r="P1020" i="8"/>
  <c r="P1005" i="8"/>
  <c r="P993" i="8"/>
  <c r="P979" i="8"/>
  <c r="P966" i="8"/>
  <c r="P948" i="8"/>
  <c r="P938" i="8"/>
  <c r="P926" i="8"/>
  <c r="P913" i="8"/>
  <c r="P900" i="8"/>
  <c r="P1027" i="8"/>
  <c r="P1016" i="8"/>
  <c r="P1003" i="8"/>
  <c r="P992" i="8"/>
  <c r="P972" i="8"/>
  <c r="P960" i="8"/>
  <c r="P949" i="8"/>
  <c r="P930" i="8"/>
  <c r="P921" i="8"/>
  <c r="P906" i="8"/>
  <c r="P895" i="8"/>
  <c r="P873" i="8"/>
  <c r="P1029" i="8"/>
  <c r="P1014" i="8"/>
  <c r="P1004" i="8"/>
  <c r="P991" i="8"/>
  <c r="P981" i="8"/>
  <c r="P968" i="8"/>
  <c r="P962" i="8"/>
  <c r="P950" i="8"/>
  <c r="P936" i="8"/>
  <c r="P925" i="8"/>
  <c r="P914" i="8"/>
  <c r="P902" i="8"/>
  <c r="P890" i="8"/>
  <c r="P497" i="8"/>
  <c r="P1038" i="8"/>
  <c r="P1015" i="8"/>
  <c r="P990" i="8"/>
  <c r="P980" i="8"/>
  <c r="P954" i="8"/>
  <c r="P937" i="8"/>
  <c r="P920" i="8"/>
  <c r="P909" i="8"/>
  <c r="P896" i="8"/>
  <c r="P889" i="8"/>
  <c r="P1039" i="8"/>
  <c r="P1028" i="8"/>
  <c r="P1010" i="8"/>
  <c r="P996" i="8"/>
  <c r="P978" i="8"/>
  <c r="P967" i="8"/>
  <c r="P957" i="8"/>
  <c r="P943" i="8"/>
  <c r="P924" i="8"/>
  <c r="P912" i="8"/>
  <c r="P901" i="8"/>
  <c r="P876" i="8"/>
  <c r="P235" i="8"/>
  <c r="P223" i="8"/>
  <c r="P209" i="8"/>
  <c r="P203" i="8"/>
  <c r="P202" i="8"/>
  <c r="P199" i="8"/>
  <c r="P166" i="8"/>
  <c r="P163" i="8"/>
  <c r="P160" i="8"/>
  <c r="P157" i="8"/>
  <c r="P154" i="8"/>
  <c r="P151" i="8"/>
  <c r="P145" i="8"/>
  <c r="P142" i="8"/>
  <c r="P139" i="8"/>
  <c r="P136" i="8"/>
  <c r="P133" i="8"/>
  <c r="P127" i="8"/>
  <c r="P249" i="8"/>
  <c r="P237" i="8"/>
  <c r="P225" i="8"/>
  <c r="P217" i="8"/>
  <c r="P243" i="8"/>
  <c r="P231" i="8"/>
  <c r="P219" i="8"/>
  <c r="P245" i="8"/>
  <c r="P251" i="8"/>
  <c r="P239" i="8"/>
  <c r="P227" i="8"/>
  <c r="P240" i="8"/>
  <c r="P228" i="8"/>
  <c r="P216" i="8"/>
  <c r="P212" i="8"/>
  <c r="P200" i="8"/>
  <c r="P188" i="8"/>
  <c r="P176" i="8"/>
  <c r="P164" i="8"/>
  <c r="P152" i="8"/>
  <c r="P140" i="8"/>
  <c r="P137" i="8"/>
  <c r="P128" i="8"/>
  <c r="P125" i="8"/>
  <c r="P210" i="8"/>
  <c r="P204" i="8"/>
  <c r="P198" i="8"/>
  <c r="P195" i="8"/>
  <c r="P192" i="8"/>
  <c r="P191" i="8"/>
  <c r="P186" i="8"/>
  <c r="P185" i="8"/>
  <c r="P183" i="8"/>
  <c r="P180" i="8"/>
  <c r="P179" i="8"/>
  <c r="P174" i="8"/>
  <c r="P173" i="8"/>
  <c r="P171" i="8"/>
  <c r="P168" i="8"/>
  <c r="P167" i="8"/>
  <c r="P162" i="8"/>
  <c r="P161" i="8"/>
  <c r="P159" i="8"/>
  <c r="P156" i="8"/>
  <c r="P155" i="8"/>
  <c r="P150" i="8"/>
  <c r="P149" i="8"/>
  <c r="P147" i="8"/>
  <c r="P144" i="8"/>
  <c r="P143" i="8"/>
  <c r="P138" i="8"/>
  <c r="P135" i="8"/>
  <c r="P132" i="8"/>
  <c r="P131" i="8"/>
  <c r="P130" i="8"/>
  <c r="P126" i="8"/>
  <c r="P124" i="8"/>
  <c r="P123" i="8"/>
  <c r="P121" i="8"/>
  <c r="P242" i="8"/>
  <c r="P230" i="8"/>
  <c r="P218" i="8"/>
  <c r="P244" i="8"/>
  <c r="P232" i="8"/>
  <c r="P220" i="8"/>
  <c r="P214" i="8"/>
  <c r="P211" i="8"/>
  <c r="P208" i="8"/>
  <c r="P207" i="8"/>
  <c r="P206" i="8"/>
  <c r="P246" i="8"/>
  <c r="P248" i="8"/>
  <c r="P236" i="8"/>
  <c r="P224" i="8"/>
  <c r="P250" i="8"/>
  <c r="P238" i="8"/>
  <c r="P226" i="8"/>
  <c r="P252" i="8"/>
  <c r="P112" i="8"/>
  <c r="P113" i="8"/>
  <c r="P110" i="8"/>
  <c r="P111" i="8"/>
  <c r="P109" i="8"/>
  <c r="P108" i="8"/>
</calcChain>
</file>

<file path=xl/connections.xml><?xml version="1.0" encoding="utf-8"?>
<connections xmlns="http://schemas.openxmlformats.org/spreadsheetml/2006/main">
  <connection id="1" name="Bağlantı" type="104" refreshedVersion="0" background="1">
    <extLst>
      <ext xmlns:x15="http://schemas.microsoft.com/office/spreadsheetml/2010/11/main" uri="{DE250136-89BD-433C-8126-D09CA5730AF9}">
        <x15:connection id="Vehicle Model"/>
      </ext>
    </extLst>
  </connection>
  <connection id="2" keepAlive="1" name="Sorgu - Tablo3" description="Çalışma kitabındaki 'Tablo3' sorgusuna yönelik bağlantı." type="5" refreshedVersion="0" background="1">
    <dbPr connection="Provider=Microsoft.Mashup.OleDb.1;Data Source=$Workbook$;Location=Tablo3;Extended Properties=&quot;&quot;" command="SELECT * FROM [Tablo3]"/>
  </connection>
  <connection id="3" keepAlive="1" name="ThisWorkbookDataModel" description="Veri Model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<sst xmlns="http://schemas.openxmlformats.org/spreadsheetml/2006/main" count="6490" uniqueCount="395">
  <si>
    <t>Özellikler</t>
  </si>
  <si>
    <t>HD12 RHD   (RHTK8R1)</t>
  </si>
  <si>
    <t>HD13 RHD   (RHUK8R1)</t>
  </si>
  <si>
    <t>HD12    (RHTK8L5 ve RHTK8L6 liftli)</t>
  </si>
  <si>
    <t>HD13   (RHUK8L5 ve RHUK8L9 liftli)</t>
  </si>
  <si>
    <t>SAFIR 12   (RHTK8L5)</t>
  </si>
  <si>
    <t>SAFIR 13   (RHUK8L5)</t>
  </si>
  <si>
    <t>SAFIR 13 VIP    (RHUK8L8)</t>
  </si>
  <si>
    <t>MARATON 12   (RTTK8L2)</t>
  </si>
  <si>
    <t>MARATON 13   (RTUK8L2)</t>
  </si>
  <si>
    <t>LD12 C   (RNTK7L2)</t>
  </si>
  <si>
    <t>LD13 C   (RNUK7L2)</t>
  </si>
  <si>
    <t>LD IC12   (RGTK7L2)</t>
  </si>
  <si>
    <t>LD SB12   (RGTT7L1)</t>
  </si>
  <si>
    <t>LD SB13   (RGUT7L1)</t>
  </si>
  <si>
    <t xml:space="preserve">MD9 Plus   (ANLT7L1) </t>
  </si>
  <si>
    <t>MD9 RHD   (ANLJ6R2)</t>
  </si>
  <si>
    <t>MD9 LE (ALLJ5L1)</t>
  </si>
  <si>
    <t xml:space="preserve">AVENUE LF12  (NVSJ6L1)  </t>
  </si>
  <si>
    <t>MD7 PLUS</t>
  </si>
  <si>
    <t xml:space="preserve">Araç Tipi </t>
  </si>
  <si>
    <t>Coach</t>
  </si>
  <si>
    <t>Intecity</t>
  </si>
  <si>
    <t xml:space="preserve">Intecity – School Bus </t>
  </si>
  <si>
    <t>City</t>
  </si>
  <si>
    <t>Motor</t>
  </si>
  <si>
    <t xml:space="preserve">DAF- Paccar    MX-11    300 kW – 2100 Nm </t>
  </si>
  <si>
    <t xml:space="preserve">DAF- Paccar    MX-11    330 kW - 2300 Nm veya 300 kW – 2100 Nm </t>
  </si>
  <si>
    <t xml:space="preserve">DAF- Paccar    MX-11    270 kW - 1900 Nm </t>
  </si>
  <si>
    <t xml:space="preserve">FPT    NEF6    235 kW – 1100 Nm </t>
  </si>
  <si>
    <t>Cummins B6.7 209kW  -  1100Nm</t>
  </si>
  <si>
    <t>Cummins B6.7 182 kW  -  982 Nm</t>
  </si>
  <si>
    <t>Cummins B6.7 204 kW  -  1082 Nm</t>
  </si>
  <si>
    <t xml:space="preserve">FPT    NEF6    137 kW – 750 Nm </t>
  </si>
  <si>
    <t>Şanzıman Otomatik (1)</t>
  </si>
  <si>
    <t>ZF EcoLife 6AP2320</t>
  </si>
  <si>
    <t>NA</t>
  </si>
  <si>
    <t>ZF EcoLife 6AP2020</t>
  </si>
  <si>
    <t>Şanzıman Otomatik (2)</t>
  </si>
  <si>
    <t>ZF TraXon 12TX2411</t>
  </si>
  <si>
    <t>ALLISON T350R</t>
  </si>
  <si>
    <t>ZF EcoLife 6AP1220B</t>
  </si>
  <si>
    <t>ALLISON T280R</t>
  </si>
  <si>
    <t>ALLISON T2100</t>
  </si>
  <si>
    <t>Şanzıman Otomatik (3)</t>
  </si>
  <si>
    <t>ZF TraXon 12TX2611</t>
  </si>
  <si>
    <t xml:space="preserve">Şanzıman Manuel </t>
  </si>
  <si>
    <t>ZF EcoShift 6S2111</t>
  </si>
  <si>
    <t>ZF EcoShift 6S1911</t>
  </si>
  <si>
    <t>ZF Eco Lite 6S1110</t>
  </si>
  <si>
    <t>ZF 6S710BO</t>
  </si>
  <si>
    <t>Aks 1 (Ön Aks )</t>
  </si>
  <si>
    <t>ZF RL75E (Indipendent  - Steerable Axle )</t>
  </si>
  <si>
    <t>ZF RL82EC (Indipendent  - Steerable Axle )</t>
  </si>
  <si>
    <t>ZF RL55EC (Indipendent  - Steerable Axle )</t>
  </si>
  <si>
    <t>Albion Rigid</t>
  </si>
  <si>
    <t>Aks 2 (Arka  Aks )</t>
  </si>
  <si>
    <t>ZF A133 ( Drive Axle  i:3,36 )</t>
  </si>
  <si>
    <t>ZF A133 ( Drive Axle   i:2,76 veya i:3,36 )</t>
  </si>
  <si>
    <t>ZF A133 ( Drive Axle   i:2,76 )</t>
  </si>
  <si>
    <t>ZF A133  ( Drive Axle   i:2,76 veya i:3,36 )</t>
  </si>
  <si>
    <t>ZF A133 ( Drive Axle   i:3,36 )</t>
  </si>
  <si>
    <t xml:space="preserve">HANDE HDZ450  ( Drive Axle   i:4.778  -  i:5.125  veya i:5.857 ) </t>
  </si>
  <si>
    <t xml:space="preserve">DANA 10.24R  ( Drive Axle   i:3.73 ) </t>
  </si>
  <si>
    <t>HANDE HDZ386 ( i:3,7  -  i:4,11  veya i:5,125 )</t>
  </si>
  <si>
    <t>ZF AV133  ( i:5,73 )</t>
  </si>
  <si>
    <t>Albion Rigid (i:3.73, i:4.10, i:4.56, i:5.13) or EGE (i:3.73, i:4.10)</t>
  </si>
  <si>
    <t xml:space="preserve"> </t>
  </si>
  <si>
    <t>Tork Konvertör</t>
  </si>
  <si>
    <t>Tork Transfer Ekipmanları</t>
  </si>
  <si>
    <t>Lastik Opsiyonu 1 (HD303031Y)</t>
  </si>
  <si>
    <t>Ön    :  Bridgestone H-Steer 295/80/R22.5  M   154/149  (Temsa  P/N : HD303129Y )                                                                                                                                                              Arka :  Bridgestone H-Drive 295/80/R22.5  M   152/148  (Temsa  P/N : HD303132Y )</t>
  </si>
  <si>
    <t>Lastik Opsiyonu 2  (HD303032Y -  440S-LFK-01Y -  440S-LGH-01Y)</t>
  </si>
  <si>
    <t xml:space="preserve">Ön    :  Bridgestone R247 II  295/80/R22.5  M   152/148  (Temsa  P/N : HD303124Y )                                                                                                                                                                       Arka :  Bridgestone R247 II  295/80/R22.5  M   152/148  (Temsa  P/N : HD303124Y )    </t>
  </si>
  <si>
    <t>Lastik Opsiyonu 3  (HD303033Y)</t>
  </si>
  <si>
    <t xml:space="preserve">Ön    :  Bridgestone M788 EVO  295/80/R22.5  M   154/149  (Temsa  P/N : HD303105Y )                                                                                                                                                        Arka :  Bridgestone M788 EVO  295/80/R22.5  M   154/149  (Temsa  P/N : HD303105Y ) </t>
  </si>
  <si>
    <t>Lastik Opsiyonu 4  (HD303034Y)</t>
  </si>
  <si>
    <t>Ön    :  Michelin X Multi Winter Z  295/80/R22.5  L   154/149  (Temsa  P/N : HD303133Y )                                                                                                                                                         Arka :  Michelin X Coach XD        295/80/R22.5  L   154/149  (Temsa  P/N : SB303121Y )</t>
  </si>
  <si>
    <t>Lastik Opsiyonu 5  (HD303035Y)</t>
  </si>
  <si>
    <t>Ön    :  Michelin X Coach Z       295/80/R22.5  M  154/150  (Temsa  P/N : HD303134Y )                                                                                                                                                           Arka :  Michelin X Coach XD     295/80/R22.5  L   154/149  (Temsa  P/N : SB303121Y )</t>
  </si>
  <si>
    <t>Lastik Opsiyonu 6  (HD303036Y ve 440S-LGK-01Y)</t>
  </si>
  <si>
    <t>Ön    :  Michelin X Coach Z       295/80/R22.5  M  154/150  (Temsa  P/N : HD303134Y )                                                                                                                                                                    Arka :  Michelin X Coach Z       295/80/R22.5  M  154/150  (Temsa  P/N : HD303134Y )</t>
  </si>
  <si>
    <t>Lastik Opsiyonu 7  (HD303037Y ve 440S-LGK-02Y)</t>
  </si>
  <si>
    <t>Ön    :  Michelin X Coach Z                295/80/R22.5  M  154/150  (Temsa  P/N : HD303134Y )                                                                                                                                                           Arka :  Michelin X Multiway 3D XZE  295/80/R22.5  M  152/148  (Temsa  P/N : 3010-LPE-01Y )</t>
  </si>
  <si>
    <t>Lastik Opsiyonu 8  (HD303053Y)</t>
  </si>
  <si>
    <t xml:space="preserve">Ön    :  Michelin XZA Energy   295/80/R22.5  K  150/147  (Temsa  P/N : TC090071Y )                                                                                                                                                               Arka :  Michelin XZA Energy   295/80/R22.5  K  150/147  (Temsa  P/N : TC090071Y )  </t>
  </si>
  <si>
    <t>Lastik Opsiyonu 9  (RH303002Y)</t>
  </si>
  <si>
    <t>Ön    :  Bridgestone R247 II  295/80/R22.5  M   152/148  (Temsa  P/N : HD303124Y )                                                                                                                                                              Arka :  Bridgestone R-Drive 295/80/R22.5  M   152/148  (Temsa  P/N : HD303126Y )</t>
  </si>
  <si>
    <t>Lastik Opsiyonu 10  (SB303013Y)</t>
  </si>
  <si>
    <t xml:space="preserve">Ön    :  Continental City HA3  295/80/R22.5  M   154/149  (Temsa  P/N : HD303122Y )                                                                                                                                                               Arka :  Continental City HA3  295/80/R22.5  M   154/149  (Temsa  P/N : HD303122Y ) </t>
  </si>
  <si>
    <t>Lastik Opsiyonu 11 (SB303014Y)</t>
  </si>
  <si>
    <t xml:space="preserve">Ön    :  Continental HSW2  295/80/R22.5  M   152148  (Temsa  P/N : SB303104Y )                                                                                                                                                                    Arka :  Continental HSW2  295/80/R22.5  M   152148  (Temsa  P/N : SB303104Y )  </t>
  </si>
  <si>
    <t>Lastik Opsiyonu 12 (SB303015Y)</t>
  </si>
  <si>
    <t xml:space="preserve">Ön    : Continental City HA3  295/80/R22.5  M   154/149  (Temsa  P/N : HD303122Y )                                                                                                                                                                    Arka :  Continental HSW2  295/80/R22.5  M   152148  (Temsa  P/N : SB303104Y )  </t>
  </si>
  <si>
    <t>Lastik Opsiyonu 13 (SB303019Y)</t>
  </si>
  <si>
    <t xml:space="preserve">Ön    : Continental COACH HA3 ED  295/80/R22.5  M   154/149  (Temsa  P/N : HD303130Y )                                                                                                                                                           Arka : Continental COACH HA3 ED  295/80/R22.5  M   154/149  (Temsa  P/N : HD303130Y ) </t>
  </si>
  <si>
    <t>Lastik Opsiyonu 14 (SB303004Y)</t>
  </si>
  <si>
    <t>Ön     : Michelin X Multiway 3D XZE  295/80/R22.5  M  152/148  (Temsa  P/N : 3010-LPE-01Y )                                                                                                                                                 Arka :  Michelin X Multiway 3D XZE  295/80/R22.5  M  152/148  (Temsa  P/N : 3010-LPE-01Y )</t>
  </si>
  <si>
    <t>Lastik Opsiyonu 15 (SB303012Y)</t>
  </si>
  <si>
    <t xml:space="preserve">Ön    : Continental HSL1 Coach  295/80/R22.5  M   152/148  (Temsa  P/N : SB303102Y )                                                                                                                                                          Arka :  Continental HSL1 Coach  295/80/R22.5  M   152/148  (Temsa  P/N : SB303102Y )    </t>
  </si>
  <si>
    <t>Lastik Opsiyonu 16 (440S-LGE-01Y ve 440S-LGG-01Y )</t>
  </si>
  <si>
    <t xml:space="preserve">Ön     : Michelin X Coach HL Z 295/80/R22.5  M  154/149  (Temsa  P/N : 3010-LPE-02Y )                                                                                                                                                                Arka :  Michelin X Coach HL Z 295/80/R22.5  M  154/149  (Temsa  P/N : 3010-LPE-02Y )     </t>
  </si>
  <si>
    <t>Lastik Opsiyonu 17 (440S-LGE-02Y ve 440S-LGG-02Y)</t>
  </si>
  <si>
    <t xml:space="preserve">Ön     : Michelin X Coach HL Z 295/80/R22.5  M  154/149  (Temsa  P/N : 3010-LPE-02Y )                                                                                                                                                                Arka :  Michelin X Multiway 3D XZE  295/80/R22.5  M  152/148  (Temsa  P/N : 3010-LPE-01Y )    </t>
  </si>
  <si>
    <t>Lastik Opsiyonu 18 (HD303026Y)</t>
  </si>
  <si>
    <r>
      <t xml:space="preserve">Ön     :  Bridgestone R-Steer  295/80/R22.5  M </t>
    </r>
    <r>
      <rPr>
        <b/>
        <sz val="12"/>
        <color rgb="FF222222"/>
        <rFont val="Arial"/>
        <family val="2"/>
        <charset val="162"/>
      </rPr>
      <t xml:space="preserve"> 154/149</t>
    </r>
    <r>
      <rPr>
        <b/>
        <sz val="12"/>
        <color rgb="FF000000"/>
        <rFont val="Arial"/>
        <family val="2"/>
        <charset val="162"/>
      </rPr>
      <t xml:space="preserve">  (Temsa  P/N : HD303125Y )                                                                                                                                                             Arka  :   Bridgestone R-Drive 295/80/R22.5  M   152/148  (Temsa  P/N : HD303126Y )</t>
    </r>
  </si>
  <si>
    <t>Lastik Opsiyonu 19 (HD303028Y)</t>
  </si>
  <si>
    <t>Ön     :  Bridgestone H-Steer 295/80/R22.5  M   154/149  (Temsa  P/N : HD303129Y )                                                                                                                                                             Arka  :   Bridgestone R-Drive 295/80/R22.5  M   152/148  (Temsa  P/N : HD303126Y )</t>
  </si>
  <si>
    <t>Lastik Opsiyonu 20 ( 440S-ANJ-01Y)</t>
  </si>
  <si>
    <t xml:space="preserve">Ön    :  Bridgestone M788   265/70/R19.5  M   140/138  (Temsa  P/N : 3010-APG-01Y )                                                                                                                                                         Arka :  Bridgestone M788   265/70/R19.5  M   140/138  (Temsa  P/N : 3010-APG-01Y ) </t>
  </si>
  <si>
    <t>Lastik Opsiyonu 21  ( 440S-APA-01Y ve 440S-ALC-01Y)</t>
  </si>
  <si>
    <t xml:space="preserve">Ön    :  Michelin  X Multi Z TL  265/70/R19.5  M   140/138  (Temsa  P/N : 3010-ALG-01Y )                                                                                                                                                       Arka :  Michelin  X Multi Z TL  265/70/R19.5  M   140/138  (Temsa  P/N : 3010-ALG-01Y ) </t>
  </si>
  <si>
    <t>Lastik Opsiyonu 22  ( 440S-APA-02Y ve 440S-ALC-02Y)</t>
  </si>
  <si>
    <t xml:space="preserve">Ön    :  Bridgestone R227   265/70/R19.5  M   140/138  (Temsa  P/N : CG303105Y )                                                                                                                                                         Arka :  Bridgestone R227   265/70/R19.5  M   140/138  (Temsa  P/N : CG303105Y ) </t>
  </si>
  <si>
    <t>Lastik Opsiyonu 23  ( 440S-APC-01Y ve 440S-ALC-04Y)</t>
  </si>
  <si>
    <t xml:space="preserve">Ön    :  Michelin  X Multi Z TL  265/70/R19.5  M   140/138  (Temsa  P/N : 3010-ALG-01Y )                                                                                                                                                       Arka :  Michelin  X Multi D TL  265/70/R19.5  M   140/138  (Temsa  P/N : 3010-ALG-02Y ) </t>
  </si>
  <si>
    <t>Lastik Opsiyonu 24  ( 440S-APC-05Y)</t>
  </si>
  <si>
    <t xml:space="preserve">Ön    :  Michelin  X Multi D TL  265/70/R19.5  M   140/138  (Temsa  P/N : 3010-ALG-02Y )                                                                                                                                                       Arka :  Michelin  X Multi D TL  265/70/R19.5  M   140/138  (Temsa  P/N : 3010-ALG-02Y ) </t>
  </si>
  <si>
    <t>Lastik Opsiyonu 25   (440S-ALC-03Y)</t>
  </si>
  <si>
    <t xml:space="preserve">Ön    :  Bridgestone M729   265/70/R19.5  M   140/138  (Temsa  P/N : 3010-APC-01Y )                                                                                                                                                         Arka :  Bridgestone R227   265/70/R19.5  M   140/138  (Temsa  P/N : CG303105Y ) </t>
  </si>
  <si>
    <t>Lastik Opsiyonu 26   (NK303012Y)</t>
  </si>
  <si>
    <t>Ön  : Continental Urban HA3 EU LRH 16PR  275/70/R22.5  J  150/145  (Temsa  P/N : NK303107Y )                                                                                                                                                Arka: Continental Urban HA3 EU LRH 16PR  275/70/R22.5  J  150/145 (Temsa  P/N : NK303107Y )                                                                                                                                                                                   ( Altenatif hız ve yük indeksi  E  152/148)</t>
  </si>
  <si>
    <t>Lastik Opsiyonu 27   (NK303014Y)</t>
  </si>
  <si>
    <t>Ön   : Continental Urban HA3 EU LRH 16PR  275/70/R22.5  J  150/145 (Temsa  P/N : NK303108Y )                                                                                                                                                Arka: Continental Urban Scandinavia HD3  275/70/R22.5  J  150/145 (Temsa  P/N : NK303109Y )                                                                                                                                                                                   ( Altenatif hız ve yük indeksi  E  152/148)</t>
  </si>
  <si>
    <t>Lastik Opsiyonu 28   (NK303023Y)</t>
  </si>
  <si>
    <t>Lastik Opsiyonu 29   (NK303027Y)</t>
  </si>
  <si>
    <t>Ön  : Bridgestone UAP 001  275/70/R22.5  J  150/148  (Temsa  P/N : NK303121Y )                                                                                                                                                                        Arka: Bridgestone UAP 001  275/70/R22.5  J  150/148  (Temsa  P/N : NK303121Y )                                                                                                                                                                                                ( Altenatif hız ve yük indeksi  E  152/148)</t>
  </si>
  <si>
    <t>Lastik Opsiyonu 30   (NK303035Y)</t>
  </si>
  <si>
    <t xml:space="preserve">Ön    :  Michelin X Incity XZU  275/70/R22.5  J  148/145  (Temsa  P/N : NK303112Y )                                                                                                                                                                        Arka :  Michelin X Incity XZU  275/70/R22.5  J  148/145  (Temsa  P/N : NK303112Y )                                                                                                                                                                                              ( Altenatif hız ve yük indeksi  E  152/148)                                                </t>
  </si>
  <si>
    <t>Vehicle Model</t>
  </si>
  <si>
    <t>Vub-Model</t>
  </si>
  <si>
    <t>Energy Vource Type</t>
  </si>
  <si>
    <t>Engine</t>
  </si>
  <si>
    <t>Gearbox</t>
  </si>
  <si>
    <t>Rear Axle</t>
  </si>
  <si>
    <t>HD 13</t>
  </si>
  <si>
    <t>Diesel</t>
  </si>
  <si>
    <t xml:space="preserve">DAF- Paccar    MX-11    330 kW - 2300 Nm 	</t>
  </si>
  <si>
    <t>ZF A133 (i:2,76)</t>
  </si>
  <si>
    <t>Front Tire</t>
  </si>
  <si>
    <t>Rear Tire</t>
  </si>
  <si>
    <t>Additional Axle Tire</t>
  </si>
  <si>
    <t>R247 II,295/80R22.5</t>
  </si>
  <si>
    <t>YOK</t>
  </si>
  <si>
    <t>Vehicle Model Code</t>
  </si>
  <si>
    <t>Vub-Model Code</t>
  </si>
  <si>
    <t>Energy Vource Code</t>
  </si>
  <si>
    <t>Engine Code</t>
  </si>
  <si>
    <t>Gearbox Code</t>
  </si>
  <si>
    <t>Rear Axle Code</t>
  </si>
  <si>
    <t>Front Tire Code</t>
  </si>
  <si>
    <t>Rear Tire Code</t>
  </si>
  <si>
    <t>Simulation Type Code</t>
  </si>
  <si>
    <t>Regulation Class</t>
  </si>
  <si>
    <t>VECTO CODE</t>
  </si>
  <si>
    <t>Sub-Model</t>
  </si>
  <si>
    <t>Sub-Model Code</t>
  </si>
  <si>
    <t>Energy Source Type</t>
  </si>
  <si>
    <t>Energy Source Code</t>
  </si>
  <si>
    <t>Front Axle</t>
  </si>
  <si>
    <t>Front Axle Code</t>
  </si>
  <si>
    <t>Retarder</t>
  </si>
  <si>
    <t>Retarder Code</t>
  </si>
  <si>
    <t>Torque Converter</t>
  </si>
  <si>
    <t>Torque Converter Code</t>
  </si>
  <si>
    <t>Vecto Class</t>
  </si>
  <si>
    <t>HD 12</t>
  </si>
  <si>
    <t>HD2</t>
  </si>
  <si>
    <t>RHD</t>
  </si>
  <si>
    <t>D</t>
  </si>
  <si>
    <t xml:space="preserve">DAF- Paccar    MX-11    270 kW - 1900 Nm 	</t>
  </si>
  <si>
    <t>ZF EcoLife 6AP1220C</t>
  </si>
  <si>
    <t>ZF RL55EC</t>
  </si>
  <si>
    <t>000</t>
  </si>
  <si>
    <t>UAP002 275/70 R22,5</t>
  </si>
  <si>
    <t>Primary</t>
  </si>
  <si>
    <t>P</t>
  </si>
  <si>
    <t>HD3</t>
  </si>
  <si>
    <t>LIFT</t>
  </si>
  <si>
    <t>LFT</t>
  </si>
  <si>
    <t>Electricity</t>
  </si>
  <si>
    <t>E</t>
  </si>
  <si>
    <t xml:space="preserve">DAF- Paccar    MX-11    300 kW – 2100 Nm 	</t>
  </si>
  <si>
    <t xml:space="preserve">ZF RL75E </t>
  </si>
  <si>
    <t>ZF A133 (i:3,36)</t>
  </si>
  <si>
    <t>3000 Series</t>
  </si>
  <si>
    <t>TC221</t>
  </si>
  <si>
    <t>Completed</t>
  </si>
  <si>
    <t>C</t>
  </si>
  <si>
    <t>SAFIR 12</t>
  </si>
  <si>
    <t>SF2</t>
  </si>
  <si>
    <t>Fuel Cell</t>
  </si>
  <si>
    <t>FCE</t>
  </si>
  <si>
    <t>Fuel-Cell</t>
  </si>
  <si>
    <t>F</t>
  </si>
  <si>
    <t>ZF EcoLife 6AP2320B</t>
  </si>
  <si>
    <t>ZF RL82EC</t>
  </si>
  <si>
    <t>ZF AV133 (İ:5.73)</t>
  </si>
  <si>
    <t>Intarder 3</t>
  </si>
  <si>
    <t>TC418</t>
  </si>
  <si>
    <t>295/80R22.5 EKO H-SURUCU</t>
  </si>
  <si>
    <t>SAFIR 13</t>
  </si>
  <si>
    <t>SF3</t>
  </si>
  <si>
    <t>VIP</t>
  </si>
  <si>
    <t>Hybrid</t>
  </si>
  <si>
    <t>H</t>
  </si>
  <si>
    <t>Cummins B6.7 182 kW 250hp</t>
  </si>
  <si>
    <t>ZF EcoLife 6AP2320C</t>
  </si>
  <si>
    <t>ZF A133 (i:2,00)</t>
  </si>
  <si>
    <t>W370-6-TP5</t>
  </si>
  <si>
    <t>BRIDGESTONE,H-STEER,295/80R22.5</t>
  </si>
  <si>
    <t>MARATON 12</t>
  </si>
  <si>
    <t>MR2</t>
  </si>
  <si>
    <t>C00</t>
  </si>
  <si>
    <t>Gasoline</t>
  </si>
  <si>
    <t>G</t>
  </si>
  <si>
    <t>Cummins B6.7 204 kW 274hp</t>
  </si>
  <si>
    <t>-</t>
  </si>
  <si>
    <t>ZF A133 (i;4.18)</t>
  </si>
  <si>
    <t>W410-6-TP3</t>
  </si>
  <si>
    <t>BRIDGEST,M788 EVO,M+S,295/80R22.5</t>
  </si>
  <si>
    <t>MARATON 13</t>
  </si>
  <si>
    <t>MR3</t>
  </si>
  <si>
    <t>IC</t>
  </si>
  <si>
    <t>IC0</t>
  </si>
  <si>
    <t>Cummins B6.7 209kW 280hp</t>
  </si>
  <si>
    <t>ZF A133 (İ:5.75)</t>
  </si>
  <si>
    <t>BRIDGESTO,R-DRIVE,M+S,295/80R22.5</t>
  </si>
  <si>
    <t>LD 12</t>
  </si>
  <si>
    <t>LD2</t>
  </si>
  <si>
    <t>Schoolbus</t>
  </si>
  <si>
    <t>SB0</t>
  </si>
  <si>
    <t xml:space="preserve">Cummins B6.7 224kW 300hp	</t>
  </si>
  <si>
    <t>HANDE HDZ386 (i:3.7)</t>
  </si>
  <si>
    <t>BRIDGESTONE R227 265/70R19.5</t>
  </si>
  <si>
    <t>LD 13</t>
  </si>
  <si>
    <t>LD3</t>
  </si>
  <si>
    <t>Plus</t>
  </si>
  <si>
    <t>PLS</t>
  </si>
  <si>
    <t xml:space="preserve">FPT N45 137 kW - 750 Nm	</t>
  </si>
  <si>
    <t>ZF EcoLite 6S1110BO</t>
  </si>
  <si>
    <t>HANDE HDZ386 (i:4.11)</t>
  </si>
  <si>
    <t>BRIDGESTONE 265-70R19.5 M788</t>
  </si>
  <si>
    <t>MD7</t>
  </si>
  <si>
    <t>Low Entry</t>
  </si>
  <si>
    <t>LE0</t>
  </si>
  <si>
    <t xml:space="preserve">FPT    N67   235 kW – 1100 Nm 	</t>
  </si>
  <si>
    <t>ZF EcoShift 6S1911BO</t>
  </si>
  <si>
    <t>HANDE HDZ386 (i:5.125)</t>
  </si>
  <si>
    <t>BRIDGESTONE C-AP 295x80/R22.5 154/149M</t>
  </si>
  <si>
    <t>MD9</t>
  </si>
  <si>
    <t>LF12</t>
  </si>
  <si>
    <t>LF2</t>
  </si>
  <si>
    <t>TM4 HV2700</t>
  </si>
  <si>
    <t>ZF EcoLife 6AP2020C</t>
  </si>
  <si>
    <t>HANDE HDZ450 (i:4.778)</t>
  </si>
  <si>
    <t>CONTIURBANHA3 EU M+S 275/70R22.5</t>
  </si>
  <si>
    <t>AVENUE</t>
  </si>
  <si>
    <t>AVN</t>
  </si>
  <si>
    <t>18M EV</t>
  </si>
  <si>
    <t>18E</t>
  </si>
  <si>
    <t>TM4 HV3400</t>
  </si>
  <si>
    <t>ZF EcoLife 6AP2020B</t>
  </si>
  <si>
    <t>HANDE HDZ450 (i:4.857)</t>
  </si>
  <si>
    <t>CONTI URBAN HA3 EU LRH 16PR</t>
  </si>
  <si>
    <t>201</t>
  </si>
  <si>
    <t>LD SB E</t>
  </si>
  <si>
    <t>SBE</t>
  </si>
  <si>
    <t>TM4 HV3500</t>
  </si>
  <si>
    <t>ZF EcoLite 6S710BO</t>
  </si>
  <si>
    <t>HANDE HDZ450 (i:5.125)</t>
  </si>
  <si>
    <t>Continental Conti Hybrid HS3</t>
  </si>
  <si>
    <t>HD RHD</t>
  </si>
  <si>
    <t>TM4 HV2100</t>
  </si>
  <si>
    <t xml:space="preserve">DANA 10.24R (i:3.73) </t>
  </si>
  <si>
    <t>295/80R22.5 CONTI COACH HA3 M+S</t>
  </si>
  <si>
    <t>TM4 HV2400</t>
  </si>
  <si>
    <t>ALLISON T325R</t>
  </si>
  <si>
    <t>Albion Rigid (İ:3.73)</t>
  </si>
  <si>
    <t>CONTI COACH HA3 M+S 315/80R22,5</t>
  </si>
  <si>
    <t>204</t>
  </si>
  <si>
    <t>TM4 HV2600</t>
  </si>
  <si>
    <t>Albion Rigid (İ:4.10)</t>
  </si>
  <si>
    <t>CONTI CITY HA3 M+S 295/80R22,5</t>
  </si>
  <si>
    <t>TM4 HV3000</t>
  </si>
  <si>
    <t>Albion Rigid (İ:4.56)</t>
  </si>
  <si>
    <t>265/70R19.5 X MULTI Z TL 140/138M VG MI</t>
  </si>
  <si>
    <t>300</t>
  </si>
  <si>
    <t>TM4 HV3200</t>
  </si>
  <si>
    <t>Albion Rigid (İ:5.13)</t>
  </si>
  <si>
    <t>265/70R19.5 X MULTI D TL 140/138M VG</t>
  </si>
  <si>
    <t>301</t>
  </si>
  <si>
    <t>EGE (i:3.73)</t>
  </si>
  <si>
    <t>MICHELIN X INCITY XZU</t>
  </si>
  <si>
    <t>302</t>
  </si>
  <si>
    <t>EGE (i:4.10)</t>
  </si>
  <si>
    <t>MICHELIN X COACH HL Z</t>
  </si>
  <si>
    <t>303</t>
  </si>
  <si>
    <t>MICHELIN X MULTIWAY3D XZE M+S</t>
  </si>
  <si>
    <t>304</t>
  </si>
  <si>
    <t>Bilgiler Alındı.</t>
  </si>
  <si>
    <t>295/80 R22.5 XZA2energy TL 152 M MI</t>
  </si>
  <si>
    <t>305</t>
  </si>
  <si>
    <t>XML Belgesi Eksik.</t>
  </si>
  <si>
    <t>MICHELIN X COACH Z</t>
  </si>
  <si>
    <t>306</t>
  </si>
  <si>
    <t>Herhangi bir belge alınmadı.</t>
  </si>
  <si>
    <t>MICHELIN LASTIK 295/80, X COACH XD M+S</t>
  </si>
  <si>
    <t>307</t>
  </si>
  <si>
    <t>MICHELIN WİNTER Z</t>
  </si>
  <si>
    <t>308</t>
  </si>
  <si>
    <t>MICHELIN (235/ 75 R17,5 132M)</t>
  </si>
  <si>
    <t>309</t>
  </si>
  <si>
    <t>MARATON,HL 295/80/R22.5 154/149M</t>
  </si>
  <si>
    <t>LASSA Maxiways 100 S 225/75R17.5</t>
  </si>
  <si>
    <t>100</t>
  </si>
  <si>
    <t>101</t>
  </si>
  <si>
    <t>102</t>
  </si>
  <si>
    <t>IT 3 AMT T</t>
  </si>
  <si>
    <t>103</t>
  </si>
  <si>
    <t>104</t>
  </si>
  <si>
    <t>105</t>
  </si>
  <si>
    <t>ZF A133 (i:5.75)</t>
  </si>
  <si>
    <t>200</t>
  </si>
  <si>
    <t>106</t>
  </si>
  <si>
    <t>107</t>
  </si>
  <si>
    <t>202</t>
  </si>
  <si>
    <t>108</t>
  </si>
  <si>
    <t>203</t>
  </si>
  <si>
    <t>205</t>
  </si>
  <si>
    <t>400</t>
  </si>
  <si>
    <t>401</t>
  </si>
  <si>
    <t>402</t>
  </si>
  <si>
    <t>403</t>
  </si>
  <si>
    <t>500</t>
  </si>
  <si>
    <t>501</t>
  </si>
  <si>
    <t>Vehicle Group</t>
  </si>
  <si>
    <t>Model</t>
  </si>
  <si>
    <t>SUB  MODEL</t>
  </si>
  <si>
    <t>Energy Source</t>
  </si>
  <si>
    <t>ENGINE</t>
  </si>
  <si>
    <t>GEARBOX</t>
  </si>
  <si>
    <t>FRONT AXLE</t>
  </si>
  <si>
    <t>REAR AXLE</t>
  </si>
  <si>
    <t>RETARDER</t>
  </si>
  <si>
    <t>TORQUE CONVERTER</t>
  </si>
  <si>
    <t>FRONT TIRE</t>
  </si>
  <si>
    <t>REAR TIRE</t>
  </si>
  <si>
    <t>VECTO CLASS</t>
  </si>
  <si>
    <t>SIMULATION TYPE</t>
  </si>
  <si>
    <t>REGULATION CLASS</t>
  </si>
  <si>
    <t>Model2</t>
  </si>
  <si>
    <t>SUB  MODEL3</t>
  </si>
  <si>
    <t>Energy Source4</t>
  </si>
  <si>
    <t>ENGINE5</t>
  </si>
  <si>
    <t>GEARBOX6</t>
  </si>
  <si>
    <t>FRONT AXLE7</t>
  </si>
  <si>
    <t>REAR AXLE8</t>
  </si>
  <si>
    <t>RETARDER9</t>
  </si>
  <si>
    <t>TORQUE CONVERTER10</t>
  </si>
  <si>
    <t>FRONT TIRE11</t>
  </si>
  <si>
    <t>REAR TIRE12</t>
  </si>
  <si>
    <t>VECTO CLASS13</t>
  </si>
  <si>
    <t>SIMULATION TYPE14</t>
  </si>
  <si>
    <t>REGULATION CLASS15</t>
  </si>
  <si>
    <t>HD</t>
  </si>
  <si>
    <t>Continental COACH HA3 ED  295/80/R22.5  M   154/149</t>
  </si>
  <si>
    <t>32C</t>
  </si>
  <si>
    <t>SAFIR</t>
  </si>
  <si>
    <t>MARATON</t>
  </si>
  <si>
    <t>LD</t>
  </si>
  <si>
    <t>Michelin  X Multi Z TL  265/70/R19.5  M   140/138</t>
  </si>
  <si>
    <t>Continental Urban HA3 EU LRH 16PR  275/70/R22.5  J  150/145</t>
  </si>
  <si>
    <t>ZF AV133 (6.19)</t>
  </si>
  <si>
    <t>ZF AV133 (İ:6.19)</t>
  </si>
  <si>
    <t>DANA 10.24R 5.83</t>
  </si>
  <si>
    <t xml:space="preserve">DANA 10.24R (i:5.83) </t>
  </si>
  <si>
    <t>HD2RHDD101103101101101000</t>
  </si>
  <si>
    <t>Component List</t>
  </si>
  <si>
    <t>Add. Axle Tire</t>
  </si>
  <si>
    <t>PRJIC0D500500600500500000</t>
  </si>
  <si>
    <t>PRESTİJ</t>
  </si>
  <si>
    <t>PRJ</t>
  </si>
  <si>
    <t>OTOM. MFTBC M038S6</t>
  </si>
  <si>
    <t>MFTBC 5.714</t>
  </si>
  <si>
    <t>MNL. MFTBC M038S5</t>
  </si>
  <si>
    <t>Midibus</t>
  </si>
  <si>
    <t>MID</t>
  </si>
  <si>
    <t>600</t>
  </si>
  <si>
    <t>E6 MFTBC 4P10-NAT4 110KW</t>
  </si>
  <si>
    <t>BRIDGESTONE295/80R22.5 EKO H-DRIVE</t>
  </si>
  <si>
    <t>BRIDGESTONE R247 II,295/80R22.5</t>
  </si>
  <si>
    <t>BRIDGESTONE UAP002 275/70 R22,5</t>
  </si>
  <si>
    <t>BRIDGESTONE M788 EVO,M+S,295/80R22.5</t>
  </si>
  <si>
    <t>LD2SB0D301107203400400000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</si>
</sst>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rgb="FF000000"/>
      <name val="Calibri"/>
      <family val="2"/>
      <charset val="162"/>
    </font>
    <font>
      <sz val="11"/>
      <color theme="1"/>
      <name val="Calibri"/>
      <family val="2"/>
      <charset val="162"/>
      <scheme val="minor"/>
    </font>
    <font>
      <b/>
      <sz val="12"/>
      <color rgb="FF222222"/>
      <name val="Arial"/>
      <family val="2"/>
      <charset val="162"/>
    </font>
    <font>
      <b/>
      <sz val="12"/>
      <color rgb="FF000000"/>
      <name val="Arial"/>
      <family val="2"/>
      <charset val="162"/>
    </font>
    <font>
      <b/>
      <sz val="18"/>
      <color rgb="FF222222"/>
      <name val="Arial"/>
      <family val="2"/>
      <charset val="162"/>
    </font>
    <font>
      <sz val="18"/>
      <color rgb="FF222222"/>
      <name val="Arial"/>
      <family val="2"/>
      <charset val="162"/>
    </font>
    <font>
      <b/>
      <sz val="22"/>
      <color rgb="FF222222"/>
      <name val="Arial"/>
      <family val="2"/>
      <charset val="162"/>
    </font>
    <font>
      <sz val="11"/>
      <color rgb="FF222222"/>
      <name val="Calibri"/>
      <family val="2"/>
      <charset val="162"/>
      <scheme val="minor"/>
    </font>
    <font>
      <sz val="8"/>
      <name val="Calibri"/>
      <family val="2"/>
      <charset val="162"/>
    </font>
    <font>
      <sz val="11"/>
      <color theme="1"/>
      <name val="Calibri"/>
      <family val="2"/>
      <charset val="162"/>
    </font>
    <font>
      <sz val="11"/>
      <color rgb="FF222222"/>
      <name val="Arial"/>
      <family val="2"/>
      <charset val="162"/>
    </font>
    <font>
      <b/>
      <sz val="11"/>
      <color theme="1"/>
      <name val="Calibri"/>
      <family val="2"/>
      <charset val="162"/>
    </font>
    <font>
      <b/>
      <sz val="11"/>
      <color rgb="FF000000"/>
      <name val="Calibri"/>
      <family val="2"/>
      <charset val="162"/>
    </font>
    <font>
      <sz val="26"/>
      <color rgb="FF000000"/>
      <name val="Calibri"/>
      <family val="2"/>
      <charset val="162"/>
    </font>
    <font>
      <sz val="26"/>
      <color theme="1"/>
      <name val="Calibri"/>
      <family val="2"/>
      <charset val="162"/>
      <scheme val="minor"/>
    </font>
    <font>
      <sz val="26"/>
      <color theme="1"/>
      <name val="Calibri"/>
      <family val="2"/>
      <charset val="162"/>
    </font>
    <font>
      <sz val="80"/>
      <color rgb="FF000000"/>
      <name val="Calibri"/>
      <family val="2"/>
      <charset val="162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5700"/>
      <name val="Calibri"/>
      <family val="2"/>
      <charset val="162"/>
      <scheme val="minor"/>
    </font>
    <font>
      <sz val="36"/>
      <color rgb="FF006100"/>
      <name val="Calibri"/>
      <family val="2"/>
      <charset val="162"/>
      <scheme val="minor"/>
    </font>
    <font>
      <sz val="36"/>
      <color rgb="FF9C0006"/>
      <name val="Calibri"/>
      <family val="2"/>
      <charset val="162"/>
      <scheme val="minor"/>
    </font>
    <font>
      <sz val="36"/>
      <color rgb="FF9C5700"/>
      <name val="Calibri"/>
      <family val="2"/>
      <charset val="162"/>
      <scheme val="minor"/>
    </font>
    <font>
      <sz val="12"/>
      <color theme="1"/>
      <name val="Bahnschrift Light"/>
      <family val="2"/>
      <charset val="162"/>
    </font>
    <font>
      <sz val="11"/>
      <name val="Calibri"/>
      <family val="2"/>
      <charset val="162"/>
      <scheme val="minor"/>
    </font>
    <font>
      <sz val="12"/>
      <name val="Bahnschrift Light"/>
      <family val="2"/>
      <charset val="162"/>
    </font>
    <font>
      <b/>
      <sz val="12"/>
      <name val="Bahnschrift Light"/>
      <family val="2"/>
      <charset val="16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00000"/>
        <bgColor rgb="FFFFFF00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17" fillId="14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</cellStyleXfs>
  <cellXfs count="24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12" fillId="4" borderId="5" xfId="0" applyFont="1" applyFill="1" applyBorder="1" applyAlignment="1">
      <alignment horizontal="center" vertical="center" wrapText="1"/>
    </xf>
    <xf numFmtId="0" fontId="0" fillId="7" borderId="0" xfId="0" applyFill="1"/>
    <xf numFmtId="0" fontId="0" fillId="7" borderId="6" xfId="0" applyFill="1" applyBorder="1"/>
    <xf numFmtId="0" fontId="12" fillId="3" borderId="5" xfId="0" applyFont="1" applyFill="1" applyBorder="1" applyAlignment="1">
      <alignment horizontal="center" vertical="center" wrapText="1"/>
    </xf>
    <xf numFmtId="0" fontId="12" fillId="7" borderId="0" xfId="0" applyFont="1" applyFill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 wrapText="1"/>
    </xf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11" fillId="6" borderId="12" xfId="0" applyFont="1" applyFill="1" applyBorder="1" applyAlignment="1">
      <alignment horizontal="center" vertical="center" wrapText="1"/>
    </xf>
    <xf numFmtId="0" fontId="12" fillId="4" borderId="13" xfId="0" applyFont="1" applyFill="1" applyBorder="1" applyAlignment="1">
      <alignment horizontal="center" vertical="center" wrapText="1"/>
    </xf>
    <xf numFmtId="0" fontId="12" fillId="4" borderId="14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8" borderId="1" xfId="0" applyNumberForma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2" fillId="8" borderId="16" xfId="0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8" borderId="17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0" fillId="4" borderId="5" xfId="0" applyFill="1" applyBorder="1"/>
    <xf numFmtId="0" fontId="0" fillId="4" borderId="1" xfId="0" applyFill="1" applyBorder="1"/>
    <xf numFmtId="0" fontId="0" fillId="4" borderId="12" xfId="0" applyFill="1" applyBorder="1"/>
    <xf numFmtId="0" fontId="12" fillId="5" borderId="15" xfId="0" applyFont="1" applyFill="1" applyBorder="1" applyAlignment="1">
      <alignment horizontal="center" vertical="center" wrapText="1"/>
    </xf>
    <xf numFmtId="0" fontId="0" fillId="8" borderId="20" xfId="0" applyFill="1" applyBorder="1" applyAlignment="1">
      <alignment horizontal="center" vertical="center"/>
    </xf>
    <xf numFmtId="0" fontId="12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0" fillId="10" borderId="1" xfId="0" applyFill="1" applyBorder="1"/>
    <xf numFmtId="0" fontId="0" fillId="11" borderId="1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8" borderId="0" xfId="0" applyFill="1"/>
    <xf numFmtId="0" fontId="13" fillId="0" borderId="0" xfId="0" applyFont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8" borderId="29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 wrapText="1"/>
    </xf>
    <xf numFmtId="0" fontId="13" fillId="9" borderId="22" xfId="0" applyFont="1" applyFill="1" applyBorder="1" applyAlignment="1">
      <alignment horizontal="left" vertical="center"/>
    </xf>
    <xf numFmtId="0" fontId="13" fillId="9" borderId="22" xfId="0" applyFont="1" applyFill="1" applyBorder="1" applyAlignment="1">
      <alignment horizontal="left" vertical="center" wrapText="1"/>
    </xf>
    <xf numFmtId="0" fontId="13" fillId="9" borderId="1" xfId="0" applyFont="1" applyFill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wrapText="1"/>
    </xf>
    <xf numFmtId="0" fontId="13" fillId="9" borderId="27" xfId="0" applyFont="1" applyFill="1" applyBorder="1" applyAlignment="1">
      <alignment horizontal="left" vertical="center"/>
    </xf>
    <xf numFmtId="0" fontId="13" fillId="0" borderId="20" xfId="0" applyFont="1" applyBorder="1" applyAlignment="1">
      <alignment horizontal="left" vertical="center"/>
    </xf>
    <xf numFmtId="0" fontId="13" fillId="0" borderId="20" xfId="0" applyFont="1" applyBorder="1" applyAlignment="1">
      <alignment horizontal="left" vertical="center" wrapText="1"/>
    </xf>
    <xf numFmtId="0" fontId="13" fillId="9" borderId="4" xfId="0" applyFont="1" applyFill="1" applyBorder="1" applyAlignment="1">
      <alignment horizontal="left" vertical="center"/>
    </xf>
    <xf numFmtId="0" fontId="13" fillId="9" borderId="17" xfId="0" applyFont="1" applyFill="1" applyBorder="1" applyAlignment="1">
      <alignment horizontal="left" vertical="center"/>
    </xf>
    <xf numFmtId="0" fontId="13" fillId="9" borderId="17" xfId="0" applyFont="1" applyFill="1" applyBorder="1" applyAlignment="1">
      <alignment horizontal="left" vertical="center" wrapText="1"/>
    </xf>
    <xf numFmtId="0" fontId="13" fillId="0" borderId="3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9" borderId="14" xfId="0" applyFont="1" applyFill="1" applyBorder="1" applyAlignment="1">
      <alignment horizontal="left" vertical="center"/>
    </xf>
    <xf numFmtId="0" fontId="13" fillId="9" borderId="14" xfId="0" applyFont="1" applyFill="1" applyBorder="1" applyAlignment="1">
      <alignment horizontal="left" vertical="center" wrapText="1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4" fillId="8" borderId="22" xfId="1" applyFont="1" applyFill="1" applyBorder="1" applyAlignment="1">
      <alignment horizontal="center" vertical="center"/>
    </xf>
    <xf numFmtId="0" fontId="14" fillId="8" borderId="22" xfId="1" applyFont="1" applyFill="1" applyBorder="1" applyAlignment="1">
      <alignment horizontal="left" vertical="center"/>
    </xf>
    <xf numFmtId="0" fontId="13" fillId="9" borderId="20" xfId="0" applyFont="1" applyFill="1" applyBorder="1" applyAlignment="1">
      <alignment horizontal="left" vertical="center"/>
    </xf>
    <xf numFmtId="0" fontId="13" fillId="9" borderId="25" xfId="0" applyFont="1" applyFill="1" applyBorder="1" applyAlignment="1">
      <alignment horizontal="left" vertical="center"/>
    </xf>
    <xf numFmtId="0" fontId="13" fillId="9" borderId="1" xfId="0" applyFont="1" applyFill="1" applyBorder="1" applyAlignment="1">
      <alignment horizontal="left" vertical="center" wrapText="1"/>
    </xf>
    <xf numFmtId="0" fontId="13" fillId="13" borderId="17" xfId="0" applyFont="1" applyFill="1" applyBorder="1" applyAlignment="1">
      <alignment horizontal="left" vertical="center"/>
    </xf>
    <xf numFmtId="0" fontId="13" fillId="13" borderId="22" xfId="0" applyFont="1" applyFill="1" applyBorder="1" applyAlignment="1">
      <alignment horizontal="left" vertical="center"/>
    </xf>
    <xf numFmtId="0" fontId="13" fillId="13" borderId="14" xfId="0" applyFont="1" applyFill="1" applyBorder="1" applyAlignment="1">
      <alignment horizontal="left" vertical="center"/>
    </xf>
    <xf numFmtId="0" fontId="13" fillId="9" borderId="38" xfId="0" applyFont="1" applyFill="1" applyBorder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38" xfId="0" applyFont="1" applyFill="1" applyBorder="1" applyAlignment="1">
      <alignment horizontal="left" vertical="center" wrapText="1"/>
    </xf>
    <xf numFmtId="0" fontId="13" fillId="13" borderId="38" xfId="0" applyFont="1" applyFill="1" applyBorder="1" applyAlignment="1">
      <alignment horizontal="left" vertical="center"/>
    </xf>
    <xf numFmtId="0" fontId="13" fillId="13" borderId="1" xfId="0" applyFont="1" applyFill="1" applyBorder="1" applyAlignment="1">
      <alignment horizontal="left" vertical="center"/>
    </xf>
    <xf numFmtId="0" fontId="13" fillId="9" borderId="20" xfId="0" applyFont="1" applyFill="1" applyBorder="1" applyAlignment="1">
      <alignment horizontal="left" vertical="center" wrapText="1"/>
    </xf>
    <xf numFmtId="0" fontId="13" fillId="9" borderId="26" xfId="0" applyFont="1" applyFill="1" applyBorder="1" applyAlignment="1">
      <alignment horizontal="left" vertical="center"/>
    </xf>
    <xf numFmtId="0" fontId="13" fillId="9" borderId="39" xfId="0" applyFont="1" applyFill="1" applyBorder="1" applyAlignment="1">
      <alignment horizontal="left" vertical="center"/>
    </xf>
    <xf numFmtId="0" fontId="13" fillId="4" borderId="1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left" vertical="center" wrapText="1"/>
    </xf>
    <xf numFmtId="0" fontId="15" fillId="9" borderId="1" xfId="0" applyFont="1" applyFill="1" applyBorder="1" applyAlignment="1">
      <alignment horizontal="left" vertical="center" wrapText="1"/>
    </xf>
    <xf numFmtId="0" fontId="13" fillId="13" borderId="29" xfId="0" applyFont="1" applyFill="1" applyBorder="1" applyAlignment="1">
      <alignment horizontal="left" vertical="center"/>
    </xf>
    <xf numFmtId="0" fontId="13" fillId="13" borderId="20" xfId="0" applyFont="1" applyFill="1" applyBorder="1" applyAlignment="1">
      <alignment horizontal="left" vertical="center"/>
    </xf>
    <xf numFmtId="0" fontId="13" fillId="0" borderId="25" xfId="0" applyFont="1" applyBorder="1" applyAlignment="1">
      <alignment horizontal="center" vertical="center"/>
    </xf>
    <xf numFmtId="0" fontId="13" fillId="4" borderId="20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left" vertical="center"/>
    </xf>
    <xf numFmtId="0" fontId="13" fillId="4" borderId="11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13" fillId="9" borderId="4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center" vertical="center"/>
    </xf>
    <xf numFmtId="0" fontId="13" fillId="4" borderId="40" xfId="0" applyFont="1" applyFill="1" applyBorder="1" applyAlignment="1">
      <alignment horizontal="center" vertical="center"/>
    </xf>
    <xf numFmtId="0" fontId="13" fillId="13" borderId="37" xfId="0" applyFont="1" applyFill="1" applyBorder="1" applyAlignment="1">
      <alignment horizontal="left" vertical="center"/>
    </xf>
    <xf numFmtId="0" fontId="13" fillId="9" borderId="41" xfId="0" applyFont="1" applyFill="1" applyBorder="1" applyAlignment="1">
      <alignment horizontal="left" vertical="center"/>
    </xf>
    <xf numFmtId="0" fontId="13" fillId="13" borderId="32" xfId="0" applyFont="1" applyFill="1" applyBorder="1" applyAlignment="1">
      <alignment horizontal="left" vertical="center"/>
    </xf>
    <xf numFmtId="0" fontId="13" fillId="13" borderId="39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13" fillId="13" borderId="17" xfId="0" applyFont="1" applyFill="1" applyBorder="1" applyAlignment="1">
      <alignment horizontal="left" vertical="center" wrapText="1"/>
    </xf>
    <xf numFmtId="0" fontId="13" fillId="13" borderId="22" xfId="0" applyFont="1" applyFill="1" applyBorder="1" applyAlignment="1">
      <alignment horizontal="left" vertical="center" wrapText="1"/>
    </xf>
    <xf numFmtId="0" fontId="13" fillId="13" borderId="1" xfId="0" applyFont="1" applyFill="1" applyBorder="1" applyAlignment="1">
      <alignment horizontal="left" vertical="center" wrapText="1"/>
    </xf>
    <xf numFmtId="0" fontId="13" fillId="13" borderId="14" xfId="0" applyFont="1" applyFill="1" applyBorder="1" applyAlignment="1">
      <alignment horizontal="left" vertical="center" wrapText="1"/>
    </xf>
    <xf numFmtId="0" fontId="13" fillId="13" borderId="26" xfId="0" applyFont="1" applyFill="1" applyBorder="1" applyAlignment="1">
      <alignment horizontal="left" vertical="center" wrapText="1"/>
    </xf>
    <xf numFmtId="0" fontId="13" fillId="13" borderId="38" xfId="0" applyFont="1" applyFill="1" applyBorder="1" applyAlignment="1">
      <alignment horizontal="left" vertical="center" wrapText="1"/>
    </xf>
    <xf numFmtId="0" fontId="13" fillId="13" borderId="4" xfId="0" applyFont="1" applyFill="1" applyBorder="1" applyAlignment="1">
      <alignment horizontal="left" vertical="center" wrapText="1"/>
    </xf>
    <xf numFmtId="0" fontId="13" fillId="13" borderId="20" xfId="0" applyFont="1" applyFill="1" applyBorder="1" applyAlignment="1">
      <alignment horizontal="left" vertical="center" wrapText="1"/>
    </xf>
    <xf numFmtId="0" fontId="13" fillId="13" borderId="28" xfId="0" applyFont="1" applyFill="1" applyBorder="1" applyAlignment="1">
      <alignment horizontal="left" vertical="center"/>
    </xf>
    <xf numFmtId="0" fontId="13" fillId="4" borderId="23" xfId="0" applyFont="1" applyFill="1" applyBorder="1" applyAlignment="1">
      <alignment horizontal="center" vertical="center"/>
    </xf>
    <xf numFmtId="0" fontId="17" fillId="14" borderId="4" xfId="2" applyBorder="1" applyAlignment="1">
      <alignment horizontal="center" vertical="center"/>
    </xf>
    <xf numFmtId="0" fontId="17" fillId="14" borderId="1" xfId="2" applyBorder="1" applyAlignment="1">
      <alignment horizontal="center" vertical="center"/>
    </xf>
    <xf numFmtId="49" fontId="17" fillId="14" borderId="1" xfId="2" applyNumberFormat="1" applyBorder="1" applyAlignment="1">
      <alignment horizontal="center" vertical="center"/>
    </xf>
    <xf numFmtId="0" fontId="18" fillId="15" borderId="4" xfId="3" applyBorder="1" applyAlignment="1">
      <alignment horizontal="center" vertical="center"/>
    </xf>
    <xf numFmtId="0" fontId="18" fillId="15" borderId="1" xfId="3" applyBorder="1" applyAlignment="1">
      <alignment horizontal="center" vertical="center"/>
    </xf>
    <xf numFmtId="0" fontId="18" fillId="15" borderId="0" xfId="3" applyAlignment="1">
      <alignment horizontal="center" vertical="center"/>
    </xf>
    <xf numFmtId="49" fontId="18" fillId="15" borderId="1" xfId="3" applyNumberFormat="1" applyBorder="1" applyAlignment="1">
      <alignment horizontal="center" vertical="center"/>
    </xf>
    <xf numFmtId="49" fontId="17" fillId="14" borderId="4" xfId="2" applyNumberFormat="1" applyBorder="1" applyAlignment="1">
      <alignment horizontal="center" vertical="center"/>
    </xf>
    <xf numFmtId="0" fontId="18" fillId="15" borderId="11" xfId="3" applyBorder="1" applyAlignment="1">
      <alignment horizontal="center" vertical="center"/>
    </xf>
    <xf numFmtId="0" fontId="18" fillId="15" borderId="12" xfId="3" applyBorder="1" applyAlignment="1">
      <alignment horizontal="center" vertical="center"/>
    </xf>
    <xf numFmtId="0" fontId="0" fillId="0" borderId="1" xfId="0" applyBorder="1"/>
    <xf numFmtId="0" fontId="0" fillId="8" borderId="22" xfId="0" applyFill="1" applyBorder="1" applyAlignment="1">
      <alignment horizontal="center" vertical="center" wrapText="1"/>
    </xf>
    <xf numFmtId="49" fontId="0" fillId="0" borderId="22" xfId="0" applyNumberForma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0" fontId="0" fillId="8" borderId="20" xfId="0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4" fillId="8" borderId="26" xfId="1" applyFont="1" applyFill="1" applyBorder="1" applyAlignment="1">
      <alignment horizontal="left" vertical="center"/>
    </xf>
    <xf numFmtId="0" fontId="14" fillId="8" borderId="26" xfId="1" applyFont="1" applyFill="1" applyBorder="1" applyAlignment="1">
      <alignment horizontal="left" vertical="center" wrapText="1"/>
    </xf>
    <xf numFmtId="0" fontId="14" fillId="8" borderId="51" xfId="1" applyFont="1" applyFill="1" applyBorder="1" applyAlignment="1">
      <alignment horizontal="left" vertical="center"/>
    </xf>
    <xf numFmtId="0" fontId="13" fillId="0" borderId="22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4" fillId="13" borderId="26" xfId="1" applyFont="1" applyFill="1" applyBorder="1" applyAlignment="1">
      <alignment horizontal="left" vertical="center"/>
    </xf>
    <xf numFmtId="0" fontId="14" fillId="12" borderId="51" xfId="1" applyFont="1" applyFill="1" applyBorder="1" applyAlignment="1">
      <alignment horizontal="center" vertical="center"/>
    </xf>
    <xf numFmtId="0" fontId="13" fillId="13" borderId="27" xfId="0" applyFont="1" applyFill="1" applyBorder="1" applyAlignment="1">
      <alignment horizontal="left" vertical="center"/>
    </xf>
    <xf numFmtId="0" fontId="13" fillId="9" borderId="53" xfId="0" applyFont="1" applyFill="1" applyBorder="1" applyAlignment="1">
      <alignment horizontal="left" vertical="center"/>
    </xf>
    <xf numFmtId="0" fontId="13" fillId="9" borderId="52" xfId="0" applyFont="1" applyFill="1" applyBorder="1" applyAlignment="1">
      <alignment horizontal="left" vertical="center"/>
    </xf>
    <xf numFmtId="0" fontId="13" fillId="9" borderId="54" xfId="0" applyFont="1" applyFill="1" applyBorder="1" applyAlignment="1">
      <alignment horizontal="left" vertical="center"/>
    </xf>
    <xf numFmtId="0" fontId="13" fillId="9" borderId="55" xfId="0" applyFont="1" applyFill="1" applyBorder="1" applyAlignment="1">
      <alignment horizontal="left" vertical="center"/>
    </xf>
    <xf numFmtId="0" fontId="13" fillId="0" borderId="52" xfId="0" applyFont="1" applyBorder="1" applyAlignment="1">
      <alignment horizontal="left" vertical="center"/>
    </xf>
    <xf numFmtId="0" fontId="13" fillId="0" borderId="25" xfId="0" applyFont="1" applyBorder="1" applyAlignment="1">
      <alignment horizontal="left" vertical="center"/>
    </xf>
    <xf numFmtId="0" fontId="14" fillId="8" borderId="24" xfId="1" applyFont="1" applyFill="1" applyBorder="1" applyAlignment="1">
      <alignment horizontal="left" vertical="center"/>
    </xf>
    <xf numFmtId="0" fontId="13" fillId="0" borderId="30" xfId="0" applyFont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13" fillId="0" borderId="22" xfId="0" applyFont="1" applyBorder="1" applyAlignment="1">
      <alignment horizontal="left" vertical="center" wrapText="1"/>
    </xf>
    <xf numFmtId="0" fontId="13" fillId="4" borderId="2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23" fillId="9" borderId="1" xfId="0" applyFont="1" applyFill="1" applyBorder="1" applyAlignment="1">
      <alignment horizontal="left" vertical="center"/>
    </xf>
    <xf numFmtId="0" fontId="24" fillId="9" borderId="1" xfId="3" applyFont="1" applyFill="1" applyBorder="1" applyAlignment="1">
      <alignment horizontal="left" vertical="center"/>
    </xf>
    <xf numFmtId="0" fontId="25" fillId="19" borderId="1" xfId="0" applyFont="1" applyFill="1" applyBorder="1" applyAlignment="1">
      <alignment horizontal="left" vertical="center"/>
    </xf>
    <xf numFmtId="0" fontId="25" fillId="20" borderId="1" xfId="0" applyFont="1" applyFill="1" applyBorder="1" applyAlignment="1">
      <alignment horizontal="left" vertical="center"/>
    </xf>
    <xf numFmtId="0" fontId="18" fillId="15" borderId="1" xfId="3" applyBorder="1" applyAlignment="1">
      <alignment horizontal="left" vertical="center"/>
    </xf>
    <xf numFmtId="0" fontId="26" fillId="21" borderId="1" xfId="0" applyFont="1" applyFill="1" applyBorder="1" applyAlignment="1">
      <alignment horizontal="left" vertical="center"/>
    </xf>
    <xf numFmtId="0" fontId="25" fillId="0" borderId="1" xfId="0" applyFont="1" applyBorder="1" applyAlignment="1">
      <alignment horizontal="left" vertical="center"/>
    </xf>
    <xf numFmtId="0" fontId="17" fillId="22" borderId="1" xfId="2" applyFill="1" applyBorder="1" applyAlignment="1">
      <alignment horizontal="center" vertical="center"/>
    </xf>
    <xf numFmtId="49" fontId="18" fillId="22" borderId="1" xfId="3" applyNumberForma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 wrapText="1"/>
    </xf>
    <xf numFmtId="0" fontId="11" fillId="6" borderId="7" xfId="0" applyFont="1" applyFill="1" applyBorder="1" applyAlignment="1">
      <alignment horizontal="center" vertical="center" wrapText="1"/>
    </xf>
    <xf numFmtId="0" fontId="17" fillId="14" borderId="26" xfId="2" applyBorder="1" applyAlignment="1">
      <alignment horizontal="center" vertical="center"/>
    </xf>
    <xf numFmtId="0" fontId="12" fillId="23" borderId="0" xfId="0" applyFont="1" applyFill="1" applyAlignment="1">
      <alignment horizontal="center" vertical="center" wrapText="1"/>
    </xf>
    <xf numFmtId="0" fontId="11" fillId="23" borderId="0" xfId="0" applyFont="1" applyFill="1" applyAlignment="1">
      <alignment vertical="center" wrapText="1"/>
    </xf>
    <xf numFmtId="0" fontId="23" fillId="8" borderId="1" xfId="0" applyFont="1" applyFill="1" applyBorder="1" applyAlignment="1">
      <alignment horizontal="left" vertical="center"/>
    </xf>
    <xf numFmtId="0" fontId="24" fillId="8" borderId="1" xfId="3" applyFont="1" applyFill="1" applyBorder="1" applyAlignment="1">
      <alignment horizontal="left" vertical="center"/>
    </xf>
    <xf numFmtId="0" fontId="25" fillId="8" borderId="1" xfId="0" applyFont="1" applyFill="1" applyBorder="1" applyAlignment="1">
      <alignment horizontal="left" vertical="center"/>
    </xf>
    <xf numFmtId="0" fontId="18" fillId="8" borderId="1" xfId="3" applyFill="1" applyBorder="1" applyAlignment="1">
      <alignment horizontal="left" vertical="center"/>
    </xf>
    <xf numFmtId="0" fontId="26" fillId="8" borderId="1" xfId="0" applyFont="1" applyFill="1" applyBorder="1" applyAlignment="1">
      <alignment horizontal="left" vertical="center"/>
    </xf>
    <xf numFmtId="0" fontId="12" fillId="23" borderId="17" xfId="0" applyFont="1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14" xfId="0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9" borderId="1" xfId="0" applyFill="1" applyBorder="1" applyAlignment="1">
      <alignment vertical="center" wrapText="1"/>
    </xf>
    <xf numFmtId="0" fontId="24" fillId="23" borderId="4" xfId="3" applyNumberFormat="1" applyFont="1" applyFill="1" applyBorder="1" applyAlignment="1">
      <alignment horizontal="center" vertical="center"/>
    </xf>
    <xf numFmtId="0" fontId="24" fillId="23" borderId="1" xfId="3" applyNumberFormat="1" applyFont="1" applyFill="1" applyBorder="1" applyAlignment="1">
      <alignment horizontal="center" vertical="center"/>
    </xf>
    <xf numFmtId="49" fontId="24" fillId="23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1" borderId="0" xfId="0" applyFill="1" applyAlignment="1">
      <alignment horizontal="center" vertical="center"/>
    </xf>
    <xf numFmtId="0" fontId="12" fillId="3" borderId="35" xfId="0" applyFont="1" applyFill="1" applyBorder="1" applyAlignment="1">
      <alignment horizontal="center" vertical="center" wrapText="1"/>
    </xf>
    <xf numFmtId="0" fontId="12" fillId="9" borderId="35" xfId="0" applyFont="1" applyFill="1" applyBorder="1" applyAlignment="1">
      <alignment horizontal="center" vertical="center" wrapText="1"/>
    </xf>
    <xf numFmtId="0" fontId="0" fillId="23" borderId="51" xfId="0" applyFill="1" applyBorder="1"/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8" borderId="0" xfId="0" applyFill="1" applyAlignment="1">
      <alignment horizontal="center"/>
    </xf>
    <xf numFmtId="0" fontId="12" fillId="4" borderId="21" xfId="0" applyFont="1" applyFill="1" applyBorder="1" applyAlignment="1">
      <alignment horizontal="center" vertical="center" wrapText="1"/>
    </xf>
    <xf numFmtId="0" fontId="0" fillId="7" borderId="0" xfId="0" applyFill="1" applyBorder="1"/>
    <xf numFmtId="0" fontId="0" fillId="23" borderId="56" xfId="0" applyFill="1" applyBorder="1"/>
    <xf numFmtId="0" fontId="0" fillId="23" borderId="9" xfId="0" applyFill="1" applyBorder="1" applyAlignment="1">
      <alignment vertical="center" wrapText="1"/>
    </xf>
    <xf numFmtId="0" fontId="20" fillId="14" borderId="31" xfId="2" applyFont="1" applyBorder="1" applyAlignment="1">
      <alignment horizontal="center" vertical="center"/>
    </xf>
    <xf numFmtId="0" fontId="20" fillId="14" borderId="47" xfId="2" applyFont="1" applyBorder="1" applyAlignment="1">
      <alignment horizontal="center" vertical="center"/>
    </xf>
    <xf numFmtId="0" fontId="20" fillId="14" borderId="48" xfId="2" applyFont="1" applyBorder="1" applyAlignment="1">
      <alignment horizontal="center" vertical="center"/>
    </xf>
    <xf numFmtId="0" fontId="22" fillId="16" borderId="35" xfId="4" applyFont="1" applyBorder="1" applyAlignment="1">
      <alignment horizontal="center" vertical="center" wrapText="1"/>
    </xf>
    <xf numFmtId="0" fontId="22" fillId="16" borderId="44" xfId="4" applyFont="1" applyBorder="1" applyAlignment="1">
      <alignment horizontal="center" vertical="center" wrapText="1"/>
    </xf>
    <xf numFmtId="0" fontId="22" fillId="16" borderId="45" xfId="4" applyFont="1" applyBorder="1" applyAlignment="1">
      <alignment horizontal="center" vertical="center" wrapText="1"/>
    </xf>
    <xf numFmtId="0" fontId="21" fillId="15" borderId="36" xfId="3" applyFont="1" applyBorder="1" applyAlignment="1">
      <alignment horizontal="center" vertical="center" wrapText="1"/>
    </xf>
    <xf numFmtId="0" fontId="21" fillId="15" borderId="49" xfId="3" applyFont="1" applyBorder="1" applyAlignment="1">
      <alignment horizontal="center" vertical="center" wrapText="1"/>
    </xf>
    <xf numFmtId="0" fontId="21" fillId="15" borderId="50" xfId="3" applyFont="1" applyBorder="1" applyAlignment="1">
      <alignment horizontal="center" vertical="center" wrapText="1"/>
    </xf>
    <xf numFmtId="0" fontId="13" fillId="8" borderId="29" xfId="0" applyFont="1" applyFill="1" applyBorder="1" applyAlignment="1">
      <alignment horizontal="center" vertical="center"/>
    </xf>
    <xf numFmtId="0" fontId="16" fillId="8" borderId="3" xfId="0" applyFont="1" applyFill="1" applyBorder="1" applyAlignment="1">
      <alignment horizontal="center" vertical="center" textRotation="90"/>
    </xf>
    <xf numFmtId="0" fontId="16" fillId="8" borderId="5" xfId="0" applyFont="1" applyFill="1" applyBorder="1" applyAlignment="1">
      <alignment horizontal="center" vertical="center" textRotation="90"/>
    </xf>
    <xf numFmtId="0" fontId="16" fillId="8" borderId="21" xfId="0" applyFont="1" applyFill="1" applyBorder="1" applyAlignment="1">
      <alignment horizontal="center" vertical="center" textRotation="90"/>
    </xf>
    <xf numFmtId="0" fontId="16" fillId="8" borderId="13" xfId="0" applyFont="1" applyFill="1" applyBorder="1" applyAlignment="1">
      <alignment horizontal="center" vertical="center" textRotation="90"/>
    </xf>
    <xf numFmtId="0" fontId="13" fillId="8" borderId="26" xfId="0" applyFont="1" applyFill="1" applyBorder="1" applyAlignment="1">
      <alignment horizontal="center" vertical="center"/>
    </xf>
    <xf numFmtId="0" fontId="13" fillId="8" borderId="20" xfId="0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 textRotation="90"/>
    </xf>
    <xf numFmtId="0" fontId="16" fillId="8" borderId="42" xfId="0" applyFont="1" applyFill="1" applyBorder="1" applyAlignment="1">
      <alignment horizontal="center" vertical="center" textRotation="90"/>
    </xf>
    <xf numFmtId="0" fontId="16" fillId="8" borderId="43" xfId="0" applyFont="1" applyFill="1" applyBorder="1" applyAlignment="1">
      <alignment horizontal="center" vertical="center" textRotation="90"/>
    </xf>
    <xf numFmtId="0" fontId="16" fillId="8" borderId="31" xfId="0" applyFont="1" applyFill="1" applyBorder="1" applyAlignment="1">
      <alignment horizontal="center" vertical="center" textRotation="90"/>
    </xf>
    <xf numFmtId="0" fontId="16" fillId="8" borderId="35" xfId="0" applyFont="1" applyFill="1" applyBorder="1" applyAlignment="1">
      <alignment horizontal="center" vertical="center" textRotation="90"/>
    </xf>
    <xf numFmtId="0" fontId="16" fillId="8" borderId="36" xfId="0" applyFont="1" applyFill="1" applyBorder="1" applyAlignment="1">
      <alignment horizontal="center" vertical="center" textRotation="90"/>
    </xf>
    <xf numFmtId="0" fontId="16" fillId="8" borderId="31" xfId="0" applyFont="1" applyFill="1" applyBorder="1" applyAlignment="1">
      <alignment horizontal="center" vertical="center" textRotation="90" wrapText="1"/>
    </xf>
    <xf numFmtId="0" fontId="16" fillId="8" borderId="35" xfId="0" applyFont="1" applyFill="1" applyBorder="1" applyAlignment="1">
      <alignment horizontal="center" vertical="center" textRotation="90" wrapText="1"/>
    </xf>
    <xf numFmtId="0" fontId="16" fillId="8" borderId="36" xfId="0" applyFont="1" applyFill="1" applyBorder="1" applyAlignment="1">
      <alignment horizontal="center" vertical="center" textRotation="90" wrapText="1"/>
    </xf>
  </cellXfs>
  <cellStyles count="5">
    <cellStyle name="İyi" xfId="2" builtinId="26"/>
    <cellStyle name="Kötü" xfId="3" builtinId="27"/>
    <cellStyle name="Normal" xfId="0" builtinId="0"/>
    <cellStyle name="Normal 2" xfId="1"/>
    <cellStyle name="Nötr" xfId="4" builtinId="28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fill>
        <patternFill patternType="solid">
          <fgColor indexed="64"/>
          <bgColor rgb="FFFF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fill>
        <patternFill patternType="solid">
          <fgColor indexed="64"/>
          <bgColor rgb="FFFF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fill>
        <patternFill patternType="solid">
          <fgColor indexed="64"/>
          <bgColor rgb="FFFF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fill>
        <patternFill patternType="solid">
          <fgColor indexed="64"/>
          <bgColor rgb="FFFFC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24" Type="http://schemas.openxmlformats.org/officeDocument/2006/relationships/customXml" Target="../customXml/item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1000760</xdr:colOff>
      <xdr:row>11</xdr:row>
      <xdr:rowOff>60188</xdr:rowOff>
    </xdr:from>
    <xdr:to>
      <xdr:col>7</xdr:col>
      <xdr:colOff>386217</xdr:colOff>
      <xdr:row>12</xdr:row>
      <xdr:rowOff>179251</xdr:rowOff>
    </xdr:to>
    <xdr:sp macro="" textlink="">
      <xdr:nvSpPr>
        <xdr:cNvPr id="5" name="Sol Ayraç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16200000">
          <a:off x="13560017" y="5214891"/>
          <a:ext cx="301943" cy="812937"/>
        </a:xfrm>
        <a:prstGeom prst="leftBrace">
          <a:avLst/>
        </a:prstGeom>
        <a:ln/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651947</xdr:colOff>
      <xdr:row>11</xdr:row>
      <xdr:rowOff>65864</xdr:rowOff>
    </xdr:from>
    <xdr:to>
      <xdr:col>5</xdr:col>
      <xdr:colOff>1366522</xdr:colOff>
      <xdr:row>12</xdr:row>
      <xdr:rowOff>177307</xdr:rowOff>
    </xdr:to>
    <xdr:sp macro="" textlink="">
      <xdr:nvSpPr>
        <xdr:cNvPr id="7" name="Sol Ayraç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16200000">
          <a:off x="10214353" y="5265938"/>
          <a:ext cx="294323" cy="714575"/>
        </a:xfrm>
        <a:prstGeom prst="leftBrace">
          <a:avLst/>
        </a:prstGeom>
        <a:ln/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2301781</xdr:colOff>
      <xdr:row>11</xdr:row>
      <xdr:rowOff>65235</xdr:rowOff>
    </xdr:from>
    <xdr:to>
      <xdr:col>6</xdr:col>
      <xdr:colOff>121920</xdr:colOff>
      <xdr:row>13</xdr:row>
      <xdr:rowOff>1418</xdr:rowOff>
    </xdr:to>
    <xdr:sp macro="" textlink="">
      <xdr:nvSpPr>
        <xdr:cNvPr id="9" name="Sol Ayraç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6200000">
          <a:off x="11888899" y="5240597"/>
          <a:ext cx="301943" cy="771619"/>
        </a:xfrm>
        <a:prstGeom prst="leftBrace">
          <a:avLst/>
        </a:prstGeom>
        <a:ln/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6</xdr:col>
      <xdr:colOff>194393</xdr:colOff>
      <xdr:row>11</xdr:row>
      <xdr:rowOff>65574</xdr:rowOff>
    </xdr:from>
    <xdr:to>
      <xdr:col>6</xdr:col>
      <xdr:colOff>899162</xdr:colOff>
      <xdr:row>12</xdr:row>
      <xdr:rowOff>177017</xdr:rowOff>
    </xdr:to>
    <xdr:sp macro="" textlink="">
      <xdr:nvSpPr>
        <xdr:cNvPr id="10" name="Sol Ayraç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>
          <a:off x="12703376" y="5270551"/>
          <a:ext cx="294323" cy="704769"/>
        </a:xfrm>
        <a:prstGeom prst="leftBrace">
          <a:avLst/>
        </a:prstGeom>
        <a:ln/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5</xdr:col>
      <xdr:colOff>724991</xdr:colOff>
      <xdr:row>12</xdr:row>
      <xdr:rowOff>182789</xdr:rowOff>
    </xdr:from>
    <xdr:ext cx="907621" cy="483659"/>
    <xdr:sp macro="" textlink="">
      <xdr:nvSpPr>
        <xdr:cNvPr id="18" name="Metin kutusu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10077271" y="5775869"/>
          <a:ext cx="907621" cy="4836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600" b="1">
              <a:solidFill>
                <a:srgbClr val="FF0000"/>
              </a:solidFill>
            </a:rPr>
            <a:t>Gearbox</a:t>
          </a:r>
        </a:p>
        <a:p>
          <a:endParaRPr lang="tr-TR" sz="900">
            <a:solidFill>
              <a:srgbClr val="FF0000"/>
            </a:solidFill>
          </a:endParaRPr>
        </a:p>
      </xdr:txBody>
    </xdr:sp>
    <xdr:clientData/>
  </xdr:oneCellAnchor>
  <xdr:oneCellAnchor>
    <xdr:from>
      <xdr:col>5</xdr:col>
      <xdr:colOff>1589695</xdr:colOff>
      <xdr:row>13</xdr:row>
      <xdr:rowOff>20257</xdr:rowOff>
    </xdr:from>
    <xdr:ext cx="727315" cy="62453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10941975" y="5796217"/>
          <a:ext cx="727315" cy="6245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600" b="1">
              <a:solidFill>
                <a:srgbClr val="FF0000"/>
              </a:solidFill>
            </a:rPr>
            <a:t>R.Axle</a:t>
          </a:r>
        </a:p>
        <a:p>
          <a:endParaRPr lang="tr-TR" sz="900">
            <a:solidFill>
              <a:srgbClr val="FF0000"/>
            </a:solidFill>
          </a:endParaRPr>
        </a:p>
        <a:p>
          <a:endParaRPr lang="tr-TR" sz="900">
            <a:solidFill>
              <a:srgbClr val="FF0000"/>
            </a:solidFill>
          </a:endParaRPr>
        </a:p>
      </xdr:txBody>
    </xdr:sp>
    <xdr:clientData/>
  </xdr:oneCellAnchor>
  <xdr:oneCellAnchor>
    <xdr:from>
      <xdr:col>5</xdr:col>
      <xdr:colOff>2446428</xdr:colOff>
      <xdr:row>13</xdr:row>
      <xdr:rowOff>10649</xdr:rowOff>
    </xdr:from>
    <xdr:ext cx="661912" cy="483659"/>
    <xdr:sp macro="" textlink="">
      <xdr:nvSpPr>
        <xdr:cNvPr id="23" name="Metin kutusu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11798708" y="5786609"/>
          <a:ext cx="661912" cy="4836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600" b="1">
              <a:solidFill>
                <a:srgbClr val="FF0000"/>
              </a:solidFill>
            </a:rPr>
            <a:t>F.Tire</a:t>
          </a:r>
        </a:p>
        <a:p>
          <a:endParaRPr lang="tr-TR" sz="900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307228</xdr:colOff>
      <xdr:row>13</xdr:row>
      <xdr:rowOff>5262</xdr:rowOff>
    </xdr:from>
    <xdr:ext cx="683264" cy="483659"/>
    <xdr:sp macro="" textlink="">
      <xdr:nvSpPr>
        <xdr:cNvPr id="25" name="Metin kutusu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12610988" y="5781222"/>
          <a:ext cx="683264" cy="4836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600" b="1">
              <a:solidFill>
                <a:srgbClr val="FF0000"/>
              </a:solidFill>
            </a:rPr>
            <a:t>R.Tire</a:t>
          </a:r>
        </a:p>
        <a:p>
          <a:endParaRPr lang="tr-TR" sz="900">
            <a:solidFill>
              <a:srgbClr val="FF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5</xdr:row>
          <xdr:rowOff>144780</xdr:rowOff>
        </xdr:from>
        <xdr:to>
          <xdr:col>6</xdr:col>
          <xdr:colOff>1196340</xdr:colOff>
          <xdr:row>5</xdr:row>
          <xdr:rowOff>381000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1178637</xdr:colOff>
      <xdr:row>11</xdr:row>
      <xdr:rowOff>68729</xdr:rowOff>
    </xdr:from>
    <xdr:to>
      <xdr:col>5</xdr:col>
      <xdr:colOff>533400</xdr:colOff>
      <xdr:row>13</xdr:row>
      <xdr:rowOff>4912</xdr:rowOff>
    </xdr:to>
    <xdr:sp macro="" textlink="">
      <xdr:nvSpPr>
        <xdr:cNvPr id="6" name="Sol Ayraç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200000">
          <a:off x="9343587" y="5238779"/>
          <a:ext cx="301943" cy="782243"/>
        </a:xfrm>
        <a:prstGeom prst="leftBrace">
          <a:avLst/>
        </a:prstGeom>
        <a:ln/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4</xdr:col>
      <xdr:colOff>1307353</xdr:colOff>
      <xdr:row>13</xdr:row>
      <xdr:rowOff>22085</xdr:rowOff>
    </xdr:from>
    <xdr:ext cx="755913" cy="483659"/>
    <xdr:sp macro="" textlink="">
      <xdr:nvSpPr>
        <xdr:cNvPr id="13" name="Metin kutusu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9232153" y="5798045"/>
          <a:ext cx="755913" cy="4836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1600" b="1">
              <a:solidFill>
                <a:srgbClr val="FF0000"/>
              </a:solidFill>
            </a:rPr>
            <a:t>Engine</a:t>
          </a:r>
        </a:p>
        <a:p>
          <a:endParaRPr lang="tr-TR" sz="900">
            <a:solidFill>
              <a:srgbClr val="FF0000"/>
            </a:solidFill>
          </a:endParaRPr>
        </a:p>
      </xdr:txBody>
    </xdr:sp>
    <xdr:clientData/>
  </xdr:oneCellAnchor>
  <xdr:twoCellAnchor>
    <xdr:from>
      <xdr:col>4</xdr:col>
      <xdr:colOff>812163</xdr:colOff>
      <xdr:row>11</xdr:row>
      <xdr:rowOff>57373</xdr:rowOff>
    </xdr:from>
    <xdr:to>
      <xdr:col>4</xdr:col>
      <xdr:colOff>1066802</xdr:colOff>
      <xdr:row>12</xdr:row>
      <xdr:rowOff>176436</xdr:rowOff>
    </xdr:to>
    <xdr:sp macro="" textlink="">
      <xdr:nvSpPr>
        <xdr:cNvPr id="14" name="Sol Ayraç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16200000">
          <a:off x="8713311" y="5491225"/>
          <a:ext cx="301943" cy="254639"/>
        </a:xfrm>
        <a:prstGeom prst="leftBrace">
          <a:avLst/>
        </a:prstGeom>
        <a:ln/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4</xdr:col>
      <xdr:colOff>614981</xdr:colOff>
      <xdr:row>12</xdr:row>
      <xdr:rowOff>112329</xdr:rowOff>
    </xdr:from>
    <xdr:ext cx="766780" cy="984565"/>
    <xdr:sp macro="" textlink="">
      <xdr:nvSpPr>
        <xdr:cNvPr id="15" name="Metin kutusu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8539781" y="5705409"/>
          <a:ext cx="766780" cy="9845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tr-TR" sz="1600" b="1">
              <a:solidFill>
                <a:srgbClr val="FF0000"/>
              </a:solidFill>
            </a:rPr>
            <a:t>Energy Source Type</a:t>
          </a:r>
        </a:p>
        <a:p>
          <a:endParaRPr lang="tr-TR" sz="9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384539</xdr:colOff>
      <xdr:row>11</xdr:row>
      <xdr:rowOff>62846</xdr:rowOff>
    </xdr:from>
    <xdr:to>
      <xdr:col>3</xdr:col>
      <xdr:colOff>1214120</xdr:colOff>
      <xdr:row>12</xdr:row>
      <xdr:rowOff>182769</xdr:rowOff>
    </xdr:to>
    <xdr:sp macro="" textlink="">
      <xdr:nvSpPr>
        <xdr:cNvPr id="16" name="Sol Ayraç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 rot="16200000">
          <a:off x="7145248" y="5209657"/>
          <a:ext cx="302803" cy="829581"/>
        </a:xfrm>
        <a:prstGeom prst="leftBrace">
          <a:avLst/>
        </a:prstGeom>
        <a:ln/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1296601</xdr:colOff>
      <xdr:row>11</xdr:row>
      <xdr:rowOff>55423</xdr:rowOff>
    </xdr:from>
    <xdr:to>
      <xdr:col>4</xdr:col>
      <xdr:colOff>726441</xdr:colOff>
      <xdr:row>12</xdr:row>
      <xdr:rowOff>174486</xdr:rowOff>
    </xdr:to>
    <xdr:sp macro="" textlink="">
      <xdr:nvSpPr>
        <xdr:cNvPr id="17" name="Sol Ayraç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 rot="16200000">
          <a:off x="8071609" y="5187935"/>
          <a:ext cx="301943" cy="857320"/>
        </a:xfrm>
        <a:prstGeom prst="leftBrace">
          <a:avLst/>
        </a:prstGeom>
        <a:ln/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3</xdr:col>
      <xdr:colOff>436880</xdr:colOff>
      <xdr:row>12</xdr:row>
      <xdr:rowOff>171973</xdr:rowOff>
    </xdr:from>
    <xdr:ext cx="777239" cy="483659"/>
    <xdr:sp macro="" textlink="">
      <xdr:nvSpPr>
        <xdr:cNvPr id="26" name="Metin kutusu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6934200" y="5765053"/>
          <a:ext cx="777239" cy="4836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tr-TR" sz="1600" b="1">
              <a:solidFill>
                <a:srgbClr val="FF0000"/>
              </a:solidFill>
            </a:rPr>
            <a:t>Model</a:t>
          </a:r>
          <a:endParaRPr lang="tr-TR" sz="900" b="1">
            <a:solidFill>
              <a:srgbClr val="FF0000"/>
            </a:solidFill>
          </a:endParaRPr>
        </a:p>
        <a:p>
          <a:endParaRPr lang="tr-TR" sz="900">
            <a:solidFill>
              <a:srgbClr val="FF0000"/>
            </a:solidFill>
          </a:endParaRPr>
        </a:p>
      </xdr:txBody>
    </xdr:sp>
    <xdr:clientData/>
  </xdr:oneCellAnchor>
  <xdr:oneCellAnchor>
    <xdr:from>
      <xdr:col>3</xdr:col>
      <xdr:colOff>1310640</xdr:colOff>
      <xdr:row>12</xdr:row>
      <xdr:rowOff>136385</xdr:rowOff>
    </xdr:from>
    <xdr:ext cx="904240" cy="734112"/>
    <xdr:sp macro="" textlink="">
      <xdr:nvSpPr>
        <xdr:cNvPr id="27" name="Metin kutusu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7807960" y="5729465"/>
          <a:ext cx="904240" cy="7341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tr-TR" sz="1600" b="1">
              <a:solidFill>
                <a:srgbClr val="FF0000"/>
              </a:solidFill>
            </a:rPr>
            <a:t>Sub Model</a:t>
          </a:r>
        </a:p>
        <a:p>
          <a:endParaRPr lang="tr-TR" sz="900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1025922</xdr:colOff>
      <xdr:row>13</xdr:row>
      <xdr:rowOff>11513</xdr:rowOff>
    </xdr:from>
    <xdr:ext cx="1173718" cy="847007"/>
    <xdr:sp macro="" textlink="">
      <xdr:nvSpPr>
        <xdr:cNvPr id="30" name="Metin kutusu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13329682" y="5787473"/>
          <a:ext cx="1173718" cy="8470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tr-TR" sz="1600" b="1">
              <a:solidFill>
                <a:srgbClr val="FF0000"/>
              </a:solidFill>
            </a:rPr>
            <a:t>Add. Axle</a:t>
          </a:r>
          <a:r>
            <a:rPr lang="tr-TR" sz="1600" b="1" baseline="0">
              <a:solidFill>
                <a:srgbClr val="FF0000"/>
              </a:solidFill>
            </a:rPr>
            <a:t> </a:t>
          </a:r>
          <a:r>
            <a:rPr lang="tr-TR" sz="1600" b="1">
              <a:solidFill>
                <a:srgbClr val="FF0000"/>
              </a:solidFill>
            </a:rPr>
            <a:t>Tire</a:t>
          </a:r>
        </a:p>
        <a:p>
          <a:endParaRPr lang="tr-TR" sz="900">
            <a:solidFill>
              <a:srgbClr val="FF0000"/>
            </a:solidFill>
          </a:endParaRPr>
        </a:p>
        <a:p>
          <a:endParaRPr lang="tr-TR" sz="900">
            <a:solidFill>
              <a:srgbClr val="FF0000"/>
            </a:solidFill>
          </a:endParaRPr>
        </a:p>
        <a:p>
          <a:endParaRPr lang="tr-TR" sz="9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2</xdr:col>
      <xdr:colOff>1685365</xdr:colOff>
      <xdr:row>9</xdr:row>
      <xdr:rowOff>208626</xdr:rowOff>
    </xdr:from>
    <xdr:to>
      <xdr:col>7</xdr:col>
      <xdr:colOff>573986</xdr:colOff>
      <xdr:row>11</xdr:row>
      <xdr:rowOff>37109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9765" y="4753732"/>
          <a:ext cx="7862292" cy="689095"/>
        </a:xfrm>
        <a:prstGeom prst="rect">
          <a:avLst/>
        </a:prstGeom>
      </xdr:spPr>
    </xdr:pic>
    <xdr:clientData/>
  </xdr:twoCellAnchor>
  <xdr:twoCellAnchor>
    <xdr:from>
      <xdr:col>5</xdr:col>
      <xdr:colOff>1463040</xdr:colOff>
      <xdr:row>11</xdr:row>
      <xdr:rowOff>71120</xdr:rowOff>
    </xdr:from>
    <xdr:to>
      <xdr:col>5</xdr:col>
      <xdr:colOff>2234659</xdr:colOff>
      <xdr:row>13</xdr:row>
      <xdr:rowOff>7303</xdr:rowOff>
    </xdr:to>
    <xdr:sp macro="" textlink="">
      <xdr:nvSpPr>
        <xdr:cNvPr id="24" name="Sol Ayraç 2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6200000">
          <a:off x="11050158" y="5246482"/>
          <a:ext cx="301943" cy="771619"/>
        </a:xfrm>
        <a:prstGeom prst="leftBrace">
          <a:avLst/>
        </a:prstGeom>
        <a:ln/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ables/table1.xml><?xml version="1.0" encoding="utf-8"?>
<table xmlns="http://schemas.openxmlformats.org/spreadsheetml/2006/main" id="3" name="Tablo3" displayName="Tablo3" ref="B1:AD840" totalsRowShown="0" headerRowDxfId="31" dataDxfId="30" tableBorderDxfId="29" headerRowCellStyle="Normal 2">
  <autoFilter ref="B1:AD840"/>
  <tableColumns count="29">
    <tableColumn id="1" name="Model" dataDxfId="28"/>
    <tableColumn id="2" name="SUB  MODEL" dataDxfId="27"/>
    <tableColumn id="3" name="Energy Source" dataDxfId="26"/>
    <tableColumn id="4" name="ENGINE" dataDxfId="25"/>
    <tableColumn id="5" name="GEARBOX" dataDxfId="24"/>
    <tableColumn id="6" name="FRONT AXLE" dataDxfId="23"/>
    <tableColumn id="7" name="REAR AXLE" dataDxfId="22"/>
    <tableColumn id="8" name="RETARDER" dataDxfId="21"/>
    <tableColumn id="9" name="TORQUE CONVERTER" dataDxfId="20"/>
    <tableColumn id="10" name="FRONT TIRE" dataDxfId="19"/>
    <tableColumn id="11" name="REAR TIRE" dataDxfId="18"/>
    <tableColumn id="12" name="VECTO CLASS" dataDxfId="17"/>
    <tableColumn id="13" name="SIMULATION TYPE" dataDxfId="16"/>
    <tableColumn id="14" name="REGULATION CLASS" dataDxfId="15"/>
    <tableColumn id="15" name="VECTO CODE" dataDxfId="14">
      <calculatedColumnFormula>Q2&amp;R2&amp;S2&amp;T2&amp;U2&amp;V2&amp;W2&amp;X2&amp;Y2&amp;Z2&amp;AA2&amp;AD2&amp;AC2&amp;AB2</calculatedColumnFormula>
    </tableColumn>
    <tableColumn id="16" name="Model2" dataDxfId="13">
      <calculatedColumnFormula>VLOOKUP($B2,'Component List'!$A$2:$B$30,2,FALSE)</calculatedColumnFormula>
    </tableColumn>
    <tableColumn id="17" name="SUB  MODEL3" dataDxfId="12">
      <calculatedColumnFormula>VLOOKUP($C2,'Component List'!C$2:D$28,2,FALSE)</calculatedColumnFormula>
    </tableColumn>
    <tableColumn id="18" name="Energy Source4" dataDxfId="11">
      <calculatedColumnFormula>VLOOKUP($D2,'Component List'!E$2:F$30,2,FALSE)</calculatedColumnFormula>
    </tableColumn>
    <tableColumn id="19" name="ENGINE5" dataDxfId="10">
      <calculatedColumnFormula>VLOOKUP($E2,'Component List'!G$2:H$30,2,FALSE)</calculatedColumnFormula>
    </tableColumn>
    <tableColumn id="20" name="GEARBOX6" dataDxfId="9">
      <calculatedColumnFormula>VLOOKUP($F2,'Component List'!I$2:J$30,2,FALSE)</calculatedColumnFormula>
    </tableColumn>
    <tableColumn id="21" name="FRONT AXLE7" dataDxfId="8">
      <calculatedColumnFormula>VLOOKUP(G2,'Component List'!K$2:L$30,2,FALSE)</calculatedColumnFormula>
    </tableColumn>
    <tableColumn id="22" name="REAR AXLE8" dataDxfId="7">
      <calculatedColumnFormula>VLOOKUP(H2,'Component List'!M$2:N$31,2,FALSE)</calculatedColumnFormula>
    </tableColumn>
    <tableColumn id="23" name="RETARDER9" dataDxfId="6">
      <calculatedColumnFormula>VLOOKUP(I2,'Component List'!O$2:P$30,2,FALSE)</calculatedColumnFormula>
    </tableColumn>
    <tableColumn id="24" name="TORQUE CONVERTER10" dataDxfId="5">
      <calculatedColumnFormula>VLOOKUP(J2,'Component List'!Q$2:R$30,2,FALSE)</calculatedColumnFormula>
    </tableColumn>
    <tableColumn id="25" name="FRONT TIRE11" dataDxfId="4">
      <calculatedColumnFormula>VLOOKUP(K2,'Component List'!S$2:T$30,2,FALSE)</calculatedColumnFormula>
    </tableColumn>
    <tableColumn id="26" name="REAR TIRE12" dataDxfId="3">
      <calculatedColumnFormula>VLOOKUP(L2,'Component List'!U$2:V$30,2,FALSE)</calculatedColumnFormula>
    </tableColumn>
    <tableColumn id="27" name="VECTO CLASS13" dataDxfId="2">
      <calculatedColumnFormula>VLOOKUP(M2,'Component List'!AA$2:AB$30,2,FALSE)</calculatedColumnFormula>
    </tableColumn>
    <tableColumn id="28" name="SIMULATION TYPE14" dataDxfId="1">
      <calculatedColumnFormula>VLOOKUP(N2,'Component List'!Y$2:Z$30,2,FALSE)</calculatedColumnFormula>
    </tableColumn>
    <tableColumn id="29" name="REGULATION CLASS15" dataDxfId="0">
      <calculatedColumnFormula>VLOOKUP(O2,'Component List'!W$3:X$30,2,FALSE)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AMG42"/>
  <sheetViews>
    <sheetView zoomScale="40" zoomScaleNormal="40" workbookViewId="0">
      <pane xSplit="1" topLeftCell="B1" activePane="topRight" state="frozen"/>
      <selection pane="topRight" activeCell="X9" sqref="X9"/>
    </sheetView>
  </sheetViews>
  <sheetFormatPr defaultColWidth="8.6640625" defaultRowHeight="14.4" x14ac:dyDescent="0.3"/>
  <cols>
    <col min="1" max="1" width="45.33203125" style="1" customWidth="1"/>
    <col min="2" max="18" width="104.5546875" style="2" customWidth="1"/>
    <col min="19" max="20" width="109.6640625" style="2" customWidth="1"/>
    <col min="21" max="21" width="28.6640625" style="2" customWidth="1"/>
    <col min="22" max="22" width="25.44140625" style="2" customWidth="1"/>
    <col min="23" max="23" width="17.33203125" style="2" customWidth="1"/>
    <col min="24" max="24" width="23.6640625" style="2" customWidth="1"/>
    <col min="25" max="25" width="7.6640625" style="2" customWidth="1"/>
    <col min="27" max="1021" width="8.6640625" style="2"/>
    <col min="1022" max="1023" width="11.5546875" customWidth="1"/>
  </cols>
  <sheetData>
    <row r="1" spans="1:25" ht="70.95" customHeight="1" x14ac:dyDescent="0.3">
      <c r="A1" s="10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181" t="s">
        <v>19</v>
      </c>
      <c r="U1" s="3"/>
      <c r="V1" s="3"/>
    </row>
    <row r="2" spans="1:25" ht="70.95" customHeight="1" x14ac:dyDescent="0.3">
      <c r="A2" s="9" t="s">
        <v>20</v>
      </c>
      <c r="B2" s="179" t="s">
        <v>21</v>
      </c>
      <c r="C2" s="179" t="s">
        <v>21</v>
      </c>
      <c r="D2" s="179" t="s">
        <v>21</v>
      </c>
      <c r="E2" s="179" t="s">
        <v>21</v>
      </c>
      <c r="F2" s="179" t="s">
        <v>21</v>
      </c>
      <c r="G2" s="179" t="s">
        <v>21</v>
      </c>
      <c r="H2" s="179" t="s">
        <v>21</v>
      </c>
      <c r="I2" s="179" t="s">
        <v>21</v>
      </c>
      <c r="J2" s="179" t="s">
        <v>21</v>
      </c>
      <c r="K2" s="180" t="s">
        <v>21</v>
      </c>
      <c r="L2" s="180" t="s">
        <v>21</v>
      </c>
      <c r="M2" s="179" t="s">
        <v>22</v>
      </c>
      <c r="N2" s="179" t="s">
        <v>23</v>
      </c>
      <c r="O2" s="179" t="s">
        <v>23</v>
      </c>
      <c r="P2" s="179" t="s">
        <v>21</v>
      </c>
      <c r="Q2" s="179" t="s">
        <v>21</v>
      </c>
      <c r="R2" s="179" t="s">
        <v>24</v>
      </c>
      <c r="S2" s="179" t="s">
        <v>24</v>
      </c>
      <c r="T2" s="182" t="s">
        <v>24</v>
      </c>
      <c r="U2" s="4"/>
      <c r="V2" s="4"/>
      <c r="W2" s="4"/>
      <c r="X2" s="4"/>
      <c r="Y2" s="4"/>
    </row>
    <row r="3" spans="1:25" ht="70.95" customHeight="1" x14ac:dyDescent="0.3">
      <c r="A3" s="9" t="s">
        <v>25</v>
      </c>
      <c r="B3" s="179" t="s">
        <v>26</v>
      </c>
      <c r="C3" s="179" t="s">
        <v>26</v>
      </c>
      <c r="D3" s="179" t="s">
        <v>27</v>
      </c>
      <c r="E3" s="179" t="s">
        <v>27</v>
      </c>
      <c r="F3" s="179" t="s">
        <v>27</v>
      </c>
      <c r="G3" s="179" t="s">
        <v>27</v>
      </c>
      <c r="H3" s="179" t="s">
        <v>27</v>
      </c>
      <c r="I3" s="179" t="s">
        <v>27</v>
      </c>
      <c r="J3" s="179" t="s">
        <v>27</v>
      </c>
      <c r="K3" s="180" t="s">
        <v>28</v>
      </c>
      <c r="L3" s="180" t="s">
        <v>28</v>
      </c>
      <c r="M3" s="179" t="s">
        <v>28</v>
      </c>
      <c r="N3" s="179" t="s">
        <v>29</v>
      </c>
      <c r="O3" s="179" t="s">
        <v>29</v>
      </c>
      <c r="P3" s="179" t="s">
        <v>29</v>
      </c>
      <c r="Q3" s="179" t="s">
        <v>30</v>
      </c>
      <c r="R3" s="179" t="s">
        <v>31</v>
      </c>
      <c r="S3" s="179" t="s">
        <v>32</v>
      </c>
      <c r="T3" s="182" t="s">
        <v>33</v>
      </c>
      <c r="U3" s="4"/>
      <c r="V3" s="4"/>
      <c r="W3" s="4"/>
      <c r="X3" s="4"/>
      <c r="Y3" s="4"/>
    </row>
    <row r="4" spans="1:25" ht="70.95" customHeight="1" x14ac:dyDescent="0.3">
      <c r="A4" s="9" t="s">
        <v>34</v>
      </c>
      <c r="B4" s="179" t="s">
        <v>35</v>
      </c>
      <c r="C4" s="179" t="s">
        <v>35</v>
      </c>
      <c r="D4" s="179" t="s">
        <v>35</v>
      </c>
      <c r="E4" s="179" t="s">
        <v>35</v>
      </c>
      <c r="F4" s="179" t="s">
        <v>35</v>
      </c>
      <c r="G4" s="179" t="s">
        <v>35</v>
      </c>
      <c r="H4" s="179" t="s">
        <v>36</v>
      </c>
      <c r="I4" s="179" t="s">
        <v>36</v>
      </c>
      <c r="J4" s="179" t="s">
        <v>36</v>
      </c>
      <c r="K4" s="180" t="s">
        <v>37</v>
      </c>
      <c r="L4" s="180" t="s">
        <v>37</v>
      </c>
      <c r="M4" s="179" t="s">
        <v>37</v>
      </c>
      <c r="N4" s="179" t="s">
        <v>36</v>
      </c>
      <c r="O4" s="179" t="s">
        <v>36</v>
      </c>
      <c r="P4" s="179" t="s">
        <v>36</v>
      </c>
      <c r="Q4" s="179" t="s">
        <v>36</v>
      </c>
      <c r="R4" s="179" t="s">
        <v>36</v>
      </c>
      <c r="S4" s="179" t="s">
        <v>36</v>
      </c>
      <c r="T4" s="182" t="s">
        <v>36</v>
      </c>
      <c r="U4" s="4"/>
      <c r="V4" s="4"/>
      <c r="W4" s="4"/>
      <c r="X4" s="4"/>
      <c r="Y4" s="4"/>
    </row>
    <row r="5" spans="1:25" ht="70.95" customHeight="1" x14ac:dyDescent="0.3">
      <c r="A5" s="9" t="s">
        <v>38</v>
      </c>
      <c r="B5" s="179" t="s">
        <v>36</v>
      </c>
      <c r="C5" s="179" t="s">
        <v>36</v>
      </c>
      <c r="D5" s="179" t="s">
        <v>39</v>
      </c>
      <c r="E5" s="179" t="s">
        <v>39</v>
      </c>
      <c r="F5" s="179" t="s">
        <v>39</v>
      </c>
      <c r="G5" s="179" t="s">
        <v>39</v>
      </c>
      <c r="H5" s="179" t="s">
        <v>39</v>
      </c>
      <c r="I5" s="179" t="s">
        <v>39</v>
      </c>
      <c r="J5" s="179" t="s">
        <v>39</v>
      </c>
      <c r="K5" s="180" t="s">
        <v>36</v>
      </c>
      <c r="L5" s="180" t="s">
        <v>36</v>
      </c>
      <c r="M5" s="179" t="s">
        <v>36</v>
      </c>
      <c r="N5" s="179" t="s">
        <v>40</v>
      </c>
      <c r="O5" s="179" t="s">
        <v>40</v>
      </c>
      <c r="P5" s="179" t="s">
        <v>40</v>
      </c>
      <c r="Q5" s="179" t="s">
        <v>41</v>
      </c>
      <c r="R5" s="179" t="s">
        <v>42</v>
      </c>
      <c r="S5" s="179" t="s">
        <v>41</v>
      </c>
      <c r="T5" s="182" t="s">
        <v>43</v>
      </c>
      <c r="U5" s="4"/>
      <c r="V5" s="4"/>
      <c r="W5" s="4"/>
      <c r="X5" s="4"/>
      <c r="Y5" s="4"/>
    </row>
    <row r="6" spans="1:25" ht="70.95" customHeight="1" x14ac:dyDescent="0.3">
      <c r="A6" s="9" t="s">
        <v>44</v>
      </c>
      <c r="B6" s="179" t="s">
        <v>36</v>
      </c>
      <c r="C6" s="179" t="s">
        <v>36</v>
      </c>
      <c r="D6" s="179" t="s">
        <v>45</v>
      </c>
      <c r="E6" s="179" t="s">
        <v>45</v>
      </c>
      <c r="F6" s="179" t="s">
        <v>45</v>
      </c>
      <c r="G6" s="179" t="s">
        <v>45</v>
      </c>
      <c r="H6" s="179" t="s">
        <v>36</v>
      </c>
      <c r="I6" s="179" t="s">
        <v>45</v>
      </c>
      <c r="J6" s="179" t="s">
        <v>45</v>
      </c>
      <c r="K6" s="180" t="s">
        <v>36</v>
      </c>
      <c r="L6" s="180" t="s">
        <v>36</v>
      </c>
      <c r="M6" s="179" t="s">
        <v>36</v>
      </c>
      <c r="N6" s="179" t="s">
        <v>36</v>
      </c>
      <c r="O6" s="179" t="s">
        <v>36</v>
      </c>
      <c r="P6" s="179" t="s">
        <v>36</v>
      </c>
      <c r="Q6" s="179" t="s">
        <v>36</v>
      </c>
      <c r="R6" s="179" t="s">
        <v>36</v>
      </c>
      <c r="S6" s="179" t="s">
        <v>36</v>
      </c>
      <c r="T6" s="182" t="s">
        <v>36</v>
      </c>
      <c r="U6" s="4"/>
      <c r="V6" s="4"/>
      <c r="W6" s="4"/>
      <c r="X6" s="4"/>
      <c r="Y6" s="4"/>
    </row>
    <row r="7" spans="1:25" ht="70.95" customHeight="1" x14ac:dyDescent="0.3">
      <c r="A7" s="9" t="s">
        <v>46</v>
      </c>
      <c r="B7" s="179" t="s">
        <v>36</v>
      </c>
      <c r="C7" s="179" t="s">
        <v>36</v>
      </c>
      <c r="D7" s="179" t="s">
        <v>47</v>
      </c>
      <c r="E7" s="179" t="s">
        <v>47</v>
      </c>
      <c r="F7" s="179" t="s">
        <v>47</v>
      </c>
      <c r="G7" s="179" t="s">
        <v>47</v>
      </c>
      <c r="H7" s="179" t="s">
        <v>47</v>
      </c>
      <c r="I7" s="179" t="s">
        <v>47</v>
      </c>
      <c r="J7" s="179" t="s">
        <v>47</v>
      </c>
      <c r="K7" s="180" t="s">
        <v>48</v>
      </c>
      <c r="L7" s="180" t="s">
        <v>48</v>
      </c>
      <c r="M7" s="179" t="s">
        <v>36</v>
      </c>
      <c r="N7" s="179" t="s">
        <v>49</v>
      </c>
      <c r="O7" s="179" t="s">
        <v>49</v>
      </c>
      <c r="P7" s="179" t="s">
        <v>49</v>
      </c>
      <c r="Q7" s="179" t="s">
        <v>36</v>
      </c>
      <c r="R7" s="179" t="s">
        <v>36</v>
      </c>
      <c r="S7" s="179" t="s">
        <v>36</v>
      </c>
      <c r="T7" s="182" t="s">
        <v>50</v>
      </c>
      <c r="U7" s="4"/>
      <c r="V7" s="4"/>
      <c r="W7" s="4"/>
      <c r="X7" s="4"/>
      <c r="Y7" s="4"/>
    </row>
    <row r="8" spans="1:25" ht="70.95" customHeight="1" x14ac:dyDescent="0.3">
      <c r="A8" s="9" t="s">
        <v>51</v>
      </c>
      <c r="B8" s="179" t="s">
        <v>52</v>
      </c>
      <c r="C8" s="179" t="s">
        <v>52</v>
      </c>
      <c r="D8" s="179" t="s">
        <v>52</v>
      </c>
      <c r="E8" s="179" t="s">
        <v>52</v>
      </c>
      <c r="F8" s="179" t="s">
        <v>52</v>
      </c>
      <c r="G8" s="179" t="s">
        <v>52</v>
      </c>
      <c r="H8" s="179" t="s">
        <v>52</v>
      </c>
      <c r="I8" s="179" t="s">
        <v>52</v>
      </c>
      <c r="J8" s="179" t="s">
        <v>52</v>
      </c>
      <c r="K8" s="180" t="s">
        <v>52</v>
      </c>
      <c r="L8" s="180" t="s">
        <v>52</v>
      </c>
      <c r="M8" s="179" t="s">
        <v>53</v>
      </c>
      <c r="N8" s="179" t="s">
        <v>53</v>
      </c>
      <c r="O8" s="179" t="s">
        <v>53</v>
      </c>
      <c r="P8" s="179" t="s">
        <v>54</v>
      </c>
      <c r="Q8" s="179" t="s">
        <v>54</v>
      </c>
      <c r="R8" s="179" t="s">
        <v>54</v>
      </c>
      <c r="S8" s="179" t="s">
        <v>53</v>
      </c>
      <c r="T8" s="182" t="s">
        <v>55</v>
      </c>
      <c r="U8" s="4"/>
      <c r="V8" s="4"/>
      <c r="W8" s="4"/>
      <c r="X8" s="4"/>
      <c r="Y8" s="4"/>
    </row>
    <row r="9" spans="1:25" ht="70.95" customHeight="1" x14ac:dyDescent="0.3">
      <c r="A9" s="9" t="s">
        <v>56</v>
      </c>
      <c r="B9" s="179" t="s">
        <v>57</v>
      </c>
      <c r="C9" s="179" t="s">
        <v>57</v>
      </c>
      <c r="D9" s="179" t="s">
        <v>58</v>
      </c>
      <c r="E9" s="179" t="s">
        <v>58</v>
      </c>
      <c r="F9" s="179" t="s">
        <v>58</v>
      </c>
      <c r="G9" s="179" t="s">
        <v>58</v>
      </c>
      <c r="H9" s="179" t="s">
        <v>59</v>
      </c>
      <c r="I9" s="179" t="s">
        <v>59</v>
      </c>
      <c r="J9" s="179" t="s">
        <v>59</v>
      </c>
      <c r="K9" s="180" t="s">
        <v>58</v>
      </c>
      <c r="L9" s="180" t="s">
        <v>60</v>
      </c>
      <c r="M9" s="179" t="s">
        <v>61</v>
      </c>
      <c r="N9" s="179" t="s">
        <v>62</v>
      </c>
      <c r="O9" s="179" t="s">
        <v>62</v>
      </c>
      <c r="P9" s="179" t="s">
        <v>63</v>
      </c>
      <c r="Q9" s="179" t="s">
        <v>63</v>
      </c>
      <c r="R9" s="179" t="s">
        <v>64</v>
      </c>
      <c r="S9" s="179" t="s">
        <v>65</v>
      </c>
      <c r="T9" s="182" t="s">
        <v>66</v>
      </c>
      <c r="U9" s="4"/>
      <c r="V9" s="4"/>
      <c r="W9" s="4"/>
      <c r="X9" s="4" t="s">
        <v>67</v>
      </c>
      <c r="Y9" s="4"/>
    </row>
    <row r="10" spans="1:25" ht="70.95" customHeight="1" x14ac:dyDescent="0.3">
      <c r="A10" s="9" t="s">
        <v>68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4"/>
      <c r="V10" s="4"/>
      <c r="W10" s="4"/>
      <c r="X10" s="4"/>
      <c r="Y10" s="4"/>
    </row>
    <row r="11" spans="1:25" ht="70.95" customHeight="1" x14ac:dyDescent="0.3">
      <c r="A11" s="9" t="s">
        <v>69</v>
      </c>
      <c r="B11" s="4" t="s">
        <v>36</v>
      </c>
      <c r="C11" s="4" t="s">
        <v>36</v>
      </c>
      <c r="D11" s="4" t="s">
        <v>36</v>
      </c>
      <c r="E11" s="4" t="s">
        <v>36</v>
      </c>
      <c r="F11" s="4" t="s">
        <v>36</v>
      </c>
      <c r="G11" s="4" t="s">
        <v>36</v>
      </c>
      <c r="H11" s="4" t="s">
        <v>36</v>
      </c>
      <c r="I11" s="4" t="s">
        <v>36</v>
      </c>
      <c r="J11" s="4" t="s">
        <v>36</v>
      </c>
      <c r="K11" s="4" t="s">
        <v>36</v>
      </c>
      <c r="L11" s="4" t="s">
        <v>36</v>
      </c>
      <c r="M11" s="4" t="s">
        <v>36</v>
      </c>
      <c r="N11" s="4" t="s">
        <v>36</v>
      </c>
      <c r="O11" s="4" t="s">
        <v>36</v>
      </c>
      <c r="P11" s="4" t="s">
        <v>36</v>
      </c>
      <c r="Q11" s="4" t="s">
        <v>36</v>
      </c>
      <c r="R11" s="4" t="s">
        <v>36</v>
      </c>
      <c r="S11" s="4" t="s">
        <v>36</v>
      </c>
      <c r="T11" s="4" t="s">
        <v>36</v>
      </c>
      <c r="U11" s="4"/>
      <c r="V11" s="4"/>
      <c r="W11" s="4"/>
      <c r="X11" s="4"/>
      <c r="Y11" s="4"/>
    </row>
    <row r="12" spans="1:25" ht="70.95" customHeight="1" x14ac:dyDescent="0.3">
      <c r="A12" s="9" t="s">
        <v>70</v>
      </c>
      <c r="B12" s="4" t="s">
        <v>36</v>
      </c>
      <c r="C12" s="4" t="s">
        <v>36</v>
      </c>
      <c r="D12" s="5" t="s">
        <v>71</v>
      </c>
      <c r="E12" s="5" t="s">
        <v>71</v>
      </c>
      <c r="F12" s="5" t="s">
        <v>71</v>
      </c>
      <c r="G12" s="5" t="s">
        <v>71</v>
      </c>
      <c r="H12" s="5" t="s">
        <v>71</v>
      </c>
      <c r="I12" s="5" t="s">
        <v>71</v>
      </c>
      <c r="J12" s="5" t="s">
        <v>71</v>
      </c>
      <c r="K12" s="4" t="s">
        <v>36</v>
      </c>
      <c r="L12" s="4" t="s">
        <v>36</v>
      </c>
      <c r="M12" s="4" t="s">
        <v>36</v>
      </c>
      <c r="N12" s="4" t="s">
        <v>36</v>
      </c>
      <c r="O12" s="4" t="s">
        <v>36</v>
      </c>
      <c r="P12" s="4" t="s">
        <v>36</v>
      </c>
      <c r="Q12" s="4" t="s">
        <v>36</v>
      </c>
      <c r="R12" s="4" t="s">
        <v>36</v>
      </c>
      <c r="S12" s="4" t="s">
        <v>36</v>
      </c>
      <c r="T12" s="4" t="s">
        <v>36</v>
      </c>
      <c r="U12" s="4"/>
      <c r="V12" s="4"/>
      <c r="W12" s="4"/>
      <c r="X12" s="4"/>
      <c r="Y12" s="4"/>
    </row>
    <row r="13" spans="1:25" ht="70.95" customHeight="1" x14ac:dyDescent="0.3">
      <c r="A13" s="9" t="s">
        <v>72</v>
      </c>
      <c r="B13" s="5" t="s">
        <v>73</v>
      </c>
      <c r="C13" s="5" t="s">
        <v>73</v>
      </c>
      <c r="D13" s="5" t="s">
        <v>73</v>
      </c>
      <c r="E13" s="5" t="s">
        <v>73</v>
      </c>
      <c r="F13" s="5" t="s">
        <v>73</v>
      </c>
      <c r="G13" s="5" t="s">
        <v>73</v>
      </c>
      <c r="H13" s="5" t="s">
        <v>73</v>
      </c>
      <c r="I13" s="4" t="s">
        <v>36</v>
      </c>
      <c r="J13" s="4" t="s">
        <v>36</v>
      </c>
      <c r="K13" s="5" t="s">
        <v>73</v>
      </c>
      <c r="L13" s="5" t="s">
        <v>73</v>
      </c>
      <c r="M13" s="5" t="s">
        <v>73</v>
      </c>
      <c r="N13" s="5" t="s">
        <v>73</v>
      </c>
      <c r="O13" s="5" t="s">
        <v>73</v>
      </c>
      <c r="P13" s="4" t="s">
        <v>36</v>
      </c>
      <c r="Q13" s="4" t="s">
        <v>36</v>
      </c>
      <c r="R13" s="4" t="s">
        <v>36</v>
      </c>
      <c r="S13" s="4" t="s">
        <v>36</v>
      </c>
      <c r="T13" s="4" t="s">
        <v>36</v>
      </c>
      <c r="U13" s="4"/>
      <c r="V13" s="4"/>
      <c r="W13" s="4"/>
      <c r="X13" s="4"/>
      <c r="Y13" s="4"/>
    </row>
    <row r="14" spans="1:25" ht="70.95" customHeight="1" x14ac:dyDescent="0.3">
      <c r="A14" s="9" t="s">
        <v>74</v>
      </c>
      <c r="B14" s="4" t="s">
        <v>36</v>
      </c>
      <c r="C14" s="4" t="s">
        <v>36</v>
      </c>
      <c r="D14" s="5" t="s">
        <v>75</v>
      </c>
      <c r="E14" s="5" t="s">
        <v>75</v>
      </c>
      <c r="F14" s="5" t="s">
        <v>75</v>
      </c>
      <c r="G14" s="5" t="s">
        <v>75</v>
      </c>
      <c r="H14" s="5" t="s">
        <v>75</v>
      </c>
      <c r="I14" s="4" t="s">
        <v>36</v>
      </c>
      <c r="J14" s="4" t="s">
        <v>36</v>
      </c>
      <c r="K14" s="4" t="s">
        <v>36</v>
      </c>
      <c r="L14" s="4" t="s">
        <v>36</v>
      </c>
      <c r="M14" s="4" t="s">
        <v>36</v>
      </c>
      <c r="N14" s="4" t="s">
        <v>36</v>
      </c>
      <c r="O14" s="4" t="s">
        <v>36</v>
      </c>
      <c r="P14" s="4" t="s">
        <v>36</v>
      </c>
      <c r="Q14" s="4" t="s">
        <v>36</v>
      </c>
      <c r="R14" s="4" t="s">
        <v>36</v>
      </c>
      <c r="S14" s="4" t="s">
        <v>36</v>
      </c>
      <c r="T14" s="4" t="s">
        <v>36</v>
      </c>
      <c r="U14" s="4"/>
      <c r="V14" s="4"/>
      <c r="W14" s="4"/>
      <c r="X14" s="4"/>
      <c r="Y14" s="4"/>
    </row>
    <row r="15" spans="1:25" ht="70.95" customHeight="1" x14ac:dyDescent="0.3">
      <c r="A15" s="9" t="s">
        <v>76</v>
      </c>
      <c r="B15" s="4" t="s">
        <v>36</v>
      </c>
      <c r="C15" s="4" t="s">
        <v>36</v>
      </c>
      <c r="D15" s="5" t="s">
        <v>77</v>
      </c>
      <c r="E15" s="5" t="s">
        <v>77</v>
      </c>
      <c r="F15" s="5" t="s">
        <v>77</v>
      </c>
      <c r="G15" s="5" t="s">
        <v>77</v>
      </c>
      <c r="H15" s="4" t="s">
        <v>36</v>
      </c>
      <c r="I15" s="4" t="s">
        <v>36</v>
      </c>
      <c r="J15" s="4" t="s">
        <v>36</v>
      </c>
      <c r="K15" s="4" t="s">
        <v>36</v>
      </c>
      <c r="L15" s="4" t="s">
        <v>36</v>
      </c>
      <c r="M15" s="4" t="s">
        <v>36</v>
      </c>
      <c r="N15" s="4" t="s">
        <v>36</v>
      </c>
      <c r="O15" s="4" t="s">
        <v>36</v>
      </c>
      <c r="P15" s="4" t="s">
        <v>36</v>
      </c>
      <c r="Q15" s="4" t="s">
        <v>36</v>
      </c>
      <c r="R15" s="4" t="s">
        <v>36</v>
      </c>
      <c r="S15" s="4" t="s">
        <v>36</v>
      </c>
      <c r="T15" s="4" t="s">
        <v>36</v>
      </c>
      <c r="U15" s="4"/>
      <c r="V15" s="4"/>
      <c r="W15" s="4"/>
      <c r="X15" s="4"/>
      <c r="Y15" s="4"/>
    </row>
    <row r="16" spans="1:25" ht="70.95" customHeight="1" x14ac:dyDescent="0.3">
      <c r="A16" s="9" t="s">
        <v>78</v>
      </c>
      <c r="B16" s="4" t="s">
        <v>36</v>
      </c>
      <c r="C16" s="4" t="s">
        <v>36</v>
      </c>
      <c r="D16" s="5" t="s">
        <v>79</v>
      </c>
      <c r="E16" s="5" t="s">
        <v>79</v>
      </c>
      <c r="F16" s="5" t="s">
        <v>79</v>
      </c>
      <c r="G16" s="5" t="s">
        <v>79</v>
      </c>
      <c r="H16" s="4" t="s">
        <v>36</v>
      </c>
      <c r="I16" s="5" t="s">
        <v>79</v>
      </c>
      <c r="J16" s="5" t="s">
        <v>79</v>
      </c>
      <c r="K16" s="4" t="s">
        <v>36</v>
      </c>
      <c r="L16" s="4" t="s">
        <v>36</v>
      </c>
      <c r="M16" s="4" t="s">
        <v>36</v>
      </c>
      <c r="N16" s="4" t="s">
        <v>36</v>
      </c>
      <c r="O16" s="4" t="s">
        <v>36</v>
      </c>
      <c r="P16" s="4" t="s">
        <v>36</v>
      </c>
      <c r="Q16" s="4" t="s">
        <v>36</v>
      </c>
      <c r="R16" s="4" t="s">
        <v>36</v>
      </c>
      <c r="S16" s="4" t="s">
        <v>36</v>
      </c>
      <c r="T16" s="4" t="s">
        <v>36</v>
      </c>
      <c r="U16" s="4"/>
      <c r="V16" s="4"/>
      <c r="W16" s="4"/>
      <c r="X16" s="4"/>
      <c r="Y16" s="4"/>
    </row>
    <row r="17" spans="1:39" ht="70.95" customHeight="1" x14ac:dyDescent="0.3">
      <c r="A17" s="9" t="s">
        <v>80</v>
      </c>
      <c r="B17" s="4" t="s">
        <v>36</v>
      </c>
      <c r="C17" s="4" t="s">
        <v>36</v>
      </c>
      <c r="D17" s="6" t="s">
        <v>81</v>
      </c>
      <c r="E17" s="6" t="s">
        <v>81</v>
      </c>
      <c r="F17" s="6" t="s">
        <v>81</v>
      </c>
      <c r="G17" s="6" t="s">
        <v>81</v>
      </c>
      <c r="H17" s="4" t="s">
        <v>36</v>
      </c>
      <c r="I17" s="4" t="s">
        <v>36</v>
      </c>
      <c r="J17" s="4" t="s">
        <v>36</v>
      </c>
      <c r="K17" s="6" t="s">
        <v>81</v>
      </c>
      <c r="L17" s="6" t="s">
        <v>81</v>
      </c>
      <c r="M17" s="6" t="s">
        <v>81</v>
      </c>
      <c r="N17" s="6" t="s">
        <v>81</v>
      </c>
      <c r="O17" s="6" t="s">
        <v>81</v>
      </c>
      <c r="P17" s="4" t="s">
        <v>36</v>
      </c>
      <c r="Q17" s="4" t="s">
        <v>36</v>
      </c>
      <c r="R17" s="4" t="s">
        <v>36</v>
      </c>
      <c r="S17" s="4" t="s">
        <v>36</v>
      </c>
      <c r="T17" s="4" t="s">
        <v>36</v>
      </c>
      <c r="U17" s="4"/>
      <c r="V17" s="4"/>
      <c r="W17" s="4"/>
      <c r="X17" s="4"/>
      <c r="Y17" s="4"/>
    </row>
    <row r="18" spans="1:39" ht="70.95" customHeight="1" x14ac:dyDescent="0.3">
      <c r="A18" s="9" t="s">
        <v>82</v>
      </c>
      <c r="B18" s="4" t="s">
        <v>36</v>
      </c>
      <c r="C18" s="4" t="s">
        <v>36</v>
      </c>
      <c r="D18" s="6" t="s">
        <v>83</v>
      </c>
      <c r="E18" s="6" t="s">
        <v>83</v>
      </c>
      <c r="F18" s="6" t="s">
        <v>83</v>
      </c>
      <c r="G18" s="6" t="s">
        <v>83</v>
      </c>
      <c r="H18" s="4" t="s">
        <v>36</v>
      </c>
      <c r="I18" s="4" t="s">
        <v>36</v>
      </c>
      <c r="J18" s="4" t="s">
        <v>36</v>
      </c>
      <c r="K18" s="6" t="s">
        <v>83</v>
      </c>
      <c r="L18" s="6" t="s">
        <v>83</v>
      </c>
      <c r="M18" s="6" t="s">
        <v>83</v>
      </c>
      <c r="N18" s="6" t="s">
        <v>83</v>
      </c>
      <c r="O18" s="6" t="s">
        <v>83</v>
      </c>
      <c r="P18" s="4" t="s">
        <v>36</v>
      </c>
      <c r="Q18" s="4" t="s">
        <v>36</v>
      </c>
      <c r="R18" s="4" t="s">
        <v>36</v>
      </c>
      <c r="S18" s="4" t="s">
        <v>36</v>
      </c>
      <c r="T18" s="4" t="s">
        <v>36</v>
      </c>
      <c r="U18" s="4"/>
      <c r="V18" s="4"/>
      <c r="W18" s="4"/>
      <c r="X18" s="4"/>
      <c r="Y18" s="4"/>
    </row>
    <row r="19" spans="1:39" ht="70.95" customHeight="1" x14ac:dyDescent="0.3">
      <c r="A19" s="9" t="s">
        <v>84</v>
      </c>
      <c r="B19" s="4" t="s">
        <v>36</v>
      </c>
      <c r="C19" s="4" t="s">
        <v>36</v>
      </c>
      <c r="D19" s="6" t="s">
        <v>85</v>
      </c>
      <c r="E19" s="6" t="s">
        <v>85</v>
      </c>
      <c r="F19" s="6" t="s">
        <v>85</v>
      </c>
      <c r="G19" s="6" t="s">
        <v>85</v>
      </c>
      <c r="H19" s="4" t="s">
        <v>36</v>
      </c>
      <c r="I19" s="4" t="s">
        <v>36</v>
      </c>
      <c r="J19" s="4" t="s">
        <v>36</v>
      </c>
      <c r="K19" s="4" t="s">
        <v>36</v>
      </c>
      <c r="L19" s="4" t="s">
        <v>36</v>
      </c>
      <c r="M19" s="4" t="s">
        <v>36</v>
      </c>
      <c r="N19" s="4" t="s">
        <v>36</v>
      </c>
      <c r="O19" s="4" t="s">
        <v>36</v>
      </c>
      <c r="P19" s="4" t="s">
        <v>36</v>
      </c>
      <c r="Q19" s="4" t="s">
        <v>36</v>
      </c>
      <c r="R19" s="4" t="s">
        <v>36</v>
      </c>
      <c r="S19" s="4" t="s">
        <v>36</v>
      </c>
      <c r="T19" s="4" t="s">
        <v>36</v>
      </c>
      <c r="U19" s="4"/>
      <c r="V19" s="4"/>
      <c r="W19" s="4"/>
      <c r="X19" s="4"/>
      <c r="Y19" s="4"/>
    </row>
    <row r="20" spans="1:39" ht="70.95" customHeight="1" x14ac:dyDescent="0.3">
      <c r="A20" s="9" t="s">
        <v>86</v>
      </c>
      <c r="B20" s="4" t="s">
        <v>36</v>
      </c>
      <c r="C20" s="4" t="s">
        <v>36</v>
      </c>
      <c r="D20" s="5" t="s">
        <v>87</v>
      </c>
      <c r="E20" s="5" t="s">
        <v>87</v>
      </c>
      <c r="F20" s="5" t="s">
        <v>87</v>
      </c>
      <c r="G20" s="5" t="s">
        <v>87</v>
      </c>
      <c r="H20" s="5" t="s">
        <v>87</v>
      </c>
      <c r="I20" s="4" t="s">
        <v>36</v>
      </c>
      <c r="J20" s="4" t="s">
        <v>36</v>
      </c>
      <c r="K20" s="4" t="s">
        <v>36</v>
      </c>
      <c r="L20" s="4" t="s">
        <v>36</v>
      </c>
      <c r="M20" s="4" t="s">
        <v>36</v>
      </c>
      <c r="N20" s="4" t="s">
        <v>36</v>
      </c>
      <c r="O20" s="4" t="s">
        <v>36</v>
      </c>
      <c r="P20" s="4" t="s">
        <v>36</v>
      </c>
      <c r="Q20" s="4" t="s">
        <v>36</v>
      </c>
      <c r="R20" s="4" t="s">
        <v>36</v>
      </c>
      <c r="S20" s="4" t="s">
        <v>36</v>
      </c>
      <c r="T20" s="4" t="s">
        <v>36</v>
      </c>
      <c r="U20" s="4"/>
      <c r="V20" s="4"/>
      <c r="W20" s="4"/>
      <c r="X20" s="4"/>
      <c r="Y20" s="4"/>
    </row>
    <row r="21" spans="1:39" ht="70.95" customHeight="1" x14ac:dyDescent="0.3">
      <c r="A21" s="9" t="s">
        <v>88</v>
      </c>
      <c r="B21" s="5" t="s">
        <v>89</v>
      </c>
      <c r="C21" s="5" t="s">
        <v>89</v>
      </c>
      <c r="D21" s="5" t="s">
        <v>89</v>
      </c>
      <c r="E21" s="5" t="s">
        <v>89</v>
      </c>
      <c r="F21" s="5" t="s">
        <v>89</v>
      </c>
      <c r="G21" s="5" t="s">
        <v>89</v>
      </c>
      <c r="H21" s="5" t="s">
        <v>89</v>
      </c>
      <c r="I21" s="5" t="s">
        <v>89</v>
      </c>
      <c r="J21" s="5" t="s">
        <v>89</v>
      </c>
      <c r="K21" s="5" t="s">
        <v>89</v>
      </c>
      <c r="L21" s="5" t="s">
        <v>89</v>
      </c>
      <c r="M21" s="4" t="s">
        <v>36</v>
      </c>
      <c r="N21" s="4" t="s">
        <v>36</v>
      </c>
      <c r="O21" s="4" t="s">
        <v>36</v>
      </c>
      <c r="P21" s="4" t="s">
        <v>36</v>
      </c>
      <c r="Q21" s="4" t="s">
        <v>36</v>
      </c>
      <c r="R21" s="4" t="s">
        <v>36</v>
      </c>
      <c r="S21" s="4" t="s">
        <v>36</v>
      </c>
      <c r="T21" s="4" t="s">
        <v>36</v>
      </c>
      <c r="U21" s="4"/>
      <c r="V21" s="4"/>
      <c r="W21" s="4"/>
      <c r="X21" s="4"/>
      <c r="Y21" s="4"/>
    </row>
    <row r="22" spans="1:39" ht="70.95" customHeight="1" x14ac:dyDescent="0.3">
      <c r="A22" s="9" t="s">
        <v>90</v>
      </c>
      <c r="B22" s="5" t="s">
        <v>91</v>
      </c>
      <c r="C22" s="5" t="s">
        <v>91</v>
      </c>
      <c r="D22" s="5" t="s">
        <v>91</v>
      </c>
      <c r="E22" s="5" t="s">
        <v>91</v>
      </c>
      <c r="F22" s="5" t="s">
        <v>91</v>
      </c>
      <c r="G22" s="5" t="s">
        <v>91</v>
      </c>
      <c r="H22" s="5" t="s">
        <v>91</v>
      </c>
      <c r="I22" s="4" t="s">
        <v>36</v>
      </c>
      <c r="J22" s="4" t="s">
        <v>36</v>
      </c>
      <c r="K22" s="5" t="s">
        <v>91</v>
      </c>
      <c r="L22" s="5" t="s">
        <v>91</v>
      </c>
      <c r="M22" s="4" t="s">
        <v>36</v>
      </c>
      <c r="N22" s="4" t="s">
        <v>36</v>
      </c>
      <c r="O22" s="4" t="s">
        <v>36</v>
      </c>
      <c r="P22" s="4" t="s">
        <v>36</v>
      </c>
      <c r="Q22" s="4" t="s">
        <v>36</v>
      </c>
      <c r="R22" s="4" t="s">
        <v>36</v>
      </c>
      <c r="S22" s="4" t="s">
        <v>36</v>
      </c>
      <c r="T22" s="4" t="s">
        <v>36</v>
      </c>
    </row>
    <row r="23" spans="1:39" ht="70.95" customHeight="1" x14ac:dyDescent="0.3">
      <c r="A23" s="9" t="s">
        <v>92</v>
      </c>
      <c r="B23" s="5" t="s">
        <v>93</v>
      </c>
      <c r="C23" s="5" t="s">
        <v>93</v>
      </c>
      <c r="D23" s="5" t="s">
        <v>93</v>
      </c>
      <c r="E23" s="5" t="s">
        <v>93</v>
      </c>
      <c r="F23" s="5" t="s">
        <v>93</v>
      </c>
      <c r="G23" s="5" t="s">
        <v>93</v>
      </c>
      <c r="H23" s="5" t="s">
        <v>93</v>
      </c>
      <c r="I23" s="5" t="s">
        <v>93</v>
      </c>
      <c r="J23" s="5" t="s">
        <v>93</v>
      </c>
      <c r="K23" s="5" t="s">
        <v>93</v>
      </c>
      <c r="L23" s="5" t="s">
        <v>93</v>
      </c>
      <c r="M23" s="4" t="s">
        <v>36</v>
      </c>
      <c r="N23" s="4" t="s">
        <v>36</v>
      </c>
      <c r="O23" s="4" t="s">
        <v>36</v>
      </c>
      <c r="P23" s="4" t="s">
        <v>36</v>
      </c>
      <c r="Q23" s="4" t="s">
        <v>36</v>
      </c>
      <c r="R23" s="4" t="s">
        <v>36</v>
      </c>
      <c r="S23" s="4" t="s">
        <v>36</v>
      </c>
      <c r="T23" s="4" t="s">
        <v>36</v>
      </c>
    </row>
    <row r="24" spans="1:39" ht="70.95" customHeight="1" x14ac:dyDescent="0.3">
      <c r="A24" s="9" t="s">
        <v>94</v>
      </c>
      <c r="B24" s="4" t="s">
        <v>36</v>
      </c>
      <c r="C24" s="4" t="s">
        <v>36</v>
      </c>
      <c r="D24" s="5" t="s">
        <v>95</v>
      </c>
      <c r="E24" s="5" t="s">
        <v>95</v>
      </c>
      <c r="F24" s="5" t="s">
        <v>95</v>
      </c>
      <c r="G24" s="5" t="s">
        <v>95</v>
      </c>
      <c r="H24" s="5" t="s">
        <v>95</v>
      </c>
      <c r="I24" s="4" t="s">
        <v>36</v>
      </c>
      <c r="J24" s="4" t="s">
        <v>36</v>
      </c>
      <c r="K24" s="5" t="s">
        <v>95</v>
      </c>
      <c r="L24" s="5" t="s">
        <v>95</v>
      </c>
      <c r="M24" s="4" t="s">
        <v>36</v>
      </c>
      <c r="N24" s="4" t="s">
        <v>36</v>
      </c>
      <c r="O24" s="4" t="s">
        <v>36</v>
      </c>
      <c r="P24" s="4" t="s">
        <v>36</v>
      </c>
      <c r="Q24" s="4" t="s">
        <v>36</v>
      </c>
      <c r="R24" s="4" t="s">
        <v>36</v>
      </c>
      <c r="S24" s="4" t="s">
        <v>36</v>
      </c>
      <c r="T24" s="4" t="s">
        <v>36</v>
      </c>
    </row>
    <row r="25" spans="1:39" ht="70.95" customHeight="1" x14ac:dyDescent="0.3">
      <c r="A25" s="9" t="s">
        <v>96</v>
      </c>
      <c r="B25" s="6" t="s">
        <v>97</v>
      </c>
      <c r="C25" s="6" t="s">
        <v>97</v>
      </c>
      <c r="D25" s="4" t="s">
        <v>36</v>
      </c>
      <c r="E25" s="4" t="s">
        <v>36</v>
      </c>
      <c r="F25" s="4" t="s">
        <v>36</v>
      </c>
      <c r="G25" s="4" t="s">
        <v>36</v>
      </c>
      <c r="H25" s="4" t="s">
        <v>36</v>
      </c>
      <c r="I25" s="4" t="s">
        <v>36</v>
      </c>
      <c r="J25" s="4" t="s">
        <v>36</v>
      </c>
      <c r="K25" s="4" t="s">
        <v>36</v>
      </c>
      <c r="L25" s="4" t="s">
        <v>36</v>
      </c>
      <c r="M25" s="4" t="s">
        <v>36</v>
      </c>
      <c r="N25" s="4" t="s">
        <v>36</v>
      </c>
      <c r="O25" s="4" t="s">
        <v>36</v>
      </c>
      <c r="P25" s="4" t="s">
        <v>36</v>
      </c>
      <c r="Q25" s="4" t="s">
        <v>36</v>
      </c>
      <c r="R25" s="4" t="s">
        <v>36</v>
      </c>
      <c r="S25" s="4" t="s">
        <v>36</v>
      </c>
      <c r="T25" s="4" t="s">
        <v>36</v>
      </c>
    </row>
    <row r="26" spans="1:39" ht="70.95" customHeight="1" x14ac:dyDescent="0.3">
      <c r="A26" s="9" t="s">
        <v>98</v>
      </c>
      <c r="B26" s="5" t="s">
        <v>99</v>
      </c>
      <c r="C26" s="5" t="s">
        <v>99</v>
      </c>
      <c r="D26" s="4" t="s">
        <v>36</v>
      </c>
      <c r="E26" s="4" t="s">
        <v>36</v>
      </c>
      <c r="F26" s="4" t="s">
        <v>36</v>
      </c>
      <c r="G26" s="4" t="s">
        <v>36</v>
      </c>
      <c r="H26" s="4" t="s">
        <v>36</v>
      </c>
      <c r="I26" s="4" t="s">
        <v>36</v>
      </c>
      <c r="J26" s="4" t="s">
        <v>36</v>
      </c>
      <c r="K26" s="4" t="s">
        <v>36</v>
      </c>
      <c r="L26" s="4" t="s">
        <v>36</v>
      </c>
      <c r="M26" s="4" t="s">
        <v>36</v>
      </c>
      <c r="N26" s="4" t="s">
        <v>36</v>
      </c>
      <c r="O26" s="4" t="s">
        <v>36</v>
      </c>
      <c r="P26" s="4" t="s">
        <v>36</v>
      </c>
      <c r="Q26" s="4" t="s">
        <v>36</v>
      </c>
      <c r="R26" s="4" t="s">
        <v>36</v>
      </c>
      <c r="S26" s="4" t="s">
        <v>36</v>
      </c>
      <c r="T26" s="4" t="s">
        <v>36</v>
      </c>
    </row>
    <row r="27" spans="1:39" ht="70.95" customHeight="1" x14ac:dyDescent="0.3">
      <c r="A27" s="9" t="s">
        <v>100</v>
      </c>
      <c r="B27" s="6" t="s">
        <v>101</v>
      </c>
      <c r="C27" s="6" t="s">
        <v>101</v>
      </c>
      <c r="D27" s="4" t="s">
        <v>36</v>
      </c>
      <c r="E27" s="4" t="s">
        <v>36</v>
      </c>
      <c r="F27" s="4" t="s">
        <v>36</v>
      </c>
      <c r="G27" s="4" t="s">
        <v>36</v>
      </c>
      <c r="H27" s="4" t="s">
        <v>36</v>
      </c>
      <c r="I27" s="4" t="s">
        <v>36</v>
      </c>
      <c r="J27" s="4" t="s">
        <v>36</v>
      </c>
      <c r="K27" s="6" t="s">
        <v>101</v>
      </c>
      <c r="L27" s="6" t="s">
        <v>101</v>
      </c>
      <c r="M27" s="6" t="s">
        <v>101</v>
      </c>
      <c r="N27" s="6" t="s">
        <v>101</v>
      </c>
      <c r="O27" s="6" t="s">
        <v>101</v>
      </c>
      <c r="P27" s="4" t="s">
        <v>36</v>
      </c>
      <c r="Q27" s="4" t="s">
        <v>36</v>
      </c>
      <c r="R27" s="4" t="s">
        <v>36</v>
      </c>
      <c r="S27" s="4" t="s">
        <v>36</v>
      </c>
      <c r="T27" s="4" t="s">
        <v>36</v>
      </c>
    </row>
    <row r="28" spans="1:39" ht="70.95" customHeight="1" x14ac:dyDescent="0.3">
      <c r="A28" s="9" t="s">
        <v>102</v>
      </c>
      <c r="B28" s="6" t="s">
        <v>103</v>
      </c>
      <c r="C28" s="6" t="s">
        <v>103</v>
      </c>
      <c r="D28" s="4" t="s">
        <v>36</v>
      </c>
      <c r="E28" s="4" t="s">
        <v>36</v>
      </c>
      <c r="F28" s="4" t="s">
        <v>36</v>
      </c>
      <c r="G28" s="4" t="s">
        <v>36</v>
      </c>
      <c r="H28" s="4" t="s">
        <v>36</v>
      </c>
      <c r="I28" s="6" t="s">
        <v>103</v>
      </c>
      <c r="J28" s="6" t="s">
        <v>103</v>
      </c>
      <c r="K28" s="6" t="s">
        <v>103</v>
      </c>
      <c r="L28" s="6" t="s">
        <v>103</v>
      </c>
      <c r="M28" s="6" t="s">
        <v>103</v>
      </c>
      <c r="N28" s="6" t="s">
        <v>103</v>
      </c>
      <c r="O28" s="6" t="s">
        <v>103</v>
      </c>
      <c r="P28" s="4" t="s">
        <v>36</v>
      </c>
      <c r="Q28" s="4" t="s">
        <v>36</v>
      </c>
      <c r="R28" s="4" t="s">
        <v>36</v>
      </c>
      <c r="S28" s="4" t="s">
        <v>36</v>
      </c>
      <c r="T28" s="4" t="s">
        <v>36</v>
      </c>
    </row>
    <row r="29" spans="1:39" ht="70.95" customHeight="1" x14ac:dyDescent="0.3">
      <c r="A29" s="9" t="s">
        <v>104</v>
      </c>
      <c r="B29" s="4" t="s">
        <v>36</v>
      </c>
      <c r="C29" s="4" t="s">
        <v>36</v>
      </c>
      <c r="D29" s="4" t="s">
        <v>36</v>
      </c>
      <c r="E29" s="4" t="s">
        <v>36</v>
      </c>
      <c r="F29" s="4" t="s">
        <v>36</v>
      </c>
      <c r="G29" s="4" t="s">
        <v>36</v>
      </c>
      <c r="H29" s="4" t="s">
        <v>36</v>
      </c>
      <c r="I29" s="5" t="s">
        <v>105</v>
      </c>
      <c r="J29" s="5" t="s">
        <v>105</v>
      </c>
      <c r="K29" s="4" t="s">
        <v>36</v>
      </c>
      <c r="L29" s="4" t="s">
        <v>36</v>
      </c>
      <c r="M29" s="4" t="s">
        <v>36</v>
      </c>
      <c r="N29" s="4" t="s">
        <v>36</v>
      </c>
      <c r="O29" s="4" t="s">
        <v>36</v>
      </c>
      <c r="P29" s="4" t="s">
        <v>36</v>
      </c>
      <c r="Q29" s="4" t="s">
        <v>36</v>
      </c>
      <c r="R29" s="4" t="s">
        <v>36</v>
      </c>
      <c r="S29" s="4" t="s">
        <v>36</v>
      </c>
      <c r="T29" s="4" t="s">
        <v>36</v>
      </c>
      <c r="U29"/>
      <c r="V29"/>
      <c r="W29"/>
      <c r="X29"/>
      <c r="Y29"/>
      <c r="AA29"/>
      <c r="AB29"/>
      <c r="AC29"/>
      <c r="AD29"/>
      <c r="AE29"/>
      <c r="AF29"/>
      <c r="AG29"/>
      <c r="AH29"/>
      <c r="AI29"/>
      <c r="AJ29"/>
      <c r="AK29"/>
      <c r="AL29"/>
      <c r="AM29"/>
    </row>
    <row r="30" spans="1:39" ht="70.95" customHeight="1" x14ac:dyDescent="0.3">
      <c r="A30" s="9" t="s">
        <v>106</v>
      </c>
      <c r="B30" s="4" t="s">
        <v>36</v>
      </c>
      <c r="C30" s="4" t="s">
        <v>36</v>
      </c>
      <c r="D30" s="4" t="s">
        <v>36</v>
      </c>
      <c r="E30" s="4" t="s">
        <v>36</v>
      </c>
      <c r="F30" s="4" t="s">
        <v>36</v>
      </c>
      <c r="G30" s="4" t="s">
        <v>36</v>
      </c>
      <c r="H30" s="4" t="s">
        <v>36</v>
      </c>
      <c r="I30" s="5" t="s">
        <v>107</v>
      </c>
      <c r="J30" s="5" t="s">
        <v>107</v>
      </c>
      <c r="K30" s="4" t="s">
        <v>36</v>
      </c>
      <c r="L30" s="4" t="s">
        <v>36</v>
      </c>
      <c r="M30" s="4" t="s">
        <v>36</v>
      </c>
      <c r="N30" s="4" t="s">
        <v>36</v>
      </c>
      <c r="O30" s="4" t="s">
        <v>36</v>
      </c>
      <c r="P30" s="4" t="s">
        <v>36</v>
      </c>
      <c r="Q30" s="4" t="s">
        <v>36</v>
      </c>
      <c r="R30" s="4" t="s">
        <v>36</v>
      </c>
      <c r="S30" s="4" t="s">
        <v>36</v>
      </c>
      <c r="T30" s="4" t="s">
        <v>36</v>
      </c>
      <c r="U30"/>
      <c r="V30"/>
      <c r="W30"/>
      <c r="X30"/>
      <c r="Y30"/>
      <c r="AA30"/>
      <c r="AB30"/>
      <c r="AC30"/>
      <c r="AD30"/>
      <c r="AE30"/>
      <c r="AF30"/>
      <c r="AG30"/>
      <c r="AH30"/>
      <c r="AI30"/>
      <c r="AJ30"/>
      <c r="AK30"/>
      <c r="AL30"/>
      <c r="AM30"/>
    </row>
    <row r="31" spans="1:39" ht="70.95" customHeight="1" x14ac:dyDescent="0.3">
      <c r="A31" s="9" t="s">
        <v>108</v>
      </c>
      <c r="B31" s="4" t="s">
        <v>36</v>
      </c>
      <c r="C31" s="4" t="s">
        <v>36</v>
      </c>
      <c r="D31" s="4" t="s">
        <v>36</v>
      </c>
      <c r="E31" s="4" t="s">
        <v>36</v>
      </c>
      <c r="F31" s="4" t="s">
        <v>36</v>
      </c>
      <c r="G31" s="4" t="s">
        <v>36</v>
      </c>
      <c r="H31" s="4" t="s">
        <v>36</v>
      </c>
      <c r="I31" s="4" t="s">
        <v>36</v>
      </c>
      <c r="J31" s="4" t="s">
        <v>36</v>
      </c>
      <c r="K31" s="4" t="s">
        <v>36</v>
      </c>
      <c r="L31" s="4" t="s">
        <v>36</v>
      </c>
      <c r="M31" s="4" t="s">
        <v>36</v>
      </c>
      <c r="N31" s="4" t="s">
        <v>36</v>
      </c>
      <c r="O31" s="4" t="s">
        <v>36</v>
      </c>
      <c r="P31" s="6" t="s">
        <v>109</v>
      </c>
      <c r="Q31" s="6" t="s">
        <v>109</v>
      </c>
      <c r="R31" s="4" t="s">
        <v>36</v>
      </c>
      <c r="S31" s="4" t="s">
        <v>36</v>
      </c>
      <c r="T31" s="6" t="s">
        <v>109</v>
      </c>
      <c r="U31"/>
      <c r="V31"/>
      <c r="W31"/>
      <c r="X31"/>
      <c r="Y31"/>
      <c r="AA31"/>
      <c r="AB31"/>
      <c r="AC31"/>
      <c r="AD31"/>
      <c r="AE31"/>
      <c r="AF31"/>
      <c r="AG31"/>
      <c r="AH31"/>
      <c r="AI31"/>
      <c r="AJ31"/>
      <c r="AK31"/>
      <c r="AL31"/>
      <c r="AM31"/>
    </row>
    <row r="32" spans="1:39" ht="70.95" customHeight="1" x14ac:dyDescent="0.3">
      <c r="A32" s="9" t="s">
        <v>110</v>
      </c>
      <c r="B32" s="4" t="s">
        <v>36</v>
      </c>
      <c r="C32" s="4" t="s">
        <v>36</v>
      </c>
      <c r="D32" s="4" t="s">
        <v>36</v>
      </c>
      <c r="E32" s="4" t="s">
        <v>36</v>
      </c>
      <c r="F32" s="4" t="s">
        <v>36</v>
      </c>
      <c r="G32" s="4" t="s">
        <v>36</v>
      </c>
      <c r="H32" s="4" t="s">
        <v>36</v>
      </c>
      <c r="I32" s="4" t="s">
        <v>36</v>
      </c>
      <c r="J32" s="4" t="s">
        <v>36</v>
      </c>
      <c r="K32" s="4" t="s">
        <v>36</v>
      </c>
      <c r="L32" s="4" t="s">
        <v>36</v>
      </c>
      <c r="M32" s="4" t="s">
        <v>36</v>
      </c>
      <c r="N32" s="4" t="s">
        <v>36</v>
      </c>
      <c r="O32" s="4" t="s">
        <v>36</v>
      </c>
      <c r="P32" s="6" t="s">
        <v>111</v>
      </c>
      <c r="Q32" s="4" t="s">
        <v>36</v>
      </c>
      <c r="R32" s="6" t="s">
        <v>111</v>
      </c>
      <c r="S32" s="4" t="s">
        <v>36</v>
      </c>
      <c r="T32" s="6" t="s">
        <v>111</v>
      </c>
      <c r="U32"/>
      <c r="V32"/>
      <c r="W32"/>
      <c r="X32"/>
      <c r="Y32"/>
      <c r="AA32"/>
      <c r="AB32"/>
      <c r="AC32"/>
      <c r="AD32"/>
      <c r="AE32"/>
      <c r="AF32"/>
      <c r="AG32"/>
      <c r="AH32"/>
      <c r="AI32"/>
      <c r="AJ32"/>
      <c r="AK32"/>
      <c r="AL32"/>
      <c r="AM32"/>
    </row>
    <row r="33" spans="1:39" ht="70.95" customHeight="1" x14ac:dyDescent="0.3">
      <c r="A33" s="9" t="s">
        <v>112</v>
      </c>
      <c r="B33" s="4" t="s">
        <v>36</v>
      </c>
      <c r="C33" s="4" t="s">
        <v>36</v>
      </c>
      <c r="D33" s="4" t="s">
        <v>36</v>
      </c>
      <c r="E33" s="4" t="s">
        <v>36</v>
      </c>
      <c r="F33" s="4" t="s">
        <v>36</v>
      </c>
      <c r="G33" s="4" t="s">
        <v>36</v>
      </c>
      <c r="H33" s="4" t="s">
        <v>36</v>
      </c>
      <c r="I33" s="4" t="s">
        <v>36</v>
      </c>
      <c r="J33" s="4" t="s">
        <v>36</v>
      </c>
      <c r="K33" s="4" t="s">
        <v>36</v>
      </c>
      <c r="L33" s="4" t="s">
        <v>36</v>
      </c>
      <c r="M33" s="4" t="s">
        <v>36</v>
      </c>
      <c r="N33" s="4" t="s">
        <v>36</v>
      </c>
      <c r="O33" s="4" t="s">
        <v>36</v>
      </c>
      <c r="P33" s="6" t="s">
        <v>113</v>
      </c>
      <c r="Q33" s="4" t="s">
        <v>36</v>
      </c>
      <c r="R33" s="6" t="s">
        <v>113</v>
      </c>
      <c r="S33" s="4" t="s">
        <v>36</v>
      </c>
      <c r="T33" s="6" t="s">
        <v>113</v>
      </c>
      <c r="U33"/>
      <c r="V33"/>
      <c r="W33"/>
      <c r="X33"/>
      <c r="Y33"/>
      <c r="AA33"/>
      <c r="AB33"/>
      <c r="AC33"/>
      <c r="AD33"/>
      <c r="AE33"/>
      <c r="AF33"/>
      <c r="AG33"/>
      <c r="AH33"/>
      <c r="AI33"/>
      <c r="AJ33"/>
      <c r="AK33"/>
      <c r="AL33"/>
      <c r="AM33"/>
    </row>
    <row r="34" spans="1:39" ht="70.95" customHeight="1" x14ac:dyDescent="0.3">
      <c r="A34" s="9" t="s">
        <v>114</v>
      </c>
      <c r="B34" s="4" t="s">
        <v>36</v>
      </c>
      <c r="C34" s="4" t="s">
        <v>36</v>
      </c>
      <c r="D34" s="4" t="s">
        <v>36</v>
      </c>
      <c r="E34" s="4" t="s">
        <v>36</v>
      </c>
      <c r="F34" s="4" t="s">
        <v>36</v>
      </c>
      <c r="G34" s="4" t="s">
        <v>36</v>
      </c>
      <c r="H34" s="4" t="s">
        <v>36</v>
      </c>
      <c r="I34" s="4" t="s">
        <v>36</v>
      </c>
      <c r="J34" s="4" t="s">
        <v>36</v>
      </c>
      <c r="K34" s="4" t="s">
        <v>36</v>
      </c>
      <c r="L34" s="4" t="s">
        <v>36</v>
      </c>
      <c r="M34" s="4" t="s">
        <v>36</v>
      </c>
      <c r="N34" s="4" t="s">
        <v>36</v>
      </c>
      <c r="O34" s="4" t="s">
        <v>36</v>
      </c>
      <c r="P34" s="6" t="s">
        <v>115</v>
      </c>
      <c r="Q34" s="4" t="s">
        <v>36</v>
      </c>
      <c r="R34" s="6" t="s">
        <v>115</v>
      </c>
      <c r="S34" s="4" t="s">
        <v>36</v>
      </c>
      <c r="T34" s="6" t="s">
        <v>115</v>
      </c>
      <c r="U34"/>
      <c r="V34"/>
      <c r="W34"/>
      <c r="X34"/>
      <c r="Y34"/>
      <c r="AA34"/>
      <c r="AB34"/>
      <c r="AC34"/>
      <c r="AD34"/>
      <c r="AE34"/>
      <c r="AF34"/>
      <c r="AG34"/>
      <c r="AH34"/>
      <c r="AI34"/>
      <c r="AJ34"/>
      <c r="AK34"/>
      <c r="AL34"/>
      <c r="AM34"/>
    </row>
    <row r="35" spans="1:39" ht="70.95" customHeight="1" x14ac:dyDescent="0.3">
      <c r="A35" s="9" t="s">
        <v>116</v>
      </c>
      <c r="B35" s="4" t="s">
        <v>36</v>
      </c>
      <c r="C35" s="4" t="s">
        <v>36</v>
      </c>
      <c r="D35" s="4" t="s">
        <v>36</v>
      </c>
      <c r="E35" s="4" t="s">
        <v>36</v>
      </c>
      <c r="F35" s="4" t="s">
        <v>36</v>
      </c>
      <c r="G35" s="4" t="s">
        <v>36</v>
      </c>
      <c r="H35" s="4" t="s">
        <v>36</v>
      </c>
      <c r="I35" s="4" t="s">
        <v>36</v>
      </c>
      <c r="J35" s="4" t="s">
        <v>36</v>
      </c>
      <c r="K35" s="4" t="s">
        <v>36</v>
      </c>
      <c r="L35" s="4" t="s">
        <v>36</v>
      </c>
      <c r="M35" s="4" t="s">
        <v>36</v>
      </c>
      <c r="N35" s="4" t="s">
        <v>36</v>
      </c>
      <c r="O35" s="4" t="s">
        <v>36</v>
      </c>
      <c r="P35" s="6" t="s">
        <v>117</v>
      </c>
      <c r="Q35" s="4" t="s">
        <v>36</v>
      </c>
      <c r="R35" s="4" t="s">
        <v>36</v>
      </c>
      <c r="S35" s="4" t="s">
        <v>36</v>
      </c>
      <c r="T35" s="6" t="s">
        <v>117</v>
      </c>
      <c r="U35"/>
      <c r="V35"/>
      <c r="W35"/>
      <c r="X35"/>
      <c r="Y35"/>
      <c r="AA35"/>
      <c r="AB35"/>
      <c r="AC35"/>
      <c r="AD35"/>
      <c r="AE35"/>
      <c r="AF35"/>
      <c r="AG35"/>
      <c r="AH35"/>
      <c r="AI35"/>
      <c r="AJ35"/>
      <c r="AK35"/>
      <c r="AL35"/>
      <c r="AM35"/>
    </row>
    <row r="36" spans="1:39" ht="70.95" customHeight="1" x14ac:dyDescent="0.3">
      <c r="A36" s="9" t="s">
        <v>118</v>
      </c>
      <c r="B36" s="4" t="s">
        <v>36</v>
      </c>
      <c r="C36" s="4" t="s">
        <v>36</v>
      </c>
      <c r="D36" s="4" t="s">
        <v>36</v>
      </c>
      <c r="E36" s="4" t="s">
        <v>36</v>
      </c>
      <c r="F36" s="4" t="s">
        <v>36</v>
      </c>
      <c r="G36" s="4" t="s">
        <v>36</v>
      </c>
      <c r="H36" s="4" t="s">
        <v>36</v>
      </c>
      <c r="I36" s="4" t="s">
        <v>36</v>
      </c>
      <c r="J36" s="4" t="s">
        <v>36</v>
      </c>
      <c r="K36" s="4" t="s">
        <v>36</v>
      </c>
      <c r="L36" s="4" t="s">
        <v>36</v>
      </c>
      <c r="M36" s="4" t="s">
        <v>36</v>
      </c>
      <c r="N36" s="4" t="s">
        <v>36</v>
      </c>
      <c r="O36" s="4" t="s">
        <v>36</v>
      </c>
      <c r="P36" s="4" t="s">
        <v>36</v>
      </c>
      <c r="Q36" s="4" t="s">
        <v>36</v>
      </c>
      <c r="R36" s="6" t="s">
        <v>119</v>
      </c>
      <c r="S36" s="4" t="s">
        <v>36</v>
      </c>
      <c r="T36" s="4" t="s">
        <v>36</v>
      </c>
      <c r="U36"/>
      <c r="V36"/>
      <c r="W36"/>
      <c r="X36"/>
      <c r="Y36"/>
      <c r="AA36"/>
      <c r="AB36"/>
      <c r="AC36"/>
      <c r="AD36"/>
      <c r="AE36"/>
      <c r="AF36"/>
      <c r="AG36"/>
      <c r="AH36"/>
      <c r="AI36"/>
      <c r="AJ36"/>
      <c r="AK36"/>
      <c r="AL36"/>
      <c r="AM36"/>
    </row>
    <row r="37" spans="1:39" ht="70.95" customHeight="1" x14ac:dyDescent="0.3">
      <c r="A37" s="9" t="s">
        <v>120</v>
      </c>
      <c r="B37" s="4" t="s">
        <v>36</v>
      </c>
      <c r="C37" s="4" t="s">
        <v>36</v>
      </c>
      <c r="D37" s="4" t="s">
        <v>36</v>
      </c>
      <c r="E37" s="4" t="s">
        <v>36</v>
      </c>
      <c r="F37" s="4" t="s">
        <v>36</v>
      </c>
      <c r="G37" s="4" t="s">
        <v>36</v>
      </c>
      <c r="H37" s="4" t="s">
        <v>36</v>
      </c>
      <c r="I37" s="4" t="s">
        <v>36</v>
      </c>
      <c r="J37" s="4" t="s">
        <v>36</v>
      </c>
      <c r="K37" s="4" t="s">
        <v>36</v>
      </c>
      <c r="L37" s="4" t="s">
        <v>36</v>
      </c>
      <c r="M37" s="4" t="s">
        <v>36</v>
      </c>
      <c r="N37" s="4" t="s">
        <v>36</v>
      </c>
      <c r="O37" s="4" t="s">
        <v>36</v>
      </c>
      <c r="P37" s="4" t="s">
        <v>36</v>
      </c>
      <c r="Q37" s="4" t="s">
        <v>36</v>
      </c>
      <c r="R37" s="4" t="s">
        <v>36</v>
      </c>
      <c r="S37" s="6" t="s">
        <v>121</v>
      </c>
      <c r="T37" s="4" t="s">
        <v>36</v>
      </c>
      <c r="U37"/>
      <c r="V37"/>
      <c r="W37"/>
      <c r="X37"/>
      <c r="Y37"/>
      <c r="AA37"/>
      <c r="AB37"/>
      <c r="AC37"/>
      <c r="AD37"/>
      <c r="AE37"/>
      <c r="AF37"/>
      <c r="AG37"/>
      <c r="AH37"/>
      <c r="AI37"/>
      <c r="AJ37"/>
      <c r="AK37"/>
      <c r="AL37"/>
      <c r="AM37"/>
    </row>
    <row r="38" spans="1:39" ht="70.95" customHeight="1" x14ac:dyDescent="0.3">
      <c r="A38" s="9" t="s">
        <v>122</v>
      </c>
      <c r="B38" s="4" t="s">
        <v>36</v>
      </c>
      <c r="C38" s="4" t="s">
        <v>36</v>
      </c>
      <c r="D38" s="4" t="s">
        <v>36</v>
      </c>
      <c r="E38" s="4" t="s">
        <v>36</v>
      </c>
      <c r="F38" s="4" t="s">
        <v>36</v>
      </c>
      <c r="G38" s="4" t="s">
        <v>36</v>
      </c>
      <c r="H38" s="4" t="s">
        <v>36</v>
      </c>
      <c r="I38" s="4" t="s">
        <v>36</v>
      </c>
      <c r="J38" s="4" t="s">
        <v>36</v>
      </c>
      <c r="K38" s="4" t="s">
        <v>36</v>
      </c>
      <c r="L38" s="4" t="s">
        <v>36</v>
      </c>
      <c r="M38" s="4" t="s">
        <v>36</v>
      </c>
      <c r="N38" s="4" t="s">
        <v>36</v>
      </c>
      <c r="O38" s="4" t="s">
        <v>36</v>
      </c>
      <c r="P38" s="4" t="s">
        <v>36</v>
      </c>
      <c r="Q38" s="4" t="s">
        <v>36</v>
      </c>
      <c r="R38" s="4" t="s">
        <v>36</v>
      </c>
      <c r="S38" s="6" t="s">
        <v>123</v>
      </c>
      <c r="T38" s="4" t="s">
        <v>36</v>
      </c>
    </row>
    <row r="39" spans="1:39" ht="70.95" customHeight="1" x14ac:dyDescent="0.3">
      <c r="A39" s="9" t="s">
        <v>124</v>
      </c>
      <c r="B39" s="4" t="s">
        <v>36</v>
      </c>
      <c r="C39" s="4" t="s">
        <v>36</v>
      </c>
      <c r="D39" s="4" t="s">
        <v>36</v>
      </c>
      <c r="E39" s="4" t="s">
        <v>36</v>
      </c>
      <c r="F39" s="4" t="s">
        <v>36</v>
      </c>
      <c r="G39" s="4" t="s">
        <v>36</v>
      </c>
      <c r="H39" s="4" t="s">
        <v>36</v>
      </c>
      <c r="I39" s="4" t="s">
        <v>36</v>
      </c>
      <c r="J39" s="4" t="s">
        <v>36</v>
      </c>
      <c r="K39" s="4" t="s">
        <v>36</v>
      </c>
      <c r="L39" s="4" t="s">
        <v>36</v>
      </c>
      <c r="M39" s="4" t="s">
        <v>36</v>
      </c>
      <c r="N39" s="4" t="s">
        <v>36</v>
      </c>
      <c r="O39" s="4" t="s">
        <v>36</v>
      </c>
      <c r="P39" s="4" t="s">
        <v>36</v>
      </c>
      <c r="Q39" s="4" t="s">
        <v>36</v>
      </c>
      <c r="R39" s="4" t="s">
        <v>36</v>
      </c>
      <c r="S39" s="4" t="s">
        <v>36</v>
      </c>
      <c r="T39" s="4" t="s">
        <v>36</v>
      </c>
    </row>
    <row r="40" spans="1:39" ht="70.95" customHeight="1" x14ac:dyDescent="0.3">
      <c r="A40" s="9" t="s">
        <v>125</v>
      </c>
      <c r="B40" s="4" t="s">
        <v>36</v>
      </c>
      <c r="C40" s="4" t="s">
        <v>36</v>
      </c>
      <c r="D40" s="4" t="s">
        <v>36</v>
      </c>
      <c r="E40" s="4" t="s">
        <v>36</v>
      </c>
      <c r="F40" s="4" t="s">
        <v>36</v>
      </c>
      <c r="G40" s="4" t="s">
        <v>36</v>
      </c>
      <c r="H40" s="4" t="s">
        <v>36</v>
      </c>
      <c r="I40" s="4" t="s">
        <v>36</v>
      </c>
      <c r="J40" s="4" t="s">
        <v>36</v>
      </c>
      <c r="K40" s="4" t="s">
        <v>36</v>
      </c>
      <c r="L40" s="4" t="s">
        <v>36</v>
      </c>
      <c r="M40" s="4" t="s">
        <v>36</v>
      </c>
      <c r="N40" s="4" t="s">
        <v>36</v>
      </c>
      <c r="O40" s="4" t="s">
        <v>36</v>
      </c>
      <c r="P40" s="4" t="s">
        <v>36</v>
      </c>
      <c r="Q40" s="4" t="s">
        <v>36</v>
      </c>
      <c r="R40" s="4" t="s">
        <v>36</v>
      </c>
      <c r="S40" s="6" t="s">
        <v>126</v>
      </c>
      <c r="T40" s="4" t="s">
        <v>36</v>
      </c>
    </row>
    <row r="41" spans="1:39" ht="70.95" customHeight="1" x14ac:dyDescent="0.3">
      <c r="A41" s="9" t="s">
        <v>127</v>
      </c>
      <c r="B41" s="4" t="s">
        <v>36</v>
      </c>
      <c r="C41" s="4" t="s">
        <v>36</v>
      </c>
      <c r="D41" s="4" t="s">
        <v>36</v>
      </c>
      <c r="E41" s="4" t="s">
        <v>36</v>
      </c>
      <c r="F41" s="4" t="s">
        <v>36</v>
      </c>
      <c r="G41" s="4" t="s">
        <v>36</v>
      </c>
      <c r="H41" s="4" t="s">
        <v>36</v>
      </c>
      <c r="I41" s="4" t="s">
        <v>36</v>
      </c>
      <c r="J41" s="4" t="s">
        <v>36</v>
      </c>
      <c r="K41" s="4" t="s">
        <v>36</v>
      </c>
      <c r="L41" s="4" t="s">
        <v>36</v>
      </c>
      <c r="M41" s="4" t="s">
        <v>36</v>
      </c>
      <c r="N41" s="4" t="s">
        <v>36</v>
      </c>
      <c r="O41" s="4" t="s">
        <v>36</v>
      </c>
      <c r="P41" s="4" t="s">
        <v>36</v>
      </c>
      <c r="Q41" s="4" t="s">
        <v>36</v>
      </c>
      <c r="R41" s="4" t="s">
        <v>36</v>
      </c>
      <c r="S41" s="6" t="s">
        <v>128</v>
      </c>
      <c r="T41" s="4" t="s">
        <v>36</v>
      </c>
    </row>
    <row r="42" spans="1:39" x14ac:dyDescent="0.3">
      <c r="T42" s="1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>
    <pageSetUpPr fitToPage="1"/>
  </sheetPr>
  <dimension ref="A1:AG128"/>
  <sheetViews>
    <sheetView tabSelected="1" zoomScaleNormal="100" workbookViewId="0">
      <selection activeCell="H9" sqref="H9"/>
    </sheetView>
  </sheetViews>
  <sheetFormatPr defaultRowHeight="14.4" x14ac:dyDescent="0.3"/>
  <cols>
    <col min="1" max="1" width="34.33203125" customWidth="1"/>
    <col min="2" max="2" width="34.5546875" customWidth="1"/>
    <col min="3" max="3" width="25.88671875" customWidth="1"/>
    <col min="4" max="5" width="20.6640625" customWidth="1"/>
    <col min="6" max="6" width="43" customWidth="1"/>
    <col min="7" max="7" width="20.6640625" customWidth="1"/>
    <col min="8" max="8" width="44.88671875" bestFit="1" customWidth="1"/>
    <col min="9" max="31" width="20.6640625" customWidth="1"/>
  </cols>
  <sheetData>
    <row r="1" spans="1:33" ht="30" customHeight="1" x14ac:dyDescent="0.3">
      <c r="A1" s="15" t="s">
        <v>129</v>
      </c>
      <c r="B1" s="16" t="s">
        <v>130</v>
      </c>
      <c r="C1" s="16" t="s">
        <v>131</v>
      </c>
      <c r="D1" s="16" t="s">
        <v>132</v>
      </c>
      <c r="E1" s="16" t="s">
        <v>133</v>
      </c>
      <c r="F1" s="212" t="s">
        <v>134</v>
      </c>
      <c r="G1" s="214"/>
      <c r="H1" s="195"/>
      <c r="N1" s="11"/>
      <c r="P1" s="11"/>
      <c r="R1" s="11"/>
      <c r="T1" s="11"/>
      <c r="V1" s="11"/>
      <c r="AA1" s="11"/>
      <c r="AB1" s="11"/>
      <c r="AC1" s="11"/>
      <c r="AD1" s="11"/>
      <c r="AE1" s="11"/>
      <c r="AF1" s="11"/>
      <c r="AG1" s="11"/>
    </row>
    <row r="2" spans="1:33" ht="30" customHeight="1" x14ac:dyDescent="0.3">
      <c r="A2" s="56" t="s">
        <v>228</v>
      </c>
      <c r="B2" s="57" t="s">
        <v>230</v>
      </c>
      <c r="C2" s="57" t="s">
        <v>136</v>
      </c>
      <c r="D2" s="57" t="s">
        <v>246</v>
      </c>
      <c r="E2" s="57" t="s">
        <v>240</v>
      </c>
      <c r="F2" s="213" t="s">
        <v>255</v>
      </c>
      <c r="G2" s="214"/>
      <c r="H2" s="195"/>
      <c r="AA2" s="11"/>
      <c r="AB2" s="11"/>
      <c r="AC2" s="11"/>
      <c r="AD2" s="11"/>
      <c r="AE2" s="11"/>
      <c r="AF2" s="11"/>
      <c r="AG2" s="11"/>
    </row>
    <row r="3" spans="1:33" ht="30" customHeight="1" x14ac:dyDescent="0.3">
      <c r="A3" s="13" t="s">
        <v>139</v>
      </c>
      <c r="B3" s="13" t="s">
        <v>140</v>
      </c>
      <c r="C3" s="13" t="s">
        <v>141</v>
      </c>
      <c r="D3" s="13"/>
      <c r="E3" s="13"/>
      <c r="F3" s="193" t="s">
        <v>378</v>
      </c>
      <c r="G3" s="214"/>
      <c r="H3" s="196"/>
      <c r="AA3" s="11"/>
      <c r="AB3" s="11"/>
      <c r="AC3" s="11"/>
      <c r="AD3" s="11"/>
      <c r="AE3" s="11"/>
      <c r="AF3" s="11"/>
      <c r="AG3" s="11"/>
    </row>
    <row r="4" spans="1:33" ht="158.69999999999999" customHeight="1" thickBot="1" x14ac:dyDescent="0.35">
      <c r="A4" s="57" t="s">
        <v>313</v>
      </c>
      <c r="B4" s="57" t="s">
        <v>313</v>
      </c>
      <c r="C4" s="57" t="s">
        <v>143</v>
      </c>
      <c r="D4" s="57"/>
      <c r="E4" s="57"/>
      <c r="F4" s="192" t="str">
        <f>A2&amp;"   "&amp;B2&amp;"   "&amp;C2&amp;"   "&amp;D2&amp;"   "&amp;E2&amp;"     "&amp;F2&amp;"   "&amp;A4&amp;"   "&amp;B4&amp;"   "&amp;C4&amp;"   "&amp;D4&amp;"   "&amp;E4</f>
        <v xml:space="preserve">LD 12   Schoolbus   Diesel   FPT    N67   235 kW – 1100 Nm 	   ZF EcoLite 6S1110BO     HANDE HDZ450 (i:4.778)   MARATON,HL 295/80/R22.5 154/149M   MARATON,HL 295/80/R22.5 154/149M   YOK      </v>
      </c>
      <c r="G4" s="220"/>
      <c r="H4" s="221"/>
      <c r="AA4" s="11"/>
      <c r="AB4" s="11"/>
      <c r="AC4" s="11"/>
      <c r="AD4" s="11"/>
      <c r="AE4" s="11"/>
      <c r="AF4" s="11"/>
      <c r="AG4" s="11"/>
    </row>
    <row r="5" spans="1:33" x14ac:dyDescent="0.3">
      <c r="A5" s="58"/>
      <c r="B5" s="59"/>
      <c r="C5" s="59"/>
      <c r="D5" s="59"/>
      <c r="E5" s="59"/>
      <c r="F5" s="60"/>
      <c r="G5" s="18"/>
      <c r="H5" s="19"/>
      <c r="AA5" s="11"/>
      <c r="AB5" s="11"/>
      <c r="AC5" s="11"/>
      <c r="AD5" s="11"/>
      <c r="AE5" s="11"/>
      <c r="AF5" s="11"/>
      <c r="AG5" s="11"/>
    </row>
    <row r="6" spans="1:33" ht="39.6" customHeight="1" thickBot="1" x14ac:dyDescent="0.35">
      <c r="A6" s="20" t="s">
        <v>144</v>
      </c>
      <c r="B6" s="13" t="s">
        <v>145</v>
      </c>
      <c r="C6" s="13" t="s">
        <v>146</v>
      </c>
      <c r="D6" s="13" t="s">
        <v>147</v>
      </c>
      <c r="E6" s="13" t="s">
        <v>148</v>
      </c>
      <c r="F6" s="20" t="s">
        <v>149</v>
      </c>
      <c r="G6" s="18"/>
      <c r="H6" s="61" t="s">
        <v>377</v>
      </c>
      <c r="AA6" s="11"/>
      <c r="AB6" s="11"/>
      <c r="AC6" s="11"/>
      <c r="AD6" s="11"/>
      <c r="AE6" s="11"/>
      <c r="AF6" s="11"/>
      <c r="AG6" s="11"/>
    </row>
    <row r="7" spans="1:33" ht="15" thickBot="1" x14ac:dyDescent="0.35">
      <c r="A7" s="17" t="str">
        <f>VLOOKUP(A2,'Component List'!A2:B19,2,FALSE)</f>
        <v>LD2</v>
      </c>
      <c r="B7" s="14" t="str">
        <f>VLOOKUP(B2,'Component List'!C2:D15,2,FALSE)</f>
        <v>SB0</v>
      </c>
      <c r="C7" s="14" t="str">
        <f>VLOOKUP(C2,'Component List'!E2:F20,2,FALSE)</f>
        <v>D</v>
      </c>
      <c r="D7" s="14">
        <f>VLOOKUP(D2,'Component List'!G2:H20,2,FALSE)</f>
        <v>301</v>
      </c>
      <c r="E7" s="14">
        <f>VLOOKUP(E2,'Component List'!I2:J25,2,FALSE)</f>
        <v>107</v>
      </c>
      <c r="F7" s="28">
        <f>VLOOKUP(F2,'Component List'!M2:N26,2,FALSE)</f>
        <v>203</v>
      </c>
      <c r="G7" s="18"/>
      <c r="H7" s="19"/>
      <c r="M7" s="12"/>
      <c r="N7" s="12"/>
      <c r="O7" s="12"/>
      <c r="P7" s="12"/>
      <c r="Q7" s="12"/>
      <c r="R7" s="12"/>
      <c r="S7" s="12"/>
      <c r="T7" s="12"/>
      <c r="AA7" s="11"/>
      <c r="AB7" s="11"/>
      <c r="AC7" s="11"/>
      <c r="AD7" s="11"/>
      <c r="AE7" s="11"/>
      <c r="AF7" s="11"/>
      <c r="AG7" s="11"/>
    </row>
    <row r="8" spans="1:33" x14ac:dyDescent="0.3">
      <c r="A8" s="13" t="s">
        <v>150</v>
      </c>
      <c r="B8" s="13" t="s">
        <v>151</v>
      </c>
      <c r="C8" s="20" t="s">
        <v>141</v>
      </c>
      <c r="D8" s="13" t="s">
        <v>152</v>
      </c>
      <c r="E8" s="13" t="s">
        <v>153</v>
      </c>
      <c r="F8" s="27" t="s">
        <v>154</v>
      </c>
      <c r="G8" s="21"/>
      <c r="H8" s="19"/>
      <c r="AA8" s="11"/>
      <c r="AB8" s="11"/>
      <c r="AC8" s="11"/>
      <c r="AD8" s="11"/>
      <c r="AE8" s="11"/>
      <c r="AF8" s="11"/>
      <c r="AG8" s="11"/>
    </row>
    <row r="9" spans="1:33" ht="26.7" customHeight="1" thickBot="1" x14ac:dyDescent="0.35">
      <c r="A9" s="29">
        <f>IF(A4='Component List'!S2,'Component List'!T2,IF(A4='Component List'!S3,'Component List'!T3,IF(A4='Component List'!S4,'Component List'!T4,IF(A4='Component List'!S5,'Component List'!T5,IF(A4='Component List'!S6,'Component List'!T6,IF(A4='Component List'!S7,'Component List'!T7,IF(A4='Component List'!S8,'Component List'!T8,IF(A4='Component List'!S9,'Component List'!T9,IF(A4='Component List'!S10,'Component List'!T10,IF(A4='Component List'!S11,'Component List'!T11,IF(A4='Component List'!S12,'Component List'!T12,IF(A4='Component List'!S13,'Component List'!T13,IF(A4='Component List'!S14,'Component List'!T14,IF(A4='Component List'!S15,'Component List'!T15,IF(A4='Component List'!S116,'Component List'!T16,IF(A4='Component List'!S17,'Component List'!T17,IF(A4='Component List'!S18,'Component List'!T18,IF(A4='Component List'!S19,'Component List'!T19,IF(A4='Component List'!S20,'Component List'!T20,IF(A4='Component List'!S21,'Component List'!T21,IF(A4='Component List'!S22,'Component List'!T22,IF(A4='Component List'!S23,'Component List'!T23,IF(A4='Component List'!S24,'Component List'!T24,IF(A4='Component List'!S25,'Component List'!T25,IF(A4='Component List'!S26,'Component List'!T26,IF(A4='Component List'!S27,'Component List'!T27,IF(A4='Component List'!S28,'Component List'!T28,IF(A4='Component List'!S29,'Component List'!T29,IF(A4='Component List'!T30,'Component List'!T30,'Component List'!T31)))))))))))))))))))))))))))))</f>
        <v>400</v>
      </c>
      <c r="B9" s="29">
        <f>IF(B4='Component List'!S2,'Component List'!T2,IF(B4='Component List'!S3,'Component List'!T3,IF(B4='Component List'!S4,'Component List'!T4,IF(B4='Component List'!S5,'Component List'!T5,IF(B4='Component List'!S6,'Component List'!T6,IF(B4='Component List'!S7,'Component List'!T7,IF(B4='Component List'!S8,'Component List'!T8,IF(B4='Component List'!S9,'Component List'!T9,IF(B4='Component List'!S10,'Component List'!T10,IF(B4='Component List'!S11,'Component List'!T11,IF(B4='Component List'!S12,'Component List'!T12,IF(B4='Component List'!S13,'Component List'!T13,IF(B4='Component List'!S14,'Component List'!T14,IF(B4='Component List'!S15,'Component List'!T15,IF(B4='Component List'!S116,'Component List'!T16,IF(B4='Component List'!S17,'Component List'!T17,IF(B4='Component List'!S18,'Component List'!T18,IF(B4='Component List'!S19,'Component List'!T19,IF(B4='Component List'!S20,'Component List'!T20,IF(B4='Component List'!S21,'Component List'!T21,IF(B4='Component List'!S22,'Component List'!T22,IF(B4='Component List'!S23,'Component List'!T23,IF(B4='Component List'!S24,'Component List'!T24,IF(B4='Component List'!S25,'Component List'!T25,IF(B4='Component List'!S26,'Component List'!T26,IF(B4='Component List'!S27,'Component List'!T27,IF(B4='Component List'!S28,'Component List'!T28,IF(B4='Component List'!S29,'Component List'!T29,IF(B4='Component List'!T30,'Component List'!T30,'Component List'!T31)))))))))))))))))))))))))))))</f>
        <v>400</v>
      </c>
      <c r="C9" s="28" t="str">
        <f>IF(C4='Component List'!W2,'Component List'!X2,IF(C4='Component List'!W3,'Component List'!X3,IF(C4='Component List'!W4,'Component List'!X4,IF(C4='Component List'!W5,'Component List'!X5,IF(C4='Component List'!W6,'Component List'!X6,IF(C4='Component List'!W7,'Component List'!X7,IF(C4='Component List'!W8,'Component List'!X8,IF(C4='Component List'!W9,'Component List'!X9,IF(C4='Component List'!W10,'Component List'!X10,IF(C4='Component List'!W11,'Component List'!X11,IF(C4='Component List'!W12,'Component List'!X12,IF(C4='Component List'!W13,'Component List'!X13,IF(C4='Component List'!W14,'Component List'!X14,IF(C4='Component List'!W15,'Component List'!X15,IF(C4='Component List'!W16,'Component List'!X16,IF(B4='Component List'!S116,'Component List'!T16,IF(B4='Component List'!S17,'Component List'!T17,IF(C4='Component List'!S18,'Component List'!T18,IF(C4='Component List'!S19,'Component List'!T19,IF(C4='Component List'!S20,'Component List'!T20,IF(C4='Component List'!S21,'Component List'!T21,IF(C4='Component List'!S22,'Component List'!T22,IF(C4='Component List'!S23,'Component List'!T23,IF(C4='Component List'!S24,'Component List'!T24,IF(C4='Component List'!S25,'Component List'!T25,IF(C4='Component List'!S26,'Component List'!T26,IF(C4='Component List'!S27,'Component List'!T27,IF(C4='Component List'!S28,'Component List'!T28,IF(C4='Component List'!S29,'Component List'!T29,IF(C4='Component List'!T30,'Component List'!T30,'Component List'!T31))))))))))))))))))))))))))))))</f>
        <v>000</v>
      </c>
      <c r="D9" s="28">
        <f>IF(D4='Component List'!Y2,'Component List'!Z2,IF(D4='Component List'!Y3,'Component List'!Z3,IF(D4='Component List'!Y4,'Component List'!Z4,IF(D4='Component List'!Y5,'Component List'!Z5,IF(D4='Component List'!Y6,'Component List'!Z6,IF(D4='Component List'!Y7,'Component List'!Z7,IF(D4='Component List'!Y8,'Component List'!Z8,IF(D4='Component List'!Y9,'Component List'!Z9,IF(D4='Component List'!Y10,'Component List'!Z10,IF(D4='Component List'!Y11,'Component List'!Z11,IF(D4='Component List'!Y12,'Component List'!Z12,IF(D4='Component List'!Y13,'Component List'!Z13,IF(D4='Component List'!Y14,'Component List'!Z14,IF(D4='Component List'!Y15,'Component List'!Z15,IF(C4='Component List'!T116,'Component List'!U16,IF(C4='Component List'!T17,'Component List'!U17,IF(D4='Component List'!T18,'Component List'!U18,IF(D4='Component List'!T19,'Component List'!U19,IF(D4='Component List'!T20,'Component List'!U20,IF(D4='Component List'!T21,'Component List'!U21,IF(D4='Component List'!T22,'Component List'!U22,IF(D4='Component List'!T23,'Component List'!U23,IF(D4='Component List'!T24,'Component List'!U24,IF(D4='Component List'!T25,'Component List'!U25,IF(D4='Component List'!T26,'Component List'!U26,IF(D4='Component List'!T27,'Component List'!U27,IF(D4='Component List'!T28,'Component List'!U28,IF(D4='Component List'!T29,'Component List'!U29,IF(D4='Component List'!U30,'Component List'!U30,'Component List'!U31)))))))))))))))))))))))))))))</f>
        <v>0</v>
      </c>
      <c r="E9" s="218">
        <f>IF(E4='Component List'!AA2,'Component List'!AB2,IF(E4='Component List'!AA3,'Component List'!AB3,IF(E4='Component List'!AA4,'Component List'!AB4,IF(E4='Component List'!AA5,'Component List'!AB5,IF(E4='Component List'!AA6,'Component List'!AB6,IF(E4='Component List'!AA7,'Component List'!AB7,IF(E4='Component List'!Y8,'Component List'!Z8,IF(E4='Component List'!Y9,'Component List'!Z9,IF(E4='Component List'!Y10,'Component List'!Z10,IF(E4='Component List'!Y11,'Component List'!Z11,IF(E4='Component List'!Y12,'Component List'!Z12,IF(E4='Component List'!Y13,'Component List'!Z13,IF(E4='Component List'!Y14,'Component List'!Z14,IF(E4='Component List'!Y15,'Component List'!Z15,IF(D4='Component List'!U116,'Component List'!V16,IF(D4='Component List'!U17,'Component List'!V17,IF(E4='Component List'!U18,'Component List'!V18,IF(E4='Component List'!U19,'Component List'!V19,IF(E4='Component List'!U20,'Component List'!V20,IF(E4='Component List'!U21,'Component List'!V21,IF(E4='Component List'!U22,'Component List'!V22,IF(E4='Component List'!U23,'Component List'!V23,IF(E4='Component List'!U24,'Component List'!V24,IF(E4='Component List'!U25,'Component List'!V25,IF(E4='Component List'!U26,'Component List'!V26,IF(E4='Component List'!U27,'Component List'!V27,IF(E4='Component List'!U28,'Component List'!V28,IF(E4='Component List'!U29,'Component List'!V29,IF(E4='Component List'!V30,'Component List'!V30,'Component List'!V31)))))))))))))))))))))))))))))</f>
        <v>0</v>
      </c>
      <c r="F9" s="61" t="str">
        <f>A7&amp;B7&amp;C7&amp;D7&amp;E7&amp;F7&amp;A9&amp;B9&amp;C9</f>
        <v>LD2SB0D301107203400400000</v>
      </c>
      <c r="G9" s="21"/>
      <c r="H9" s="19" t="s">
        <v>394</v>
      </c>
      <c r="AA9" s="11"/>
      <c r="AB9" s="11"/>
      <c r="AC9" s="11"/>
      <c r="AD9" s="11"/>
      <c r="AE9" s="11"/>
      <c r="AF9" s="11"/>
      <c r="AG9" s="11"/>
    </row>
    <row r="10" spans="1:33" ht="29.7" customHeight="1" x14ac:dyDescent="0.3">
      <c r="A10" s="21"/>
      <c r="B10" s="21"/>
      <c r="C10" s="21"/>
      <c r="D10" s="21"/>
      <c r="E10" s="219"/>
      <c r="F10" s="219"/>
      <c r="G10" s="219"/>
      <c r="H10" s="19"/>
      <c r="X10" s="11"/>
      <c r="Y10" s="11"/>
      <c r="Z10" s="11"/>
      <c r="AA10" s="11"/>
      <c r="AB10" s="11"/>
      <c r="AC10" s="11"/>
      <c r="AD10" s="11"/>
    </row>
    <row r="11" spans="1:33" ht="37.950000000000003" customHeight="1" x14ac:dyDescent="0.3">
      <c r="A11" s="21"/>
      <c r="B11" s="18"/>
      <c r="C11" s="21"/>
      <c r="D11" s="21"/>
      <c r="E11" s="219"/>
      <c r="F11" s="219"/>
      <c r="G11" s="219"/>
      <c r="H11" s="19"/>
      <c r="X11" s="11"/>
      <c r="Y11" s="11"/>
      <c r="Z11" s="11"/>
      <c r="AA11" s="11"/>
      <c r="AB11" s="11"/>
      <c r="AC11" s="11"/>
      <c r="AD11" s="11"/>
    </row>
    <row r="12" spans="1:33" x14ac:dyDescent="0.3">
      <c r="A12" s="22"/>
      <c r="B12" s="21"/>
      <c r="C12" s="21"/>
      <c r="D12" s="21"/>
      <c r="E12" s="21"/>
      <c r="F12" s="21"/>
      <c r="G12" s="21"/>
      <c r="H12" s="19"/>
      <c r="AA12" s="11"/>
      <c r="AB12" s="11"/>
      <c r="AC12" s="11"/>
      <c r="AD12" s="11"/>
      <c r="AE12" s="11"/>
      <c r="AF12" s="11"/>
      <c r="AG12" s="11"/>
    </row>
    <row r="13" spans="1:33" x14ac:dyDescent="0.3">
      <c r="A13" s="22"/>
      <c r="B13" s="21"/>
      <c r="C13" s="21"/>
      <c r="D13" s="21"/>
      <c r="E13" s="21"/>
      <c r="F13" s="21"/>
      <c r="G13" s="21"/>
      <c r="H13" s="19"/>
      <c r="AA13" s="11"/>
      <c r="AB13" s="11"/>
      <c r="AC13" s="11"/>
      <c r="AD13" s="11"/>
      <c r="AE13" s="11"/>
      <c r="AF13" s="11"/>
      <c r="AG13" s="11"/>
    </row>
    <row r="14" spans="1:33" x14ac:dyDescent="0.3">
      <c r="A14" s="23"/>
      <c r="B14" s="18"/>
      <c r="C14" s="18"/>
      <c r="D14" s="18"/>
      <c r="E14" s="18"/>
      <c r="F14" s="18"/>
      <c r="G14" s="18"/>
      <c r="H14" s="19"/>
      <c r="AA14" s="11"/>
      <c r="AB14" s="11"/>
      <c r="AC14" s="11"/>
      <c r="AD14" s="11"/>
      <c r="AE14" s="11"/>
      <c r="AF14" s="11"/>
      <c r="AG14" s="11"/>
    </row>
    <row r="15" spans="1:33" x14ac:dyDescent="0.3">
      <c r="A15" s="23"/>
      <c r="B15" s="18"/>
      <c r="C15" s="18"/>
      <c r="D15" s="18"/>
      <c r="E15" s="18"/>
      <c r="F15" s="18"/>
      <c r="G15" s="18"/>
      <c r="H15" s="19"/>
      <c r="AA15" s="11"/>
      <c r="AB15" s="11"/>
      <c r="AC15" s="11"/>
      <c r="AD15" s="11"/>
      <c r="AE15" s="11"/>
      <c r="AF15" s="11"/>
      <c r="AG15" s="11"/>
    </row>
    <row r="16" spans="1:33" x14ac:dyDescent="0.3">
      <c r="A16" s="23"/>
      <c r="B16" s="18"/>
      <c r="C16" s="18"/>
      <c r="D16" s="18"/>
      <c r="E16" s="18"/>
      <c r="F16" s="18"/>
      <c r="G16" s="18"/>
      <c r="H16" s="19"/>
      <c r="AA16" s="11"/>
      <c r="AB16" s="11"/>
      <c r="AC16" s="11"/>
      <c r="AD16" s="11"/>
      <c r="AE16" s="11"/>
      <c r="AF16" s="11"/>
      <c r="AG16" s="11"/>
    </row>
    <row r="17" spans="1:33" x14ac:dyDescent="0.3">
      <c r="A17" s="23"/>
      <c r="B17" s="18"/>
      <c r="C17" s="18"/>
      <c r="D17" s="18"/>
      <c r="E17" s="18"/>
      <c r="F17" s="18"/>
      <c r="G17" s="18"/>
      <c r="H17" s="19"/>
      <c r="AA17" s="11"/>
      <c r="AB17" s="11"/>
      <c r="AC17" s="11"/>
      <c r="AD17" s="11"/>
      <c r="AE17" s="11"/>
      <c r="AF17" s="11"/>
      <c r="AG17" s="11"/>
    </row>
    <row r="18" spans="1:33" ht="15" thickBot="1" x14ac:dyDescent="0.35">
      <c r="A18" s="24"/>
      <c r="B18" s="25"/>
      <c r="C18" s="25"/>
      <c r="D18" s="25"/>
      <c r="E18" s="25"/>
      <c r="F18" s="25"/>
      <c r="G18" s="25"/>
      <c r="H18" s="26"/>
      <c r="AA18" s="11"/>
      <c r="AB18" s="11"/>
      <c r="AC18" s="11"/>
      <c r="AD18" s="11"/>
      <c r="AE18" s="11"/>
      <c r="AF18" s="11"/>
      <c r="AG18" s="11"/>
    </row>
    <row r="19" spans="1:33" x14ac:dyDescent="0.3">
      <c r="AA19" s="11"/>
      <c r="AB19" s="11"/>
      <c r="AC19" s="11"/>
      <c r="AD19" s="11"/>
      <c r="AE19" s="11"/>
      <c r="AF19" s="11"/>
      <c r="AG19" s="11"/>
    </row>
    <row r="20" spans="1:33" x14ac:dyDescent="0.3">
      <c r="AA20" s="11"/>
      <c r="AB20" s="11"/>
      <c r="AC20" s="11"/>
      <c r="AD20" s="11"/>
      <c r="AE20" s="11"/>
      <c r="AF20" s="11"/>
      <c r="AG20" s="11"/>
    </row>
    <row r="21" spans="1:33" x14ac:dyDescent="0.3">
      <c r="AA21" s="11"/>
      <c r="AB21" s="11"/>
      <c r="AC21" s="11"/>
      <c r="AD21" s="11"/>
      <c r="AE21" s="11"/>
      <c r="AF21" s="11"/>
      <c r="AG21" s="11"/>
    </row>
    <row r="22" spans="1:33" x14ac:dyDescent="0.3">
      <c r="AA22" s="11"/>
      <c r="AB22" s="11"/>
      <c r="AC22" s="11"/>
      <c r="AD22" s="11"/>
      <c r="AE22" s="11"/>
      <c r="AF22" s="11"/>
      <c r="AG22" s="11"/>
    </row>
    <row r="23" spans="1:33" x14ac:dyDescent="0.3">
      <c r="AA23" s="11"/>
      <c r="AB23" s="11"/>
      <c r="AC23" s="11"/>
      <c r="AD23" s="11"/>
      <c r="AE23" s="11"/>
      <c r="AF23" s="11"/>
      <c r="AG23" s="11"/>
    </row>
    <row r="24" spans="1:33" x14ac:dyDescent="0.3">
      <c r="AA24" s="11"/>
      <c r="AB24" s="11"/>
      <c r="AC24" s="11"/>
      <c r="AD24" s="11"/>
      <c r="AE24" s="11"/>
      <c r="AF24" s="11"/>
      <c r="AG24" s="11"/>
    </row>
    <row r="25" spans="1:33" x14ac:dyDescent="0.3">
      <c r="AA25" s="11"/>
      <c r="AB25" s="11"/>
      <c r="AC25" s="11"/>
      <c r="AD25" s="11"/>
      <c r="AE25" s="11"/>
      <c r="AF25" s="11"/>
      <c r="AG25" s="11"/>
    </row>
    <row r="26" spans="1:33" x14ac:dyDescent="0.3">
      <c r="AA26" s="11"/>
      <c r="AB26" s="11"/>
      <c r="AC26" s="11"/>
      <c r="AD26" s="11"/>
      <c r="AE26" s="11"/>
      <c r="AF26" s="11"/>
      <c r="AG26" s="11"/>
    </row>
    <row r="27" spans="1:33" x14ac:dyDescent="0.3"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</row>
    <row r="28" spans="1:33" x14ac:dyDescent="0.3"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</row>
    <row r="29" spans="1:33" x14ac:dyDescent="0.3"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</row>
    <row r="30" spans="1:33" x14ac:dyDescent="0.3"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</row>
    <row r="31" spans="1:33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</row>
    <row r="32" spans="1:33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</row>
    <row r="33" spans="1:33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</row>
    <row r="34" spans="1:33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</row>
    <row r="35" spans="1:33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</row>
    <row r="36" spans="1:33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</row>
    <row r="37" spans="1:33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</row>
    <row r="38" spans="1:33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</row>
    <row r="39" spans="1:33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</row>
    <row r="40" spans="1:33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</row>
    <row r="41" spans="1:33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</row>
    <row r="42" spans="1:33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</row>
    <row r="43" spans="1:33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</row>
    <row r="44" spans="1:33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</row>
    <row r="45" spans="1:33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</row>
    <row r="46" spans="1:33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</row>
    <row r="47" spans="1:33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</row>
    <row r="48" spans="1:33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</row>
    <row r="49" spans="1:33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</row>
    <row r="50" spans="1:33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</row>
    <row r="51" spans="1:33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</row>
    <row r="52" spans="1:33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</row>
    <row r="53" spans="1:33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</row>
    <row r="54" spans="1:33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</row>
    <row r="55" spans="1:33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</row>
    <row r="56" spans="1:33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</row>
    <row r="57" spans="1:33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</row>
    <row r="58" spans="1:33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</row>
    <row r="59" spans="1:33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</row>
    <row r="60" spans="1:33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</row>
    <row r="61" spans="1:33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</row>
    <row r="62" spans="1:33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</row>
    <row r="63" spans="1:33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</row>
    <row r="64" spans="1:33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</row>
    <row r="65" spans="1:33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</row>
    <row r="66" spans="1:33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</row>
    <row r="67" spans="1:33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</row>
    <row r="68" spans="1:33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</row>
    <row r="69" spans="1:33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</row>
    <row r="70" spans="1:33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</row>
    <row r="71" spans="1:33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</row>
    <row r="72" spans="1:33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</row>
    <row r="73" spans="1:33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</row>
    <row r="74" spans="1:33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</row>
    <row r="75" spans="1:33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</row>
    <row r="76" spans="1:33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</row>
    <row r="77" spans="1:33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</row>
    <row r="78" spans="1:33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</row>
    <row r="79" spans="1:33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</row>
    <row r="80" spans="1:33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</row>
    <row r="81" spans="1:33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</row>
    <row r="82" spans="1:33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</row>
    <row r="83" spans="1:33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</row>
    <row r="84" spans="1:33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</row>
    <row r="85" spans="1:33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</row>
    <row r="86" spans="1:33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</row>
    <row r="87" spans="1:33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</row>
    <row r="88" spans="1:33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</row>
    <row r="89" spans="1:33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</row>
    <row r="90" spans="1:33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</row>
    <row r="91" spans="1:33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</row>
    <row r="92" spans="1:33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</row>
    <row r="93" spans="1:33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</row>
    <row r="94" spans="1:33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</row>
    <row r="95" spans="1:33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</row>
    <row r="96" spans="1:33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</row>
    <row r="97" spans="1:33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</row>
    <row r="98" spans="1:33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</row>
    <row r="99" spans="1:33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</row>
    <row r="100" spans="1:33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</row>
    <row r="101" spans="1:33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</row>
    <row r="102" spans="1:33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</row>
    <row r="103" spans="1:33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</row>
    <row r="104" spans="1:33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</row>
    <row r="105" spans="1:33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</row>
    <row r="106" spans="1:33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:33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:33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</row>
    <row r="109" spans="1:33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</row>
    <row r="110" spans="1:33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</row>
    <row r="111" spans="1:33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</row>
    <row r="112" spans="1:33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</row>
    <row r="113" spans="1:33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</row>
    <row r="114" spans="1:33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</row>
    <row r="115" spans="1:33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</row>
    <row r="116" spans="1:33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</row>
    <row r="117" spans="1:33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</row>
    <row r="118" spans="1:33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</row>
    <row r="119" spans="1:33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</row>
    <row r="120" spans="1:33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</row>
    <row r="121" spans="1:33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</row>
    <row r="122" spans="1:33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</row>
    <row r="123" spans="1:33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</row>
    <row r="124" spans="1:33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</row>
    <row r="125" spans="1:33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</row>
    <row r="126" spans="1:33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</row>
    <row r="127" spans="1:33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</row>
    <row r="128" spans="1:33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</row>
  </sheetData>
  <phoneticPr fontId="8" type="noConversion"/>
  <pageMargins left="0.7" right="0.7" top="0.75" bottom="0.75" header="0.3" footer="0.3"/>
  <pageSetup scale="6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Copy">
                <anchor moveWithCells="1" sizeWithCells="1">
                  <from>
                    <xdr:col>6</xdr:col>
                    <xdr:colOff>358140</xdr:colOff>
                    <xdr:row>5</xdr:row>
                    <xdr:rowOff>144780</xdr:rowOff>
                  </from>
                  <to>
                    <xdr:col>6</xdr:col>
                    <xdr:colOff>1196340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'Component List'!$E$2:$E$6</xm:f>
          </x14:formula1>
          <xm:sqref>C2</xm:sqref>
        </x14:dataValidation>
        <x14:dataValidation type="list" allowBlank="1" showInputMessage="1" showErrorMessage="1">
          <x14:formula1>
            <xm:f>'Component List'!$S$2:$S$28</xm:f>
          </x14:formula1>
          <xm:sqref>A4</xm:sqref>
        </x14:dataValidation>
        <x14:dataValidation type="list" allowBlank="1" showInputMessage="1" showErrorMessage="1">
          <x14:formula1>
            <xm:f>'Component List'!$U$2:$U$37</xm:f>
          </x14:formula1>
          <xm:sqref>B4</xm:sqref>
        </x14:dataValidation>
        <x14:dataValidation type="list" allowBlank="1" showInputMessage="1" showErrorMessage="1">
          <x14:formula1>
            <xm:f>'Component List'!$O$3:$O$15</xm:f>
          </x14:formula1>
          <xm:sqref>H2</xm:sqref>
        </x14:dataValidation>
        <x14:dataValidation type="list" allowBlank="1" showInputMessage="1" showErrorMessage="1">
          <x14:formula1>
            <xm:f>'Component List'!$Y$2:$Y$3</xm:f>
          </x14:formula1>
          <xm:sqref>D4</xm:sqref>
        </x14:dataValidation>
        <x14:dataValidation type="list" allowBlank="1" showInputMessage="1" showErrorMessage="1">
          <x14:formula1>
            <xm:f>'Component List'!$AA$2:$AA$4</xm:f>
          </x14:formula1>
          <xm:sqref>E4</xm:sqref>
        </x14:dataValidation>
        <x14:dataValidation type="list" allowBlank="1" showInputMessage="1" showErrorMessage="1">
          <x14:formula1>
            <xm:f>'Component List'!$G$2:$G$19</xm:f>
          </x14:formula1>
          <xm:sqref>D2</xm:sqref>
        </x14:dataValidation>
        <x14:dataValidation type="list" allowBlank="1" showInputMessage="1" showErrorMessage="1">
          <x14:formula1>
            <xm:f>'Component List'!$I$2:$I$20</xm:f>
          </x14:formula1>
          <xm:sqref>E2</xm:sqref>
        </x14:dataValidation>
        <x14:dataValidation type="list" errorStyle="warning" allowBlank="1" showInputMessage="1" showErrorMessage="1" error="No Vehicle Model !" promptTitle="Vehicle Model" prompt="Choose a vehicle model_x000a_">
          <x14:formula1>
            <xm:f>'Component List'!$A$2:$A$19</xm:f>
          </x14:formula1>
          <xm:sqref>A2</xm:sqref>
        </x14:dataValidation>
        <x14:dataValidation type="list" allowBlank="1" showInputMessage="1" showErrorMessage="1">
          <x14:formula1>
            <xm:f>'Component List'!$W$2:$W$29</xm:f>
          </x14:formula1>
          <xm:sqref>C4</xm:sqref>
        </x14:dataValidation>
        <x14:dataValidation type="list" allowBlank="1" showInputMessage="1" showErrorMessage="1">
          <x14:formula1>
            <xm:f>'Component List'!$M$2:$M$23</xm:f>
          </x14:formula1>
          <xm:sqref>F2</xm:sqref>
        </x14:dataValidation>
        <x14:dataValidation type="list" allowBlank="1" showInputMessage="1" showErrorMessage="1">
          <x14:formula1>
            <xm:f>'Component List'!$C$2:$C$11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AB4670"/>
  <sheetViews>
    <sheetView topLeftCell="N1" zoomScale="85" zoomScaleNormal="85" workbookViewId="0">
      <selection activeCell="S7" sqref="S7"/>
    </sheetView>
  </sheetViews>
  <sheetFormatPr defaultColWidth="8.6640625" defaultRowHeight="14.4" x14ac:dyDescent="0.3"/>
  <cols>
    <col min="1" max="1" width="30.6640625" style="30" customWidth="1"/>
    <col min="2" max="2" width="30.6640625" style="11" customWidth="1"/>
    <col min="3" max="3" width="30.6640625" style="30" customWidth="1"/>
    <col min="4" max="4" width="30.6640625" style="11" customWidth="1"/>
    <col min="5" max="5" width="30.6640625" style="30" customWidth="1"/>
    <col min="6" max="6" width="30.6640625" style="11" customWidth="1"/>
    <col min="7" max="7" width="30.6640625" style="30" customWidth="1"/>
    <col min="8" max="8" width="30.6640625" style="11" customWidth="1"/>
    <col min="9" max="9" width="30.6640625" style="30" customWidth="1"/>
    <col min="10" max="10" width="30.6640625" style="11" customWidth="1"/>
    <col min="11" max="11" width="30.6640625" style="30" customWidth="1"/>
    <col min="12" max="12" width="30.6640625" style="11" customWidth="1"/>
    <col min="13" max="13" width="30.6640625" style="30" customWidth="1"/>
    <col min="14" max="14" width="30.6640625" style="11" customWidth="1"/>
    <col min="15" max="15" width="30.6640625" style="30" customWidth="1"/>
    <col min="16" max="16" width="30.6640625" style="11" customWidth="1"/>
    <col min="17" max="17" width="30.6640625" style="30" customWidth="1"/>
    <col min="18" max="18" width="30.6640625" style="11" customWidth="1"/>
    <col min="19" max="19" width="40.33203125" style="30" customWidth="1"/>
    <col min="20" max="20" width="30.6640625" style="11" customWidth="1"/>
    <col min="21" max="21" width="30.6640625" style="30" customWidth="1"/>
    <col min="22" max="34" width="30.6640625" style="11" customWidth="1"/>
    <col min="35" max="16384" width="8.6640625" style="11"/>
  </cols>
  <sheetData>
    <row r="1" spans="1:28" ht="30" customHeight="1" thickBot="1" x14ac:dyDescent="0.35">
      <c r="A1" s="39" t="s">
        <v>129</v>
      </c>
      <c r="B1" s="40" t="s">
        <v>144</v>
      </c>
      <c r="C1" s="41" t="s">
        <v>155</v>
      </c>
      <c r="D1" s="40" t="s">
        <v>156</v>
      </c>
      <c r="E1" s="41" t="s">
        <v>157</v>
      </c>
      <c r="F1" s="40" t="s">
        <v>158</v>
      </c>
      <c r="G1" s="41" t="s">
        <v>132</v>
      </c>
      <c r="H1" s="40" t="s">
        <v>147</v>
      </c>
      <c r="I1" s="41" t="s">
        <v>133</v>
      </c>
      <c r="J1" s="40" t="s">
        <v>148</v>
      </c>
      <c r="K1" s="41" t="s">
        <v>159</v>
      </c>
      <c r="L1" s="40" t="s">
        <v>160</v>
      </c>
      <c r="M1" s="41" t="s">
        <v>134</v>
      </c>
      <c r="N1" s="40" t="s">
        <v>149</v>
      </c>
      <c r="O1" s="63" t="s">
        <v>161</v>
      </c>
      <c r="P1" s="40" t="s">
        <v>162</v>
      </c>
      <c r="Q1" s="63" t="s">
        <v>163</v>
      </c>
      <c r="R1" s="40" t="s">
        <v>164</v>
      </c>
      <c r="S1" s="41" t="s">
        <v>139</v>
      </c>
      <c r="T1" s="40" t="s">
        <v>150</v>
      </c>
      <c r="U1" s="41" t="s">
        <v>140</v>
      </c>
      <c r="V1" s="42" t="s">
        <v>151</v>
      </c>
      <c r="W1" s="63" t="s">
        <v>141</v>
      </c>
      <c r="X1" s="40" t="s">
        <v>165</v>
      </c>
      <c r="Y1" s="41" t="s">
        <v>152</v>
      </c>
      <c r="Z1" s="40" t="s">
        <v>152</v>
      </c>
      <c r="AA1" s="41" t="s">
        <v>153</v>
      </c>
      <c r="AB1" s="42" t="s">
        <v>153</v>
      </c>
    </row>
    <row r="2" spans="1:28" ht="45" customHeight="1" thickBot="1" x14ac:dyDescent="0.35">
      <c r="A2" s="43" t="s">
        <v>166</v>
      </c>
      <c r="B2" s="143" t="s">
        <v>167</v>
      </c>
      <c r="C2" s="45" t="s">
        <v>168</v>
      </c>
      <c r="D2" s="143" t="s">
        <v>168</v>
      </c>
      <c r="E2" s="45" t="s">
        <v>136</v>
      </c>
      <c r="F2" s="143" t="s">
        <v>169</v>
      </c>
      <c r="G2" s="46" t="s">
        <v>170</v>
      </c>
      <c r="H2" s="143">
        <v>100</v>
      </c>
      <c r="I2" s="45" t="s">
        <v>171</v>
      </c>
      <c r="J2" s="146">
        <v>100</v>
      </c>
      <c r="K2" s="47" t="s">
        <v>172</v>
      </c>
      <c r="L2" s="143">
        <v>100</v>
      </c>
      <c r="M2" s="47" t="s">
        <v>138</v>
      </c>
      <c r="N2" s="146">
        <v>100</v>
      </c>
      <c r="O2" s="30" t="s">
        <v>143</v>
      </c>
      <c r="P2" s="150" t="s">
        <v>173</v>
      </c>
      <c r="Q2" s="62" t="s">
        <v>143</v>
      </c>
      <c r="R2" s="150" t="s">
        <v>173</v>
      </c>
      <c r="S2" s="183" t="s">
        <v>392</v>
      </c>
      <c r="T2" s="143">
        <v>100</v>
      </c>
      <c r="U2" s="183" t="s">
        <v>392</v>
      </c>
      <c r="V2" s="143">
        <v>100</v>
      </c>
      <c r="W2" s="11" t="s">
        <v>143</v>
      </c>
      <c r="X2" s="215" t="s">
        <v>173</v>
      </c>
      <c r="Y2" s="46" t="s">
        <v>175</v>
      </c>
      <c r="Z2" s="143" t="s">
        <v>176</v>
      </c>
      <c r="AA2" s="46">
        <v>1</v>
      </c>
      <c r="AB2" s="151">
        <v>1</v>
      </c>
    </row>
    <row r="3" spans="1:28" ht="45" customHeight="1" x14ac:dyDescent="0.3">
      <c r="A3" s="49" t="s">
        <v>135</v>
      </c>
      <c r="B3" s="144" t="s">
        <v>177</v>
      </c>
      <c r="C3" s="32" t="s">
        <v>191</v>
      </c>
      <c r="D3" s="145" t="s">
        <v>192</v>
      </c>
      <c r="E3" s="32" t="s">
        <v>180</v>
      </c>
      <c r="F3" s="144" t="s">
        <v>181</v>
      </c>
      <c r="G3" s="33" t="s">
        <v>182</v>
      </c>
      <c r="H3" s="144">
        <v>101</v>
      </c>
      <c r="I3" s="32" t="s">
        <v>41</v>
      </c>
      <c r="J3" s="144">
        <v>101</v>
      </c>
      <c r="K3" s="34" t="s">
        <v>183</v>
      </c>
      <c r="L3" s="144">
        <v>101</v>
      </c>
      <c r="M3" s="34" t="s">
        <v>184</v>
      </c>
      <c r="N3" s="147">
        <v>101</v>
      </c>
      <c r="O3" s="32" t="s">
        <v>185</v>
      </c>
      <c r="P3" s="144">
        <v>200</v>
      </c>
      <c r="Q3" s="32" t="s">
        <v>186</v>
      </c>
      <c r="R3" s="144">
        <v>200</v>
      </c>
      <c r="S3" s="183" t="s">
        <v>391</v>
      </c>
      <c r="T3" s="144">
        <v>101</v>
      </c>
      <c r="U3" s="183" t="s">
        <v>391</v>
      </c>
      <c r="V3" s="144">
        <v>101</v>
      </c>
      <c r="W3" s="183" t="s">
        <v>174</v>
      </c>
      <c r="X3" s="143">
        <v>100</v>
      </c>
      <c r="Y3" s="33" t="s">
        <v>187</v>
      </c>
      <c r="Z3" s="144" t="s">
        <v>188</v>
      </c>
      <c r="AA3" s="33">
        <v>2</v>
      </c>
      <c r="AB3" s="152">
        <v>2</v>
      </c>
    </row>
    <row r="4" spans="1:28" ht="45" customHeight="1" x14ac:dyDescent="0.3">
      <c r="A4" s="49" t="s">
        <v>189</v>
      </c>
      <c r="B4" s="144" t="s">
        <v>190</v>
      </c>
      <c r="C4" s="32" t="s">
        <v>21</v>
      </c>
      <c r="D4" s="144" t="s">
        <v>213</v>
      </c>
      <c r="E4" s="36" t="s">
        <v>193</v>
      </c>
      <c r="F4" s="144" t="s">
        <v>194</v>
      </c>
      <c r="G4" s="33" t="s">
        <v>137</v>
      </c>
      <c r="H4" s="144">
        <v>102</v>
      </c>
      <c r="I4" s="32" t="s">
        <v>195</v>
      </c>
      <c r="J4" s="147">
        <v>102</v>
      </c>
      <c r="K4" s="34" t="s">
        <v>196</v>
      </c>
      <c r="L4" s="144">
        <v>102</v>
      </c>
      <c r="M4" s="33" t="s">
        <v>197</v>
      </c>
      <c r="N4" s="147">
        <v>102</v>
      </c>
      <c r="O4" s="32" t="s">
        <v>198</v>
      </c>
      <c r="P4" s="147">
        <v>100</v>
      </c>
      <c r="Q4" s="32" t="s">
        <v>199</v>
      </c>
      <c r="R4" s="144">
        <v>201</v>
      </c>
      <c r="S4" s="183" t="s">
        <v>390</v>
      </c>
      <c r="T4" s="144">
        <v>102</v>
      </c>
      <c r="U4" s="183" t="s">
        <v>390</v>
      </c>
      <c r="V4" s="144">
        <v>102</v>
      </c>
      <c r="W4" s="183" t="s">
        <v>142</v>
      </c>
      <c r="X4" s="144">
        <v>101</v>
      </c>
      <c r="Y4" s="33"/>
      <c r="Z4" s="31"/>
      <c r="AA4" s="33">
        <v>3</v>
      </c>
      <c r="AB4" s="152">
        <v>3</v>
      </c>
    </row>
    <row r="5" spans="1:28" ht="45" customHeight="1" x14ac:dyDescent="0.3">
      <c r="A5" s="49" t="s">
        <v>201</v>
      </c>
      <c r="B5" s="144" t="s">
        <v>202</v>
      </c>
      <c r="C5" s="32" t="s">
        <v>223</v>
      </c>
      <c r="D5" s="144" t="s">
        <v>224</v>
      </c>
      <c r="E5" s="32" t="s">
        <v>204</v>
      </c>
      <c r="F5" s="144" t="s">
        <v>205</v>
      </c>
      <c r="G5" s="33" t="s">
        <v>206</v>
      </c>
      <c r="H5" s="144">
        <v>200</v>
      </c>
      <c r="I5" s="32" t="s">
        <v>207</v>
      </c>
      <c r="J5" s="144">
        <v>103</v>
      </c>
      <c r="K5" s="34" t="s">
        <v>55</v>
      </c>
      <c r="L5" s="144">
        <v>200</v>
      </c>
      <c r="M5" s="34" t="s">
        <v>208</v>
      </c>
      <c r="N5" s="147">
        <v>103</v>
      </c>
      <c r="O5" s="32"/>
      <c r="P5" s="31"/>
      <c r="Q5" s="32" t="s">
        <v>209</v>
      </c>
      <c r="R5" s="147">
        <v>100</v>
      </c>
      <c r="S5" s="183" t="s">
        <v>210</v>
      </c>
      <c r="T5" s="144">
        <v>103</v>
      </c>
      <c r="U5" s="183" t="s">
        <v>210</v>
      </c>
      <c r="V5" s="144">
        <v>103</v>
      </c>
      <c r="W5" s="183" t="s">
        <v>200</v>
      </c>
      <c r="X5" s="144">
        <v>102</v>
      </c>
      <c r="Y5" s="33"/>
      <c r="Z5" s="31"/>
      <c r="AA5" s="33"/>
      <c r="AB5" s="50"/>
    </row>
    <row r="6" spans="1:28" ht="45" customHeight="1" x14ac:dyDescent="0.3">
      <c r="A6" s="49" t="s">
        <v>211</v>
      </c>
      <c r="B6" s="144" t="s">
        <v>212</v>
      </c>
      <c r="C6" s="32" t="s">
        <v>230</v>
      </c>
      <c r="D6" s="144" t="s">
        <v>231</v>
      </c>
      <c r="E6" s="32" t="s">
        <v>214</v>
      </c>
      <c r="F6" s="144" t="s">
        <v>215</v>
      </c>
      <c r="G6" s="33" t="s">
        <v>216</v>
      </c>
      <c r="H6" s="144">
        <v>201</v>
      </c>
      <c r="I6" s="32" t="s">
        <v>47</v>
      </c>
      <c r="J6" s="144">
        <v>104</v>
      </c>
      <c r="K6" s="32" t="s">
        <v>217</v>
      </c>
      <c r="L6" s="145" t="s">
        <v>173</v>
      </c>
      <c r="M6" s="32" t="s">
        <v>218</v>
      </c>
      <c r="N6" s="147">
        <v>104</v>
      </c>
      <c r="O6" s="32"/>
      <c r="P6" s="31"/>
      <c r="Q6" s="32" t="s">
        <v>219</v>
      </c>
      <c r="R6" s="147">
        <v>101</v>
      </c>
      <c r="S6" s="184" t="s">
        <v>393</v>
      </c>
      <c r="T6" s="144">
        <v>104</v>
      </c>
      <c r="U6" s="184" t="s">
        <v>220</v>
      </c>
      <c r="V6" s="144">
        <v>104</v>
      </c>
      <c r="W6" s="183" t="s">
        <v>210</v>
      </c>
      <c r="X6" s="144">
        <v>103</v>
      </c>
      <c r="Y6" s="33"/>
      <c r="Z6" s="31"/>
      <c r="AA6" s="33"/>
      <c r="AB6" s="50"/>
    </row>
    <row r="7" spans="1:28" ht="45" customHeight="1" x14ac:dyDescent="0.3">
      <c r="A7" s="49" t="s">
        <v>221</v>
      </c>
      <c r="B7" s="144" t="s">
        <v>222</v>
      </c>
      <c r="C7" s="32" t="s">
        <v>237</v>
      </c>
      <c r="D7" s="144" t="s">
        <v>238</v>
      </c>
      <c r="E7" s="32"/>
      <c r="F7" s="31"/>
      <c r="G7" s="33" t="s">
        <v>225</v>
      </c>
      <c r="H7" s="144">
        <v>202</v>
      </c>
      <c r="I7" s="32" t="s">
        <v>39</v>
      </c>
      <c r="J7" s="144">
        <v>105</v>
      </c>
      <c r="K7" s="37"/>
      <c r="L7" s="31"/>
      <c r="M7" s="32" t="s">
        <v>226</v>
      </c>
      <c r="N7" s="147">
        <v>105</v>
      </c>
      <c r="O7" s="32"/>
      <c r="P7" s="31"/>
      <c r="Q7" s="32"/>
      <c r="R7" s="153"/>
      <c r="S7" s="183" t="s">
        <v>227</v>
      </c>
      <c r="T7" s="144">
        <v>105</v>
      </c>
      <c r="U7" s="183" t="s">
        <v>227</v>
      </c>
      <c r="V7" s="144">
        <v>105</v>
      </c>
      <c r="W7" s="184" t="s">
        <v>220</v>
      </c>
      <c r="X7" s="144">
        <v>104</v>
      </c>
      <c r="Y7" s="33"/>
      <c r="Z7" s="31"/>
      <c r="AA7" s="33"/>
      <c r="AB7" s="50"/>
    </row>
    <row r="8" spans="1:28" ht="45" customHeight="1" x14ac:dyDescent="0.3">
      <c r="A8" s="49" t="s">
        <v>228</v>
      </c>
      <c r="B8" s="144" t="s">
        <v>229</v>
      </c>
      <c r="C8" s="32" t="s">
        <v>244</v>
      </c>
      <c r="D8" s="144" t="s">
        <v>245</v>
      </c>
      <c r="E8" s="32"/>
      <c r="F8" s="31"/>
      <c r="G8" s="33" t="s">
        <v>232</v>
      </c>
      <c r="H8" s="144">
        <v>203</v>
      </c>
      <c r="I8" s="32" t="s">
        <v>45</v>
      </c>
      <c r="J8" s="144">
        <v>106</v>
      </c>
      <c r="K8" s="37"/>
      <c r="L8" s="31"/>
      <c r="M8" s="32" t="s">
        <v>373</v>
      </c>
      <c r="N8" s="147">
        <v>106</v>
      </c>
      <c r="O8" s="32"/>
      <c r="P8" s="31"/>
      <c r="Q8" s="32"/>
      <c r="R8" s="153"/>
      <c r="S8" s="183" t="s">
        <v>234</v>
      </c>
      <c r="T8" s="144">
        <v>106</v>
      </c>
      <c r="U8" s="183" t="s">
        <v>234</v>
      </c>
      <c r="V8" s="144">
        <v>106</v>
      </c>
      <c r="W8" s="183" t="s">
        <v>227</v>
      </c>
      <c r="X8" s="144">
        <v>105</v>
      </c>
      <c r="Y8" s="33"/>
      <c r="Z8" s="31"/>
      <c r="AA8" s="33"/>
      <c r="AB8" s="50"/>
    </row>
    <row r="9" spans="1:28" ht="45" customHeight="1" x14ac:dyDescent="0.3">
      <c r="A9" s="49" t="s">
        <v>235</v>
      </c>
      <c r="B9" s="144" t="s">
        <v>236</v>
      </c>
      <c r="C9" s="32" t="s">
        <v>251</v>
      </c>
      <c r="D9" s="144" t="s">
        <v>252</v>
      </c>
      <c r="E9" s="32"/>
      <c r="F9" s="31"/>
      <c r="G9" s="33" t="s">
        <v>239</v>
      </c>
      <c r="H9" s="144">
        <v>300</v>
      </c>
      <c r="I9" s="32" t="s">
        <v>240</v>
      </c>
      <c r="J9" s="147">
        <v>107</v>
      </c>
      <c r="K9" s="37"/>
      <c r="L9" s="31"/>
      <c r="M9" s="33" t="s">
        <v>233</v>
      </c>
      <c r="N9" s="147">
        <v>200</v>
      </c>
      <c r="O9" s="32"/>
      <c r="P9" s="31"/>
      <c r="Q9" s="32"/>
      <c r="R9" s="153"/>
      <c r="S9" s="183" t="s">
        <v>242</v>
      </c>
      <c r="T9" s="144">
        <v>107</v>
      </c>
      <c r="U9" s="183" t="s">
        <v>242</v>
      </c>
      <c r="V9" s="144">
        <v>107</v>
      </c>
      <c r="W9" s="183" t="s">
        <v>234</v>
      </c>
      <c r="X9" s="144">
        <v>106</v>
      </c>
      <c r="Y9" s="33"/>
      <c r="Z9" s="31"/>
      <c r="AA9" s="33"/>
      <c r="AB9" s="50"/>
    </row>
    <row r="10" spans="1:28" ht="45" customHeight="1" x14ac:dyDescent="0.3">
      <c r="A10" s="49" t="s">
        <v>243</v>
      </c>
      <c r="B10" s="144" t="s">
        <v>243</v>
      </c>
      <c r="C10" s="32" t="s">
        <v>259</v>
      </c>
      <c r="D10" s="31" t="s">
        <v>260</v>
      </c>
      <c r="E10" s="32"/>
      <c r="F10" s="31"/>
      <c r="G10" s="33" t="s">
        <v>246</v>
      </c>
      <c r="H10" s="144">
        <v>301</v>
      </c>
      <c r="I10" s="32" t="s">
        <v>247</v>
      </c>
      <c r="J10" s="147">
        <v>108</v>
      </c>
      <c r="K10" s="37"/>
      <c r="L10" s="31"/>
      <c r="M10" s="33" t="s">
        <v>241</v>
      </c>
      <c r="N10" s="147">
        <v>201</v>
      </c>
      <c r="O10" s="32"/>
      <c r="P10" s="31"/>
      <c r="Q10" s="32"/>
      <c r="R10" s="153"/>
      <c r="S10" s="183" t="s">
        <v>249</v>
      </c>
      <c r="T10" s="144">
        <v>108</v>
      </c>
      <c r="U10" s="183" t="s">
        <v>249</v>
      </c>
      <c r="V10" s="144">
        <v>108</v>
      </c>
      <c r="W10" s="183" t="s">
        <v>242</v>
      </c>
      <c r="X10" s="144">
        <v>107</v>
      </c>
      <c r="Y10" s="33"/>
      <c r="Z10" s="31"/>
      <c r="AA10" s="33"/>
      <c r="AB10" s="50"/>
    </row>
    <row r="11" spans="1:28" ht="45" customHeight="1" x14ac:dyDescent="0.3">
      <c r="A11" s="49" t="s">
        <v>250</v>
      </c>
      <c r="B11" s="144" t="s">
        <v>250</v>
      </c>
      <c r="C11" s="32" t="s">
        <v>386</v>
      </c>
      <c r="D11" s="31" t="s">
        <v>387</v>
      </c>
      <c r="E11" s="32"/>
      <c r="F11" s="31"/>
      <c r="G11" s="33" t="s">
        <v>253</v>
      </c>
      <c r="H11" s="194">
        <v>401</v>
      </c>
      <c r="I11" s="32" t="s">
        <v>254</v>
      </c>
      <c r="J11" s="147">
        <v>109</v>
      </c>
      <c r="K11" s="37"/>
      <c r="L11" s="31"/>
      <c r="M11" s="33" t="s">
        <v>248</v>
      </c>
      <c r="N11" s="147">
        <v>202</v>
      </c>
      <c r="O11" s="32"/>
      <c r="P11" s="31"/>
      <c r="Q11" s="32"/>
      <c r="R11" s="153"/>
      <c r="S11" s="185" t="s">
        <v>256</v>
      </c>
      <c r="T11" s="190">
        <v>200</v>
      </c>
      <c r="U11" s="185" t="s">
        <v>256</v>
      </c>
      <c r="V11" s="190">
        <v>200</v>
      </c>
      <c r="W11" s="183" t="s">
        <v>249</v>
      </c>
      <c r="X11" s="144">
        <v>108</v>
      </c>
      <c r="Y11" s="33"/>
      <c r="Z11" s="31"/>
      <c r="AA11" s="33"/>
      <c r="AB11" s="50"/>
    </row>
    <row r="12" spans="1:28" ht="45" customHeight="1" x14ac:dyDescent="0.3">
      <c r="A12" s="49" t="s">
        <v>257</v>
      </c>
      <c r="B12" s="144" t="s">
        <v>258</v>
      </c>
      <c r="C12" s="32"/>
      <c r="D12" s="31"/>
      <c r="E12" s="32"/>
      <c r="F12" s="31"/>
      <c r="G12" s="32" t="s">
        <v>261</v>
      </c>
      <c r="H12" s="144">
        <v>402</v>
      </c>
      <c r="I12" s="32" t="s">
        <v>262</v>
      </c>
      <c r="J12" s="147">
        <v>110</v>
      </c>
      <c r="K12" s="37"/>
      <c r="L12" s="31"/>
      <c r="M12" s="33" t="s">
        <v>255</v>
      </c>
      <c r="N12" s="147">
        <v>203</v>
      </c>
      <c r="O12" s="32"/>
      <c r="P12" s="31"/>
      <c r="Q12" s="32"/>
      <c r="R12" s="31"/>
      <c r="S12" s="185" t="s">
        <v>264</v>
      </c>
      <c r="T12" s="191" t="s">
        <v>265</v>
      </c>
      <c r="U12" s="185" t="s">
        <v>264</v>
      </c>
      <c r="V12" s="191" t="s">
        <v>265</v>
      </c>
      <c r="W12" s="185" t="s">
        <v>256</v>
      </c>
      <c r="X12" s="190">
        <v>200</v>
      </c>
      <c r="Y12" s="33"/>
      <c r="Z12" s="35"/>
      <c r="AA12" s="33"/>
      <c r="AB12" s="51"/>
    </row>
    <row r="13" spans="1:28" ht="45" customHeight="1" x14ac:dyDescent="0.3">
      <c r="A13" s="52" t="s">
        <v>266</v>
      </c>
      <c r="B13" s="145" t="s">
        <v>267</v>
      </c>
      <c r="C13" s="32"/>
      <c r="D13" s="31"/>
      <c r="E13" s="32"/>
      <c r="F13" s="31"/>
      <c r="G13" s="32" t="s">
        <v>268</v>
      </c>
      <c r="H13" s="144">
        <v>403</v>
      </c>
      <c r="I13" s="32" t="s">
        <v>269</v>
      </c>
      <c r="J13" s="148">
        <v>111</v>
      </c>
      <c r="K13" s="37"/>
      <c r="L13" s="31"/>
      <c r="M13" s="33" t="s">
        <v>263</v>
      </c>
      <c r="N13" s="147">
        <v>204</v>
      </c>
      <c r="O13" s="32"/>
      <c r="P13" s="31"/>
      <c r="Q13" s="32"/>
      <c r="R13" s="31"/>
      <c r="S13" s="185" t="s">
        <v>271</v>
      </c>
      <c r="T13" s="190">
        <v>202</v>
      </c>
      <c r="U13" s="185" t="s">
        <v>271</v>
      </c>
      <c r="V13" s="190">
        <v>202</v>
      </c>
      <c r="W13" s="185" t="s">
        <v>264</v>
      </c>
      <c r="X13" s="191" t="s">
        <v>265</v>
      </c>
      <c r="Y13" s="33"/>
      <c r="Z13" s="35"/>
      <c r="AA13" s="33"/>
      <c r="AB13" s="51"/>
    </row>
    <row r="14" spans="1:28" ht="45" customHeight="1" x14ac:dyDescent="0.3">
      <c r="A14" s="52" t="s">
        <v>381</v>
      </c>
      <c r="B14" s="144" t="s">
        <v>382</v>
      </c>
      <c r="C14" s="32"/>
      <c r="D14" s="31"/>
      <c r="E14" s="32"/>
      <c r="F14" s="31"/>
      <c r="G14" s="32" t="s">
        <v>273</v>
      </c>
      <c r="H14" s="144">
        <v>404</v>
      </c>
      <c r="I14" s="33" t="s">
        <v>42</v>
      </c>
      <c r="J14" s="144">
        <v>200</v>
      </c>
      <c r="K14" s="37"/>
      <c r="L14" s="31"/>
      <c r="M14" s="33" t="s">
        <v>270</v>
      </c>
      <c r="N14" s="147">
        <v>205</v>
      </c>
      <c r="O14" s="32"/>
      <c r="P14" s="31"/>
      <c r="Q14" s="32"/>
      <c r="R14" s="31"/>
      <c r="S14" s="185" t="s">
        <v>275</v>
      </c>
      <c r="T14" s="190">
        <v>203</v>
      </c>
      <c r="U14" s="185" t="s">
        <v>275</v>
      </c>
      <c r="V14" s="190">
        <v>203</v>
      </c>
      <c r="W14" s="185" t="s">
        <v>271</v>
      </c>
      <c r="X14" s="190">
        <v>202</v>
      </c>
      <c r="Y14" s="33"/>
      <c r="Z14" s="35"/>
      <c r="AA14" s="33"/>
      <c r="AB14" s="51"/>
    </row>
    <row r="15" spans="1:28" ht="45" customHeight="1" x14ac:dyDescent="0.3">
      <c r="A15" s="52"/>
      <c r="B15" s="31"/>
      <c r="C15" s="32"/>
      <c r="D15" s="31"/>
      <c r="E15" s="32"/>
      <c r="F15" s="31"/>
      <c r="G15" s="32" t="s">
        <v>276</v>
      </c>
      <c r="H15" s="144">
        <v>405</v>
      </c>
      <c r="I15" s="33" t="s">
        <v>277</v>
      </c>
      <c r="J15" s="144">
        <v>201</v>
      </c>
      <c r="K15" s="37"/>
      <c r="L15" s="31"/>
      <c r="M15" s="34" t="s">
        <v>274</v>
      </c>
      <c r="N15" s="147">
        <v>300</v>
      </c>
      <c r="O15" s="32"/>
      <c r="P15" s="31"/>
      <c r="Q15" s="32"/>
      <c r="R15" s="31"/>
      <c r="S15" s="185" t="s">
        <v>279</v>
      </c>
      <c r="T15" s="191" t="s">
        <v>280</v>
      </c>
      <c r="U15" s="185" t="s">
        <v>279</v>
      </c>
      <c r="V15" s="191" t="s">
        <v>280</v>
      </c>
      <c r="W15" s="185" t="s">
        <v>275</v>
      </c>
      <c r="X15" s="190">
        <v>203</v>
      </c>
      <c r="Y15" s="33"/>
      <c r="Z15" s="35"/>
      <c r="AA15" s="33"/>
      <c r="AB15" s="51"/>
    </row>
    <row r="16" spans="1:28" ht="45" customHeight="1" x14ac:dyDescent="0.3">
      <c r="A16" s="52"/>
      <c r="B16" s="31"/>
      <c r="C16" s="32"/>
      <c r="D16" s="31"/>
      <c r="E16" s="32"/>
      <c r="F16" s="38"/>
      <c r="G16" s="32" t="s">
        <v>281</v>
      </c>
      <c r="H16" s="144">
        <v>406</v>
      </c>
      <c r="I16" s="33" t="s">
        <v>40</v>
      </c>
      <c r="J16" s="144">
        <v>202</v>
      </c>
      <c r="K16" s="37"/>
      <c r="L16" s="31"/>
      <c r="M16" s="34" t="s">
        <v>376</v>
      </c>
      <c r="N16" s="147">
        <v>301</v>
      </c>
      <c r="O16" s="32"/>
      <c r="P16" s="31"/>
      <c r="Q16" s="32"/>
      <c r="R16" s="31"/>
      <c r="S16" s="185"/>
      <c r="T16" s="149"/>
      <c r="U16" s="185"/>
      <c r="V16" s="190"/>
      <c r="W16" s="185" t="s">
        <v>279</v>
      </c>
      <c r="X16" s="191" t="s">
        <v>280</v>
      </c>
      <c r="Y16" s="33"/>
      <c r="Z16" s="35"/>
      <c r="AA16" s="33"/>
      <c r="AB16" s="51"/>
    </row>
    <row r="17" spans="1:28" ht="45" customHeight="1" x14ac:dyDescent="0.3">
      <c r="A17" s="52"/>
      <c r="B17" s="31"/>
      <c r="C17" s="32"/>
      <c r="D17" s="31"/>
      <c r="E17" s="32"/>
      <c r="F17" s="38"/>
      <c r="G17" s="32" t="s">
        <v>284</v>
      </c>
      <c r="H17" s="144">
        <v>407</v>
      </c>
      <c r="I17" s="33" t="s">
        <v>43</v>
      </c>
      <c r="J17" s="144">
        <v>203</v>
      </c>
      <c r="K17" s="37"/>
      <c r="L17" s="31"/>
      <c r="M17" s="32" t="s">
        <v>278</v>
      </c>
      <c r="N17" s="147">
        <v>400</v>
      </c>
      <c r="O17" s="32"/>
      <c r="P17" s="31"/>
      <c r="Q17" s="32"/>
      <c r="R17" s="31"/>
      <c r="S17" s="186" t="s">
        <v>286</v>
      </c>
      <c r="T17" s="149" t="s">
        <v>287</v>
      </c>
      <c r="U17" s="186" t="s">
        <v>286</v>
      </c>
      <c r="V17" s="149" t="s">
        <v>287</v>
      </c>
      <c r="W17" s="185" t="s">
        <v>283</v>
      </c>
      <c r="X17" s="190">
        <v>205</v>
      </c>
      <c r="Y17" s="33"/>
      <c r="Z17" s="35"/>
      <c r="AA17" s="33"/>
      <c r="AB17" s="51"/>
    </row>
    <row r="18" spans="1:28" ht="45" customHeight="1" x14ac:dyDescent="0.3">
      <c r="A18" s="52"/>
      <c r="B18" s="31"/>
      <c r="C18" s="32"/>
      <c r="D18" s="31"/>
      <c r="E18" s="32"/>
      <c r="F18" s="38"/>
      <c r="G18" s="32" t="s">
        <v>288</v>
      </c>
      <c r="H18" s="144">
        <v>408</v>
      </c>
      <c r="I18" s="32" t="s">
        <v>143</v>
      </c>
      <c r="J18" s="145" t="s">
        <v>173</v>
      </c>
      <c r="K18" s="32"/>
      <c r="L18" s="31"/>
      <c r="M18" s="32" t="s">
        <v>282</v>
      </c>
      <c r="N18" s="147">
        <v>401</v>
      </c>
      <c r="O18" s="37"/>
      <c r="P18" s="31"/>
      <c r="Q18" s="32"/>
      <c r="R18" s="31"/>
      <c r="S18" s="186" t="s">
        <v>290</v>
      </c>
      <c r="T18" s="149" t="s">
        <v>291</v>
      </c>
      <c r="U18" s="186" t="s">
        <v>290</v>
      </c>
      <c r="V18" s="149" t="s">
        <v>291</v>
      </c>
      <c r="W18" s="186" t="s">
        <v>286</v>
      </c>
      <c r="X18" s="149" t="s">
        <v>287</v>
      </c>
      <c r="Y18" s="33"/>
      <c r="Z18" s="35"/>
      <c r="AA18" s="33"/>
      <c r="AB18" s="51"/>
    </row>
    <row r="19" spans="1:28" ht="45" customHeight="1" thickBot="1" x14ac:dyDescent="0.35">
      <c r="A19" s="52"/>
      <c r="B19" s="31"/>
      <c r="C19" s="32"/>
      <c r="D19" s="31"/>
      <c r="E19" s="32"/>
      <c r="F19" s="38"/>
      <c r="G19" s="32" t="s">
        <v>389</v>
      </c>
      <c r="H19" s="31">
        <v>500</v>
      </c>
      <c r="I19" s="32" t="s">
        <v>383</v>
      </c>
      <c r="J19" s="31">
        <v>300</v>
      </c>
      <c r="K19" s="32"/>
      <c r="L19" s="31"/>
      <c r="M19" s="32" t="s">
        <v>285</v>
      </c>
      <c r="N19" s="147">
        <v>402</v>
      </c>
      <c r="O19" s="37"/>
      <c r="P19" s="31"/>
      <c r="Q19" s="32"/>
      <c r="R19" s="31"/>
      <c r="S19" s="186" t="s">
        <v>293</v>
      </c>
      <c r="T19" s="149" t="s">
        <v>294</v>
      </c>
      <c r="U19" s="186" t="s">
        <v>293</v>
      </c>
      <c r="V19" s="149" t="s">
        <v>294</v>
      </c>
      <c r="W19" s="186" t="s">
        <v>290</v>
      </c>
      <c r="X19" s="149" t="s">
        <v>291</v>
      </c>
      <c r="Y19" s="33"/>
      <c r="Z19" s="35"/>
      <c r="AA19" s="33"/>
      <c r="AB19" s="51"/>
    </row>
    <row r="20" spans="1:28" ht="45" customHeight="1" thickBot="1" x14ac:dyDescent="0.35">
      <c r="A20" s="52"/>
      <c r="B20" s="31"/>
      <c r="C20" s="32"/>
      <c r="D20" s="31"/>
      <c r="E20" s="32"/>
      <c r="F20" s="38"/>
      <c r="G20" s="32"/>
      <c r="H20" s="31"/>
      <c r="I20" s="45" t="s">
        <v>385</v>
      </c>
      <c r="J20" s="31">
        <v>301</v>
      </c>
      <c r="K20" s="32"/>
      <c r="L20" s="31"/>
      <c r="M20" s="32" t="s">
        <v>289</v>
      </c>
      <c r="N20" s="147">
        <v>403</v>
      </c>
      <c r="O20" s="32"/>
      <c r="P20" s="31"/>
      <c r="Q20" s="32"/>
      <c r="R20" s="31"/>
      <c r="S20" s="187" t="s">
        <v>296</v>
      </c>
      <c r="T20" s="149" t="s">
        <v>297</v>
      </c>
      <c r="U20" s="187" t="s">
        <v>296</v>
      </c>
      <c r="V20" s="149" t="s">
        <v>297</v>
      </c>
      <c r="W20" s="186" t="s">
        <v>293</v>
      </c>
      <c r="X20" s="149" t="s">
        <v>294</v>
      </c>
      <c r="Y20" s="154"/>
      <c r="Z20" s="155"/>
      <c r="AA20" s="154"/>
      <c r="AB20" s="156"/>
    </row>
    <row r="21" spans="1:28" ht="45" customHeight="1" x14ac:dyDescent="0.3">
      <c r="A21" s="52"/>
      <c r="B21" s="31"/>
      <c r="C21" s="32"/>
      <c r="D21" s="31"/>
      <c r="E21" s="32"/>
      <c r="F21" s="38"/>
      <c r="G21" s="32"/>
      <c r="H21" s="31"/>
      <c r="I21" s="32"/>
      <c r="J21" s="31"/>
      <c r="K21" s="32"/>
      <c r="L21" s="31"/>
      <c r="M21" s="32" t="s">
        <v>292</v>
      </c>
      <c r="N21" s="147">
        <v>500</v>
      </c>
      <c r="O21" s="32"/>
      <c r="P21" s="31"/>
      <c r="Q21" s="32"/>
      <c r="R21" s="31"/>
      <c r="S21" s="186" t="s">
        <v>298</v>
      </c>
      <c r="T21" s="149" t="s">
        <v>299</v>
      </c>
      <c r="U21" s="186" t="s">
        <v>298</v>
      </c>
      <c r="V21" s="149" t="s">
        <v>299</v>
      </c>
      <c r="W21" s="187" t="s">
        <v>296</v>
      </c>
      <c r="X21" s="149" t="s">
        <v>297</v>
      </c>
      <c r="Y21" s="222" t="s">
        <v>300</v>
      </c>
      <c r="Z21" s="223"/>
      <c r="AA21" s="223"/>
      <c r="AB21" s="224"/>
    </row>
    <row r="22" spans="1:28" ht="45" customHeight="1" x14ac:dyDescent="0.3">
      <c r="A22" s="52"/>
      <c r="B22" s="31"/>
      <c r="C22" s="32"/>
      <c r="D22" s="31"/>
      <c r="E22" s="32"/>
      <c r="F22" s="38"/>
      <c r="G22" s="32"/>
      <c r="H22" s="31"/>
      <c r="I22" s="32"/>
      <c r="J22" s="31"/>
      <c r="K22" s="32"/>
      <c r="L22" s="31"/>
      <c r="M22" s="32" t="s">
        <v>295</v>
      </c>
      <c r="N22" s="147">
        <v>501</v>
      </c>
      <c r="O22" s="32"/>
      <c r="P22" s="31"/>
      <c r="Q22" s="32"/>
      <c r="R22" s="31"/>
      <c r="S22" s="187" t="s">
        <v>301</v>
      </c>
      <c r="T22" s="149" t="s">
        <v>302</v>
      </c>
      <c r="U22" s="187" t="s">
        <v>301</v>
      </c>
      <c r="V22" s="149" t="s">
        <v>302</v>
      </c>
      <c r="W22" s="186" t="s">
        <v>298</v>
      </c>
      <c r="X22" s="149" t="s">
        <v>299</v>
      </c>
      <c r="Y22" s="225" t="s">
        <v>303</v>
      </c>
      <c r="Z22" s="226"/>
      <c r="AA22" s="226"/>
      <c r="AB22" s="227"/>
    </row>
    <row r="23" spans="1:28" ht="45" customHeight="1" thickBot="1" x14ac:dyDescent="0.35">
      <c r="A23" s="52"/>
      <c r="B23" s="31"/>
      <c r="C23" s="32"/>
      <c r="D23" s="31"/>
      <c r="E23" s="32"/>
      <c r="F23" s="38"/>
      <c r="G23" s="32"/>
      <c r="H23" s="31"/>
      <c r="I23" s="32"/>
      <c r="J23" s="31"/>
      <c r="K23" s="32"/>
      <c r="L23" s="31"/>
      <c r="M23" s="32" t="s">
        <v>384</v>
      </c>
      <c r="N23" s="149" t="s">
        <v>388</v>
      </c>
      <c r="O23" s="32"/>
      <c r="P23" s="31"/>
      <c r="Q23" s="32"/>
      <c r="R23" s="31"/>
      <c r="S23" s="186" t="s">
        <v>304</v>
      </c>
      <c r="T23" s="149" t="s">
        <v>305</v>
      </c>
      <c r="U23" s="186" t="s">
        <v>304</v>
      </c>
      <c r="V23" s="149" t="s">
        <v>305</v>
      </c>
      <c r="W23" s="187" t="s">
        <v>301</v>
      </c>
      <c r="X23" s="149" t="s">
        <v>302</v>
      </c>
      <c r="Y23" s="228" t="s">
        <v>306</v>
      </c>
      <c r="Z23" s="229"/>
      <c r="AA23" s="229"/>
      <c r="AB23" s="230"/>
    </row>
    <row r="24" spans="1:28" ht="45" customHeight="1" x14ac:dyDescent="0.3">
      <c r="A24" s="52"/>
      <c r="B24" s="31"/>
      <c r="C24" s="32"/>
      <c r="D24" s="31"/>
      <c r="E24" s="32"/>
      <c r="F24" s="38"/>
      <c r="G24" s="32"/>
      <c r="H24" s="31"/>
      <c r="I24" s="32"/>
      <c r="J24" s="31"/>
      <c r="K24" s="32"/>
      <c r="L24" s="31"/>
      <c r="M24" s="32"/>
      <c r="N24" s="31"/>
      <c r="O24" s="32"/>
      <c r="P24" s="31"/>
      <c r="Q24" s="32"/>
      <c r="R24" s="31"/>
      <c r="S24" s="186" t="s">
        <v>307</v>
      </c>
      <c r="T24" s="149" t="s">
        <v>308</v>
      </c>
      <c r="U24" s="186" t="s">
        <v>307</v>
      </c>
      <c r="V24" s="149" t="s">
        <v>308</v>
      </c>
      <c r="W24" s="186" t="s">
        <v>304</v>
      </c>
      <c r="X24" s="149" t="s">
        <v>305</v>
      </c>
      <c r="Y24" s="157"/>
      <c r="Z24" s="72"/>
      <c r="AA24" s="157"/>
      <c r="AB24" s="158"/>
    </row>
    <row r="25" spans="1:28" ht="45" customHeight="1" x14ac:dyDescent="0.3">
      <c r="A25" s="52"/>
      <c r="B25" s="31"/>
      <c r="C25" s="32"/>
      <c r="D25" s="31"/>
      <c r="E25" s="32"/>
      <c r="F25" s="38"/>
      <c r="G25" s="32"/>
      <c r="H25" s="31"/>
      <c r="I25" s="32"/>
      <c r="J25" s="31"/>
      <c r="K25" s="32"/>
      <c r="L25" s="31"/>
      <c r="M25" s="32"/>
      <c r="N25" s="31"/>
      <c r="O25" s="32"/>
      <c r="P25" s="31"/>
      <c r="Q25" s="32"/>
      <c r="R25" s="31"/>
      <c r="S25" s="186" t="s">
        <v>309</v>
      </c>
      <c r="T25" s="149" t="s">
        <v>310</v>
      </c>
      <c r="U25" s="186" t="s">
        <v>309</v>
      </c>
      <c r="V25" s="149" t="s">
        <v>310</v>
      </c>
      <c r="W25" s="186" t="s">
        <v>307</v>
      </c>
      <c r="X25" s="149" t="s">
        <v>308</v>
      </c>
      <c r="Y25" s="33"/>
      <c r="Z25" s="31"/>
      <c r="AA25" s="33"/>
      <c r="AB25" s="50"/>
    </row>
    <row r="26" spans="1:28" ht="45" customHeight="1" x14ac:dyDescent="0.3">
      <c r="A26" s="52"/>
      <c r="B26" s="31"/>
      <c r="C26" s="69"/>
      <c r="D26" s="68"/>
      <c r="E26" s="32"/>
      <c r="F26" s="38"/>
      <c r="G26" s="32"/>
      <c r="H26" s="31"/>
      <c r="I26" s="32"/>
      <c r="J26" s="31"/>
      <c r="K26" s="32"/>
      <c r="L26" s="31"/>
      <c r="M26" s="32"/>
      <c r="N26" s="31"/>
      <c r="O26" s="32"/>
      <c r="P26" s="31"/>
      <c r="Q26" s="32"/>
      <c r="R26" s="31"/>
      <c r="S26" s="186" t="s">
        <v>311</v>
      </c>
      <c r="T26" s="149" t="s">
        <v>312</v>
      </c>
      <c r="U26" s="186" t="s">
        <v>311</v>
      </c>
      <c r="V26" s="149" t="s">
        <v>312</v>
      </c>
      <c r="W26" s="186" t="s">
        <v>309</v>
      </c>
      <c r="X26" s="149" t="s">
        <v>310</v>
      </c>
      <c r="Y26" s="33"/>
      <c r="Z26" s="31"/>
      <c r="AA26" s="33"/>
      <c r="AB26" s="50"/>
    </row>
    <row r="27" spans="1:28" ht="45" customHeight="1" x14ac:dyDescent="0.3">
      <c r="A27" s="52"/>
      <c r="B27" s="31"/>
      <c r="C27" s="11"/>
      <c r="E27" s="32"/>
      <c r="F27" s="31"/>
      <c r="G27" s="32"/>
      <c r="H27" s="31"/>
      <c r="I27" s="32"/>
      <c r="J27" s="31"/>
      <c r="K27" s="32"/>
      <c r="L27" s="31"/>
      <c r="M27" s="32"/>
      <c r="N27" s="31"/>
      <c r="O27" s="32"/>
      <c r="P27" s="31"/>
      <c r="Q27" s="32"/>
      <c r="R27" s="31"/>
      <c r="S27" s="188" t="s">
        <v>313</v>
      </c>
      <c r="T27" s="50">
        <v>400</v>
      </c>
      <c r="U27" s="188" t="s">
        <v>313</v>
      </c>
      <c r="V27" s="50">
        <v>400</v>
      </c>
      <c r="W27" s="186" t="s">
        <v>311</v>
      </c>
      <c r="X27" s="149" t="s">
        <v>312</v>
      </c>
      <c r="Y27" s="32"/>
      <c r="Z27" s="31"/>
      <c r="AA27" s="32"/>
      <c r="AB27" s="50"/>
    </row>
    <row r="28" spans="1:28" ht="45" customHeight="1" x14ac:dyDescent="0.3">
      <c r="A28" s="67"/>
      <c r="B28" s="68"/>
      <c r="C28" s="11"/>
      <c r="E28" s="69"/>
      <c r="F28" s="68"/>
      <c r="G28" s="69"/>
      <c r="H28" s="68"/>
      <c r="I28" s="69"/>
      <c r="J28" s="68"/>
      <c r="K28" s="69"/>
      <c r="L28" s="68"/>
      <c r="M28" s="32"/>
      <c r="N28" s="31"/>
      <c r="O28" s="69"/>
      <c r="P28" s="68"/>
      <c r="Q28" s="69"/>
      <c r="R28" s="68"/>
      <c r="S28" s="189" t="s">
        <v>314</v>
      </c>
      <c r="T28" s="70">
        <v>500</v>
      </c>
      <c r="U28" s="189" t="s">
        <v>314</v>
      </c>
      <c r="V28" s="70">
        <v>500</v>
      </c>
      <c r="W28" s="188" t="s">
        <v>313</v>
      </c>
      <c r="X28" s="50">
        <v>400</v>
      </c>
      <c r="Y28" s="69"/>
      <c r="Z28" s="68"/>
      <c r="AA28" s="69"/>
      <c r="AB28" s="70"/>
    </row>
    <row r="29" spans="1:28" ht="45" customHeight="1" x14ac:dyDescent="0.3">
      <c r="A29" s="11"/>
      <c r="C29" s="11"/>
      <c r="E29" s="11"/>
      <c r="G29" s="11"/>
      <c r="I29" s="11"/>
      <c r="K29" s="11"/>
      <c r="M29" s="32"/>
      <c r="N29" s="31"/>
      <c r="O29" s="11"/>
      <c r="Q29" s="11"/>
      <c r="S29" s="11"/>
      <c r="U29" s="11"/>
      <c r="W29" s="189" t="s">
        <v>314</v>
      </c>
      <c r="X29" s="70">
        <v>500</v>
      </c>
    </row>
    <row r="30" spans="1:28" ht="45" customHeight="1" x14ac:dyDescent="0.3">
      <c r="A30" s="11"/>
      <c r="C30" s="11"/>
      <c r="E30" s="11"/>
      <c r="G30" s="11"/>
      <c r="I30" s="11"/>
      <c r="K30" s="11"/>
      <c r="M30" s="32"/>
      <c r="N30" s="31"/>
      <c r="O30" s="11"/>
      <c r="Q30" s="11"/>
      <c r="S30" s="11"/>
      <c r="U30" s="11"/>
    </row>
    <row r="31" spans="1:28" ht="45" customHeight="1" x14ac:dyDescent="0.3">
      <c r="A31" s="11"/>
      <c r="C31" s="11"/>
      <c r="E31" s="11"/>
      <c r="G31" s="11"/>
      <c r="I31" s="11"/>
      <c r="K31" s="11"/>
      <c r="M31" s="69"/>
      <c r="N31" s="68"/>
      <c r="O31" s="11"/>
      <c r="Q31" s="11"/>
      <c r="S31" s="11"/>
      <c r="U31" s="11"/>
    </row>
    <row r="32" spans="1:28" ht="45" customHeight="1" x14ac:dyDescent="0.3">
      <c r="A32" s="11"/>
      <c r="C32" s="11"/>
      <c r="E32" s="11"/>
      <c r="G32" s="11"/>
      <c r="I32" s="11"/>
      <c r="K32" s="11"/>
      <c r="M32" s="11"/>
      <c r="O32" s="11"/>
      <c r="Q32" s="11"/>
      <c r="S32" s="11"/>
      <c r="U32" s="11"/>
    </row>
    <row r="33" s="11" customFormat="1" ht="45" customHeight="1" x14ac:dyDescent="0.3"/>
    <row r="34" s="11" customFormat="1" ht="45" customHeight="1" x14ac:dyDescent="0.3"/>
    <row r="35" s="11" customFormat="1" ht="45" customHeight="1" x14ac:dyDescent="0.3"/>
    <row r="36" s="11" customFormat="1" ht="45" customHeight="1" x14ac:dyDescent="0.3"/>
    <row r="37" s="11" customFormat="1" ht="45" customHeight="1" x14ac:dyDescent="0.3"/>
    <row r="38" s="11" customFormat="1" ht="45" customHeight="1" x14ac:dyDescent="0.3"/>
    <row r="39" s="11" customFormat="1" ht="45" customHeight="1" x14ac:dyDescent="0.3"/>
    <row r="40" s="11" customFormat="1" ht="45" customHeight="1" x14ac:dyDescent="0.3"/>
    <row r="41" s="11" customFormat="1" ht="45" customHeight="1" x14ac:dyDescent="0.3"/>
    <row r="42" s="11" customFormat="1" ht="45" customHeight="1" x14ac:dyDescent="0.3"/>
    <row r="43" s="11" customFormat="1" ht="45" customHeight="1" x14ac:dyDescent="0.3"/>
    <row r="44" s="11" customFormat="1" ht="45" customHeight="1" x14ac:dyDescent="0.3"/>
    <row r="45" s="11" customFormat="1" ht="45" customHeight="1" x14ac:dyDescent="0.3"/>
    <row r="46" s="11" customFormat="1" ht="45" customHeight="1" x14ac:dyDescent="0.3"/>
    <row r="47" s="11" customFormat="1" ht="45" customHeight="1" x14ac:dyDescent="0.3"/>
    <row r="48" s="11" customFormat="1" ht="45" customHeight="1" x14ac:dyDescent="0.3"/>
    <row r="49" s="11" customFormat="1" ht="45" customHeight="1" x14ac:dyDescent="0.3"/>
    <row r="50" s="11" customFormat="1" ht="45" customHeight="1" x14ac:dyDescent="0.3"/>
    <row r="51" s="11" customFormat="1" ht="45" customHeight="1" x14ac:dyDescent="0.3"/>
    <row r="52" s="11" customFormat="1" ht="45" customHeight="1" x14ac:dyDescent="0.3"/>
    <row r="53" s="11" customFormat="1" ht="45" customHeight="1" x14ac:dyDescent="0.3"/>
    <row r="54" s="11" customFormat="1" ht="45" customHeight="1" x14ac:dyDescent="0.3"/>
    <row r="55" s="11" customFormat="1" ht="45" customHeight="1" x14ac:dyDescent="0.3"/>
    <row r="56" s="11" customFormat="1" ht="45" customHeight="1" x14ac:dyDescent="0.3"/>
    <row r="57" s="11" customFormat="1" ht="45" customHeight="1" x14ac:dyDescent="0.3"/>
    <row r="58" s="11" customFormat="1" ht="45" customHeight="1" x14ac:dyDescent="0.3"/>
    <row r="59" s="11" customFormat="1" ht="45" customHeight="1" x14ac:dyDescent="0.3"/>
    <row r="60" s="11" customFormat="1" ht="45" customHeight="1" x14ac:dyDescent="0.3"/>
    <row r="61" s="11" customFormat="1" ht="45" customHeight="1" x14ac:dyDescent="0.3"/>
    <row r="62" s="11" customFormat="1" ht="45" customHeight="1" x14ac:dyDescent="0.3"/>
    <row r="63" s="11" customFormat="1" ht="45" customHeight="1" x14ac:dyDescent="0.3"/>
    <row r="64" s="11" customFormat="1" ht="45" customHeight="1" x14ac:dyDescent="0.3"/>
    <row r="65" s="11" customFormat="1" ht="45" customHeight="1" x14ac:dyDescent="0.3"/>
    <row r="66" s="11" customFormat="1" ht="45" customHeight="1" x14ac:dyDescent="0.3"/>
    <row r="67" s="11" customFormat="1" ht="45" customHeight="1" x14ac:dyDescent="0.3"/>
    <row r="68" s="11" customFormat="1" ht="45" customHeight="1" x14ac:dyDescent="0.3"/>
    <row r="69" s="11" customFormat="1" ht="45" customHeight="1" x14ac:dyDescent="0.3"/>
    <row r="70" s="11" customFormat="1" ht="45" customHeight="1" x14ac:dyDescent="0.3"/>
    <row r="71" s="11" customFormat="1" ht="45" customHeight="1" x14ac:dyDescent="0.3"/>
    <row r="72" s="11" customFormat="1" ht="45" customHeight="1" x14ac:dyDescent="0.3"/>
    <row r="73" s="11" customFormat="1" ht="45" customHeight="1" x14ac:dyDescent="0.3"/>
    <row r="74" s="11" customFormat="1" ht="45" customHeight="1" x14ac:dyDescent="0.3"/>
    <row r="75" s="11" customFormat="1" ht="45" customHeight="1" x14ac:dyDescent="0.3"/>
    <row r="76" s="11" customFormat="1" ht="45" customHeight="1" x14ac:dyDescent="0.3"/>
    <row r="77" s="11" customFormat="1" ht="45" customHeight="1" x14ac:dyDescent="0.3"/>
    <row r="78" s="11" customFormat="1" ht="45" customHeight="1" x14ac:dyDescent="0.3"/>
    <row r="79" s="11" customFormat="1" ht="45" customHeight="1" x14ac:dyDescent="0.3"/>
    <row r="80" s="11" customFormat="1" ht="45" customHeight="1" x14ac:dyDescent="0.3"/>
    <row r="81" s="11" customFormat="1" ht="45" customHeight="1" x14ac:dyDescent="0.3"/>
    <row r="82" s="11" customFormat="1" ht="45" customHeight="1" x14ac:dyDescent="0.3"/>
    <row r="83" s="11" customFormat="1" ht="45" customHeight="1" x14ac:dyDescent="0.3"/>
    <row r="84" s="11" customFormat="1" ht="45" customHeight="1" x14ac:dyDescent="0.3"/>
    <row r="85" s="11" customFormat="1" ht="45" customHeight="1" x14ac:dyDescent="0.3"/>
    <row r="86" s="11" customFormat="1" ht="45" customHeight="1" x14ac:dyDescent="0.3"/>
    <row r="87" s="11" customFormat="1" ht="45" customHeight="1" x14ac:dyDescent="0.3"/>
    <row r="88" s="11" customFormat="1" ht="45" customHeight="1" x14ac:dyDescent="0.3"/>
    <row r="89" s="11" customFormat="1" ht="45" customHeight="1" x14ac:dyDescent="0.3"/>
    <row r="90" s="11" customFormat="1" ht="45" customHeight="1" x14ac:dyDescent="0.3"/>
    <row r="91" s="11" customFormat="1" ht="45" customHeight="1" x14ac:dyDescent="0.3"/>
    <row r="92" s="11" customFormat="1" ht="45" customHeight="1" x14ac:dyDescent="0.3"/>
    <row r="93" s="11" customFormat="1" ht="45" customHeight="1" x14ac:dyDescent="0.3"/>
    <row r="94" s="11" customFormat="1" ht="45" customHeight="1" x14ac:dyDescent="0.3"/>
    <row r="95" s="11" customFormat="1" ht="45" customHeight="1" x14ac:dyDescent="0.3"/>
    <row r="96" s="11" customFormat="1" ht="45" customHeight="1" x14ac:dyDescent="0.3"/>
    <row r="97" s="11" customFormat="1" ht="45" customHeight="1" x14ac:dyDescent="0.3"/>
    <row r="98" s="11" customFormat="1" ht="45" customHeight="1" x14ac:dyDescent="0.3"/>
    <row r="99" s="11" customFormat="1" ht="45" customHeight="1" x14ac:dyDescent="0.3"/>
    <row r="100" s="11" customFormat="1" ht="45" customHeight="1" x14ac:dyDescent="0.3"/>
    <row r="101" s="11" customFormat="1" ht="45" customHeight="1" x14ac:dyDescent="0.3"/>
    <row r="102" s="11" customFormat="1" ht="45" customHeight="1" x14ac:dyDescent="0.3"/>
    <row r="103" s="11" customFormat="1" ht="45" customHeight="1" x14ac:dyDescent="0.3"/>
    <row r="104" s="11" customFormat="1" ht="45" customHeight="1" x14ac:dyDescent="0.3"/>
    <row r="105" s="11" customFormat="1" ht="45" customHeight="1" x14ac:dyDescent="0.3"/>
    <row r="106" s="11" customFormat="1" ht="45" customHeight="1" x14ac:dyDescent="0.3"/>
    <row r="107" s="11" customFormat="1" ht="45" customHeight="1" x14ac:dyDescent="0.3"/>
    <row r="108" s="11" customFormat="1" ht="45" customHeight="1" x14ac:dyDescent="0.3"/>
    <row r="109" s="11" customFormat="1" ht="45" customHeight="1" x14ac:dyDescent="0.3"/>
    <row r="110" s="11" customFormat="1" ht="45" customHeight="1" x14ac:dyDescent="0.3"/>
    <row r="111" s="11" customFormat="1" ht="45" customHeight="1" x14ac:dyDescent="0.3"/>
    <row r="112" s="11" customFormat="1" ht="45" customHeight="1" x14ac:dyDescent="0.3"/>
    <row r="113" s="11" customFormat="1" ht="45" customHeight="1" x14ac:dyDescent="0.3"/>
    <row r="114" s="11" customFormat="1" ht="45" customHeight="1" x14ac:dyDescent="0.3"/>
    <row r="115" s="11" customFormat="1" ht="45" customHeight="1" x14ac:dyDescent="0.3"/>
    <row r="116" s="11" customFormat="1" ht="45" customHeight="1" x14ac:dyDescent="0.3"/>
    <row r="117" s="11" customFormat="1" ht="45" customHeight="1" x14ac:dyDescent="0.3"/>
    <row r="118" s="11" customFormat="1" ht="45" customHeight="1" x14ac:dyDescent="0.3"/>
    <row r="119" s="11" customFormat="1" ht="45" customHeight="1" x14ac:dyDescent="0.3"/>
    <row r="120" s="11" customFormat="1" ht="45" customHeight="1" x14ac:dyDescent="0.3"/>
    <row r="121" s="11" customFormat="1" ht="45" customHeight="1" x14ac:dyDescent="0.3"/>
    <row r="122" s="11" customFormat="1" ht="45" customHeight="1" x14ac:dyDescent="0.3"/>
    <row r="123" s="11" customFormat="1" ht="45" customHeight="1" x14ac:dyDescent="0.3"/>
    <row r="124" s="11" customFormat="1" ht="45" customHeight="1" x14ac:dyDescent="0.3"/>
    <row r="125" s="11" customFormat="1" ht="45" customHeight="1" x14ac:dyDescent="0.3"/>
    <row r="126" s="11" customFormat="1" ht="45" customHeight="1" x14ac:dyDescent="0.3"/>
    <row r="127" s="11" customFormat="1" ht="45" customHeight="1" x14ac:dyDescent="0.3"/>
    <row r="128" s="11" customFormat="1" ht="45" customHeight="1" x14ac:dyDescent="0.3"/>
    <row r="129" s="11" customFormat="1" ht="45" customHeight="1" x14ac:dyDescent="0.3"/>
    <row r="130" s="11" customFormat="1" ht="45" customHeight="1" x14ac:dyDescent="0.3"/>
    <row r="131" s="11" customFormat="1" ht="45" customHeight="1" x14ac:dyDescent="0.3"/>
    <row r="132" s="11" customFormat="1" ht="45" customHeight="1" x14ac:dyDescent="0.3"/>
    <row r="133" s="11" customFormat="1" ht="45" customHeight="1" x14ac:dyDescent="0.3"/>
    <row r="134" s="11" customFormat="1" ht="45" customHeight="1" x14ac:dyDescent="0.3"/>
    <row r="135" s="11" customFormat="1" ht="45" customHeight="1" x14ac:dyDescent="0.3"/>
    <row r="136" s="11" customFormat="1" ht="45" customHeight="1" x14ac:dyDescent="0.3"/>
    <row r="137" s="11" customFormat="1" ht="45" customHeight="1" x14ac:dyDescent="0.3"/>
    <row r="138" s="11" customFormat="1" ht="45" customHeight="1" x14ac:dyDescent="0.3"/>
    <row r="139" s="11" customFormat="1" ht="45" customHeight="1" x14ac:dyDescent="0.3"/>
    <row r="140" s="11" customFormat="1" ht="45" customHeight="1" x14ac:dyDescent="0.3"/>
    <row r="141" s="11" customFormat="1" ht="45" customHeight="1" x14ac:dyDescent="0.3"/>
    <row r="142" s="11" customFormat="1" ht="45" customHeight="1" x14ac:dyDescent="0.3"/>
    <row r="143" s="11" customFormat="1" ht="45" customHeight="1" x14ac:dyDescent="0.3"/>
    <row r="144" s="11" customFormat="1" ht="45" customHeight="1" x14ac:dyDescent="0.3"/>
    <row r="145" s="11" customFormat="1" ht="45" customHeight="1" x14ac:dyDescent="0.3"/>
    <row r="146" s="11" customFormat="1" ht="45" customHeight="1" x14ac:dyDescent="0.3"/>
    <row r="147" s="11" customFormat="1" ht="45" customHeight="1" x14ac:dyDescent="0.3"/>
    <row r="148" s="11" customFormat="1" ht="45" customHeight="1" x14ac:dyDescent="0.3"/>
    <row r="149" s="11" customFormat="1" x14ac:dyDescent="0.3"/>
    <row r="150" s="11" customFormat="1" x14ac:dyDescent="0.3"/>
    <row r="151" s="11" customFormat="1" x14ac:dyDescent="0.3"/>
    <row r="152" s="11" customFormat="1" x14ac:dyDescent="0.3"/>
    <row r="153" s="11" customFormat="1" x14ac:dyDescent="0.3"/>
    <row r="154" s="11" customFormat="1" x14ac:dyDescent="0.3"/>
    <row r="155" s="11" customFormat="1" x14ac:dyDescent="0.3"/>
    <row r="156" s="11" customFormat="1" x14ac:dyDescent="0.3"/>
    <row r="157" s="11" customFormat="1" x14ac:dyDescent="0.3"/>
    <row r="158" s="11" customFormat="1" x14ac:dyDescent="0.3"/>
    <row r="159" s="11" customFormat="1" x14ac:dyDescent="0.3"/>
    <row r="160" s="11" customFormat="1" x14ac:dyDescent="0.3"/>
    <row r="161" s="11" customFormat="1" x14ac:dyDescent="0.3"/>
    <row r="162" s="11" customFormat="1" x14ac:dyDescent="0.3"/>
    <row r="163" s="11" customFormat="1" x14ac:dyDescent="0.3"/>
    <row r="164" s="11" customFormat="1" x14ac:dyDescent="0.3"/>
    <row r="165" s="11" customFormat="1" x14ac:dyDescent="0.3"/>
    <row r="166" s="11" customFormat="1" x14ac:dyDescent="0.3"/>
    <row r="167" s="11" customFormat="1" x14ac:dyDescent="0.3"/>
    <row r="168" s="11" customFormat="1" x14ac:dyDescent="0.3"/>
    <row r="169" s="11" customFormat="1" x14ac:dyDescent="0.3"/>
    <row r="170" s="11" customFormat="1" x14ac:dyDescent="0.3"/>
    <row r="171" s="11" customFormat="1" x14ac:dyDescent="0.3"/>
    <row r="172" s="11" customFormat="1" x14ac:dyDescent="0.3"/>
    <row r="173" s="11" customFormat="1" x14ac:dyDescent="0.3"/>
    <row r="174" s="11" customFormat="1" x14ac:dyDescent="0.3"/>
    <row r="175" s="11" customFormat="1" x14ac:dyDescent="0.3"/>
    <row r="176" s="11" customFormat="1" x14ac:dyDescent="0.3"/>
    <row r="177" s="11" customFormat="1" x14ac:dyDescent="0.3"/>
    <row r="178" s="11" customFormat="1" x14ac:dyDescent="0.3"/>
    <row r="179" s="11" customFormat="1" x14ac:dyDescent="0.3"/>
    <row r="180" s="11" customFormat="1" x14ac:dyDescent="0.3"/>
    <row r="181" s="11" customFormat="1" x14ac:dyDescent="0.3"/>
    <row r="182" s="11" customFormat="1" x14ac:dyDescent="0.3"/>
    <row r="183" s="11" customFormat="1" x14ac:dyDescent="0.3"/>
    <row r="184" s="11" customFormat="1" x14ac:dyDescent="0.3"/>
    <row r="185" s="11" customFormat="1" x14ac:dyDescent="0.3"/>
    <row r="186" s="11" customFormat="1" x14ac:dyDescent="0.3"/>
    <row r="187" s="11" customFormat="1" x14ac:dyDescent="0.3"/>
    <row r="188" s="11" customFormat="1" x14ac:dyDescent="0.3"/>
    <row r="189" s="11" customFormat="1" x14ac:dyDescent="0.3"/>
    <row r="190" s="11" customFormat="1" x14ac:dyDescent="0.3"/>
    <row r="191" s="11" customFormat="1" x14ac:dyDescent="0.3"/>
    <row r="192" s="11" customFormat="1" x14ac:dyDescent="0.3"/>
    <row r="193" s="11" customFormat="1" x14ac:dyDescent="0.3"/>
    <row r="194" s="11" customFormat="1" x14ac:dyDescent="0.3"/>
    <row r="195" s="11" customFormat="1" x14ac:dyDescent="0.3"/>
    <row r="196" s="11" customFormat="1" x14ac:dyDescent="0.3"/>
    <row r="197" s="11" customFormat="1" x14ac:dyDescent="0.3"/>
    <row r="198" s="11" customFormat="1" x14ac:dyDescent="0.3"/>
    <row r="199" s="11" customFormat="1" x14ac:dyDescent="0.3"/>
    <row r="200" s="11" customFormat="1" x14ac:dyDescent="0.3"/>
    <row r="201" s="11" customFormat="1" x14ac:dyDescent="0.3"/>
    <row r="202" s="11" customFormat="1" x14ac:dyDescent="0.3"/>
    <row r="203" s="11" customFormat="1" x14ac:dyDescent="0.3"/>
    <row r="204" s="11" customFormat="1" x14ac:dyDescent="0.3"/>
    <row r="205" s="11" customFormat="1" x14ac:dyDescent="0.3"/>
    <row r="206" s="11" customFormat="1" x14ac:dyDescent="0.3"/>
    <row r="207" s="11" customFormat="1" x14ac:dyDescent="0.3"/>
    <row r="208" s="11" customFormat="1" x14ac:dyDescent="0.3"/>
    <row r="209" s="11" customFormat="1" x14ac:dyDescent="0.3"/>
    <row r="210" s="11" customFormat="1" x14ac:dyDescent="0.3"/>
    <row r="211" s="11" customFormat="1" x14ac:dyDescent="0.3"/>
    <row r="212" s="11" customFormat="1" x14ac:dyDescent="0.3"/>
    <row r="213" s="11" customFormat="1" x14ac:dyDescent="0.3"/>
    <row r="214" s="11" customFormat="1" x14ac:dyDescent="0.3"/>
    <row r="215" s="11" customFormat="1" x14ac:dyDescent="0.3"/>
    <row r="216" s="11" customFormat="1" x14ac:dyDescent="0.3"/>
    <row r="217" s="11" customFormat="1" x14ac:dyDescent="0.3"/>
    <row r="218" s="11" customFormat="1" x14ac:dyDescent="0.3"/>
    <row r="219" s="11" customFormat="1" x14ac:dyDescent="0.3"/>
    <row r="220" s="11" customFormat="1" x14ac:dyDescent="0.3"/>
    <row r="221" s="11" customFormat="1" x14ac:dyDescent="0.3"/>
    <row r="222" s="11" customFormat="1" x14ac:dyDescent="0.3"/>
    <row r="223" s="11" customFormat="1" x14ac:dyDescent="0.3"/>
    <row r="224" s="11" customFormat="1" x14ac:dyDescent="0.3"/>
    <row r="225" s="11" customFormat="1" x14ac:dyDescent="0.3"/>
    <row r="226" s="11" customFormat="1" x14ac:dyDescent="0.3"/>
    <row r="227" s="11" customFormat="1" x14ac:dyDescent="0.3"/>
    <row r="228" s="11" customFormat="1" x14ac:dyDescent="0.3"/>
    <row r="229" s="11" customFormat="1" x14ac:dyDescent="0.3"/>
    <row r="230" s="11" customFormat="1" x14ac:dyDescent="0.3"/>
    <row r="231" s="11" customFormat="1" x14ac:dyDescent="0.3"/>
    <row r="232" s="11" customFormat="1" x14ac:dyDescent="0.3"/>
    <row r="233" s="11" customFormat="1" x14ac:dyDescent="0.3"/>
    <row r="234" s="11" customFormat="1" x14ac:dyDescent="0.3"/>
    <row r="235" s="11" customFormat="1" x14ac:dyDescent="0.3"/>
    <row r="236" s="11" customFormat="1" x14ac:dyDescent="0.3"/>
    <row r="237" s="11" customFormat="1" x14ac:dyDescent="0.3"/>
    <row r="238" s="11" customFormat="1" x14ac:dyDescent="0.3"/>
    <row r="239" s="11" customFormat="1" x14ac:dyDescent="0.3"/>
    <row r="240" s="11" customFormat="1" x14ac:dyDescent="0.3"/>
    <row r="241" s="11" customFormat="1" x14ac:dyDescent="0.3"/>
    <row r="242" s="11" customFormat="1" x14ac:dyDescent="0.3"/>
    <row r="243" s="11" customFormat="1" x14ac:dyDescent="0.3"/>
    <row r="244" s="11" customFormat="1" x14ac:dyDescent="0.3"/>
    <row r="245" s="11" customFormat="1" x14ac:dyDescent="0.3"/>
    <row r="246" s="11" customFormat="1" x14ac:dyDescent="0.3"/>
    <row r="247" s="11" customFormat="1" x14ac:dyDescent="0.3"/>
    <row r="248" s="11" customFormat="1" x14ac:dyDescent="0.3"/>
    <row r="249" s="11" customFormat="1" x14ac:dyDescent="0.3"/>
    <row r="250" s="11" customFormat="1" x14ac:dyDescent="0.3"/>
    <row r="251" s="11" customFormat="1" x14ac:dyDescent="0.3"/>
    <row r="252" s="11" customFormat="1" x14ac:dyDescent="0.3"/>
    <row r="253" s="11" customFormat="1" x14ac:dyDescent="0.3"/>
    <row r="254" s="11" customFormat="1" x14ac:dyDescent="0.3"/>
    <row r="255" s="11" customFormat="1" x14ac:dyDescent="0.3"/>
    <row r="256" s="11" customFormat="1" x14ac:dyDescent="0.3"/>
    <row r="257" s="11" customFormat="1" x14ac:dyDescent="0.3"/>
    <row r="258" s="11" customFormat="1" x14ac:dyDescent="0.3"/>
    <row r="259" s="11" customFormat="1" x14ac:dyDescent="0.3"/>
    <row r="260" s="11" customFormat="1" x14ac:dyDescent="0.3"/>
    <row r="261" s="11" customFormat="1" x14ac:dyDescent="0.3"/>
    <row r="262" s="11" customFormat="1" x14ac:dyDescent="0.3"/>
    <row r="263" s="11" customFormat="1" x14ac:dyDescent="0.3"/>
    <row r="264" s="11" customFormat="1" x14ac:dyDescent="0.3"/>
    <row r="265" s="11" customFormat="1" x14ac:dyDescent="0.3"/>
    <row r="266" s="11" customFormat="1" x14ac:dyDescent="0.3"/>
    <row r="267" s="11" customFormat="1" x14ac:dyDescent="0.3"/>
    <row r="268" s="11" customFormat="1" x14ac:dyDescent="0.3"/>
    <row r="269" s="11" customFormat="1" x14ac:dyDescent="0.3"/>
    <row r="270" s="11" customFormat="1" x14ac:dyDescent="0.3"/>
    <row r="271" s="11" customFormat="1" x14ac:dyDescent="0.3"/>
    <row r="272" s="11" customFormat="1" x14ac:dyDescent="0.3"/>
    <row r="273" s="11" customFormat="1" x14ac:dyDescent="0.3"/>
    <row r="274" s="11" customFormat="1" x14ac:dyDescent="0.3"/>
    <row r="275" s="11" customFormat="1" x14ac:dyDescent="0.3"/>
    <row r="276" s="11" customFormat="1" x14ac:dyDescent="0.3"/>
    <row r="277" s="11" customFormat="1" x14ac:dyDescent="0.3"/>
    <row r="278" s="11" customFormat="1" x14ac:dyDescent="0.3"/>
    <row r="279" s="11" customFormat="1" x14ac:dyDescent="0.3"/>
    <row r="280" s="11" customFormat="1" x14ac:dyDescent="0.3"/>
    <row r="281" s="11" customFormat="1" x14ac:dyDescent="0.3"/>
    <row r="282" s="11" customFormat="1" x14ac:dyDescent="0.3"/>
    <row r="283" s="11" customFormat="1" x14ac:dyDescent="0.3"/>
    <row r="284" s="11" customFormat="1" x14ac:dyDescent="0.3"/>
    <row r="285" s="11" customFormat="1" x14ac:dyDescent="0.3"/>
    <row r="286" s="11" customFormat="1" x14ac:dyDescent="0.3"/>
    <row r="287" s="11" customFormat="1" x14ac:dyDescent="0.3"/>
    <row r="288" s="11" customFormat="1" x14ac:dyDescent="0.3"/>
    <row r="289" s="11" customFormat="1" x14ac:dyDescent="0.3"/>
    <row r="290" s="11" customFormat="1" x14ac:dyDescent="0.3"/>
    <row r="291" s="11" customFormat="1" x14ac:dyDescent="0.3"/>
    <row r="292" s="11" customFormat="1" x14ac:dyDescent="0.3"/>
    <row r="293" s="11" customFormat="1" x14ac:dyDescent="0.3"/>
    <row r="294" s="11" customFormat="1" x14ac:dyDescent="0.3"/>
    <row r="295" s="11" customFormat="1" x14ac:dyDescent="0.3"/>
    <row r="296" s="11" customFormat="1" x14ac:dyDescent="0.3"/>
    <row r="297" s="11" customFormat="1" x14ac:dyDescent="0.3"/>
    <row r="298" s="11" customFormat="1" x14ac:dyDescent="0.3"/>
    <row r="299" s="11" customFormat="1" x14ac:dyDescent="0.3"/>
    <row r="300" s="11" customFormat="1" x14ac:dyDescent="0.3"/>
    <row r="301" s="11" customFormat="1" x14ac:dyDescent="0.3"/>
    <row r="302" s="11" customFormat="1" x14ac:dyDescent="0.3"/>
    <row r="303" s="11" customFormat="1" x14ac:dyDescent="0.3"/>
    <row r="304" s="11" customFormat="1" x14ac:dyDescent="0.3"/>
    <row r="305" s="11" customFormat="1" x14ac:dyDescent="0.3"/>
    <row r="306" s="11" customFormat="1" x14ac:dyDescent="0.3"/>
    <row r="307" s="11" customFormat="1" x14ac:dyDescent="0.3"/>
    <row r="308" s="11" customFormat="1" x14ac:dyDescent="0.3"/>
    <row r="309" s="11" customFormat="1" x14ac:dyDescent="0.3"/>
    <row r="310" s="11" customFormat="1" x14ac:dyDescent="0.3"/>
    <row r="311" s="11" customFormat="1" x14ac:dyDescent="0.3"/>
    <row r="312" s="11" customFormat="1" x14ac:dyDescent="0.3"/>
    <row r="313" s="11" customFormat="1" x14ac:dyDescent="0.3"/>
    <row r="314" s="11" customFormat="1" x14ac:dyDescent="0.3"/>
    <row r="315" s="11" customFormat="1" x14ac:dyDescent="0.3"/>
    <row r="316" s="11" customFormat="1" x14ac:dyDescent="0.3"/>
    <row r="317" s="11" customFormat="1" x14ac:dyDescent="0.3"/>
    <row r="318" s="11" customFormat="1" x14ac:dyDescent="0.3"/>
    <row r="319" s="11" customFormat="1" x14ac:dyDescent="0.3"/>
    <row r="320" s="11" customFormat="1" x14ac:dyDescent="0.3"/>
    <row r="321" s="11" customFormat="1" x14ac:dyDescent="0.3"/>
    <row r="322" s="11" customFormat="1" x14ac:dyDescent="0.3"/>
    <row r="323" s="11" customFormat="1" x14ac:dyDescent="0.3"/>
    <row r="324" s="11" customFormat="1" x14ac:dyDescent="0.3"/>
    <row r="325" s="11" customFormat="1" x14ac:dyDescent="0.3"/>
    <row r="326" s="11" customFormat="1" x14ac:dyDescent="0.3"/>
    <row r="327" s="11" customFormat="1" x14ac:dyDescent="0.3"/>
    <row r="328" s="11" customFormat="1" x14ac:dyDescent="0.3"/>
    <row r="329" s="11" customFormat="1" x14ac:dyDescent="0.3"/>
    <row r="330" s="11" customFormat="1" x14ac:dyDescent="0.3"/>
    <row r="331" s="11" customFormat="1" x14ac:dyDescent="0.3"/>
    <row r="332" s="11" customFormat="1" x14ac:dyDescent="0.3"/>
    <row r="333" s="11" customFormat="1" x14ac:dyDescent="0.3"/>
    <row r="334" s="11" customFormat="1" x14ac:dyDescent="0.3"/>
    <row r="335" s="11" customFormat="1" x14ac:dyDescent="0.3"/>
    <row r="336" s="11" customFormat="1" x14ac:dyDescent="0.3"/>
    <row r="337" s="11" customFormat="1" x14ac:dyDescent="0.3"/>
    <row r="338" s="11" customFormat="1" x14ac:dyDescent="0.3"/>
    <row r="339" s="11" customFormat="1" x14ac:dyDescent="0.3"/>
    <row r="340" s="11" customFormat="1" x14ac:dyDescent="0.3"/>
    <row r="341" s="11" customFormat="1" x14ac:dyDescent="0.3"/>
    <row r="342" s="11" customFormat="1" x14ac:dyDescent="0.3"/>
    <row r="343" s="11" customFormat="1" x14ac:dyDescent="0.3"/>
    <row r="344" s="11" customFormat="1" x14ac:dyDescent="0.3"/>
    <row r="345" s="11" customFormat="1" x14ac:dyDescent="0.3"/>
    <row r="346" s="11" customFormat="1" x14ac:dyDescent="0.3"/>
    <row r="347" s="11" customFormat="1" x14ac:dyDescent="0.3"/>
    <row r="348" s="11" customFormat="1" x14ac:dyDescent="0.3"/>
    <row r="349" s="11" customFormat="1" x14ac:dyDescent="0.3"/>
    <row r="350" s="11" customFormat="1" x14ac:dyDescent="0.3"/>
    <row r="351" s="11" customFormat="1" x14ac:dyDescent="0.3"/>
    <row r="352" s="11" customFormat="1" x14ac:dyDescent="0.3"/>
    <row r="353" s="11" customFormat="1" x14ac:dyDescent="0.3"/>
    <row r="354" s="11" customFormat="1" x14ac:dyDescent="0.3"/>
    <row r="355" s="11" customFormat="1" x14ac:dyDescent="0.3"/>
    <row r="356" s="11" customFormat="1" x14ac:dyDescent="0.3"/>
    <row r="357" s="11" customFormat="1" x14ac:dyDescent="0.3"/>
    <row r="358" s="11" customFormat="1" x14ac:dyDescent="0.3"/>
    <row r="359" s="11" customFormat="1" x14ac:dyDescent="0.3"/>
    <row r="360" s="11" customFormat="1" x14ac:dyDescent="0.3"/>
    <row r="361" s="11" customFormat="1" x14ac:dyDescent="0.3"/>
    <row r="362" s="11" customFormat="1" x14ac:dyDescent="0.3"/>
    <row r="363" s="11" customFormat="1" x14ac:dyDescent="0.3"/>
    <row r="364" s="11" customFormat="1" x14ac:dyDescent="0.3"/>
    <row r="365" s="11" customFormat="1" x14ac:dyDescent="0.3"/>
    <row r="366" s="11" customFormat="1" x14ac:dyDescent="0.3"/>
    <row r="367" s="11" customFormat="1" x14ac:dyDescent="0.3"/>
    <row r="368" s="11" customFormat="1" x14ac:dyDescent="0.3"/>
    <row r="369" s="11" customFormat="1" x14ac:dyDescent="0.3"/>
    <row r="370" s="11" customFormat="1" x14ac:dyDescent="0.3"/>
    <row r="371" s="11" customFormat="1" x14ac:dyDescent="0.3"/>
    <row r="372" s="11" customFormat="1" x14ac:dyDescent="0.3"/>
    <row r="373" s="11" customFormat="1" x14ac:dyDescent="0.3"/>
    <row r="374" s="11" customFormat="1" x14ac:dyDescent="0.3"/>
    <row r="375" s="11" customFormat="1" x14ac:dyDescent="0.3"/>
    <row r="376" s="11" customFormat="1" x14ac:dyDescent="0.3"/>
    <row r="377" s="11" customFormat="1" x14ac:dyDescent="0.3"/>
    <row r="378" s="11" customFormat="1" x14ac:dyDescent="0.3"/>
    <row r="379" s="11" customFormat="1" x14ac:dyDescent="0.3"/>
    <row r="380" s="11" customFormat="1" x14ac:dyDescent="0.3"/>
    <row r="381" s="11" customFormat="1" x14ac:dyDescent="0.3"/>
    <row r="382" s="11" customFormat="1" x14ac:dyDescent="0.3"/>
    <row r="383" s="11" customFormat="1" x14ac:dyDescent="0.3"/>
    <row r="384" s="11" customFormat="1" x14ac:dyDescent="0.3"/>
    <row r="385" s="11" customFormat="1" x14ac:dyDescent="0.3"/>
    <row r="386" s="11" customFormat="1" x14ac:dyDescent="0.3"/>
    <row r="387" s="11" customFormat="1" x14ac:dyDescent="0.3"/>
    <row r="388" s="11" customFormat="1" x14ac:dyDescent="0.3"/>
    <row r="389" s="11" customFormat="1" x14ac:dyDescent="0.3"/>
    <row r="390" s="11" customFormat="1" x14ac:dyDescent="0.3"/>
    <row r="391" s="11" customFormat="1" x14ac:dyDescent="0.3"/>
    <row r="392" s="11" customFormat="1" x14ac:dyDescent="0.3"/>
    <row r="393" s="11" customFormat="1" x14ac:dyDescent="0.3"/>
    <row r="394" s="11" customFormat="1" x14ac:dyDescent="0.3"/>
    <row r="395" s="11" customFormat="1" x14ac:dyDescent="0.3"/>
    <row r="396" s="11" customFormat="1" x14ac:dyDescent="0.3"/>
    <row r="397" s="11" customFormat="1" x14ac:dyDescent="0.3"/>
    <row r="398" s="11" customFormat="1" x14ac:dyDescent="0.3"/>
    <row r="399" s="11" customFormat="1" x14ac:dyDescent="0.3"/>
    <row r="400" s="11" customFormat="1" x14ac:dyDescent="0.3"/>
    <row r="401" s="11" customFormat="1" x14ac:dyDescent="0.3"/>
    <row r="402" s="11" customFormat="1" x14ac:dyDescent="0.3"/>
    <row r="403" s="11" customFormat="1" x14ac:dyDescent="0.3"/>
    <row r="404" s="11" customFormat="1" x14ac:dyDescent="0.3"/>
    <row r="405" s="11" customFormat="1" x14ac:dyDescent="0.3"/>
    <row r="406" s="11" customFormat="1" x14ac:dyDescent="0.3"/>
    <row r="407" s="11" customFormat="1" x14ac:dyDescent="0.3"/>
    <row r="408" s="11" customFormat="1" x14ac:dyDescent="0.3"/>
    <row r="409" s="11" customFormat="1" x14ac:dyDescent="0.3"/>
    <row r="410" s="11" customFormat="1" x14ac:dyDescent="0.3"/>
    <row r="411" s="11" customFormat="1" x14ac:dyDescent="0.3"/>
    <row r="412" s="11" customFormat="1" x14ac:dyDescent="0.3"/>
    <row r="413" s="11" customFormat="1" x14ac:dyDescent="0.3"/>
    <row r="414" s="11" customFormat="1" x14ac:dyDescent="0.3"/>
    <row r="415" s="11" customFormat="1" x14ac:dyDescent="0.3"/>
    <row r="416" s="11" customFormat="1" x14ac:dyDescent="0.3"/>
    <row r="417" s="11" customFormat="1" x14ac:dyDescent="0.3"/>
    <row r="418" s="11" customFormat="1" x14ac:dyDescent="0.3"/>
    <row r="419" s="11" customFormat="1" x14ac:dyDescent="0.3"/>
    <row r="420" s="11" customFormat="1" x14ac:dyDescent="0.3"/>
    <row r="421" s="11" customFormat="1" x14ac:dyDescent="0.3"/>
    <row r="422" s="11" customFormat="1" x14ac:dyDescent="0.3"/>
    <row r="423" s="11" customFormat="1" x14ac:dyDescent="0.3"/>
    <row r="424" s="11" customFormat="1" x14ac:dyDescent="0.3"/>
    <row r="425" s="11" customFormat="1" x14ac:dyDescent="0.3"/>
    <row r="426" s="11" customFormat="1" x14ac:dyDescent="0.3"/>
    <row r="427" s="11" customFormat="1" x14ac:dyDescent="0.3"/>
    <row r="428" s="11" customFormat="1" x14ac:dyDescent="0.3"/>
    <row r="429" s="11" customFormat="1" x14ac:dyDescent="0.3"/>
    <row r="430" s="11" customFormat="1" x14ac:dyDescent="0.3"/>
    <row r="431" s="11" customFormat="1" x14ac:dyDescent="0.3"/>
    <row r="432" s="11" customFormat="1" x14ac:dyDescent="0.3"/>
    <row r="433" s="11" customFormat="1" x14ac:dyDescent="0.3"/>
    <row r="434" s="11" customFormat="1" x14ac:dyDescent="0.3"/>
    <row r="435" s="11" customFormat="1" x14ac:dyDescent="0.3"/>
    <row r="436" s="11" customFormat="1" x14ac:dyDescent="0.3"/>
    <row r="437" s="11" customFormat="1" x14ac:dyDescent="0.3"/>
    <row r="438" s="11" customFormat="1" x14ac:dyDescent="0.3"/>
    <row r="439" s="11" customFormat="1" x14ac:dyDescent="0.3"/>
    <row r="440" s="11" customFormat="1" x14ac:dyDescent="0.3"/>
    <row r="441" s="11" customFormat="1" x14ac:dyDescent="0.3"/>
    <row r="442" s="11" customFormat="1" x14ac:dyDescent="0.3"/>
    <row r="443" s="11" customFormat="1" x14ac:dyDescent="0.3"/>
    <row r="444" s="11" customFormat="1" x14ac:dyDescent="0.3"/>
    <row r="445" s="11" customFormat="1" x14ac:dyDescent="0.3"/>
    <row r="446" s="11" customFormat="1" x14ac:dyDescent="0.3"/>
    <row r="447" s="11" customFormat="1" x14ac:dyDescent="0.3"/>
    <row r="448" s="11" customFormat="1" x14ac:dyDescent="0.3"/>
    <row r="449" s="11" customFormat="1" x14ac:dyDescent="0.3"/>
    <row r="450" s="11" customFormat="1" x14ac:dyDescent="0.3"/>
    <row r="451" s="11" customFormat="1" x14ac:dyDescent="0.3"/>
    <row r="452" s="11" customFormat="1" x14ac:dyDescent="0.3"/>
    <row r="453" s="11" customFormat="1" x14ac:dyDescent="0.3"/>
    <row r="454" s="11" customFormat="1" x14ac:dyDescent="0.3"/>
    <row r="455" s="11" customFormat="1" x14ac:dyDescent="0.3"/>
    <row r="456" s="11" customFormat="1" x14ac:dyDescent="0.3"/>
    <row r="457" s="11" customFormat="1" x14ac:dyDescent="0.3"/>
    <row r="458" s="11" customFormat="1" x14ac:dyDescent="0.3"/>
    <row r="459" s="11" customFormat="1" x14ac:dyDescent="0.3"/>
    <row r="460" s="11" customFormat="1" x14ac:dyDescent="0.3"/>
    <row r="461" s="11" customFormat="1" x14ac:dyDescent="0.3"/>
    <row r="462" s="11" customFormat="1" x14ac:dyDescent="0.3"/>
    <row r="463" s="11" customFormat="1" x14ac:dyDescent="0.3"/>
    <row r="464" s="11" customFormat="1" x14ac:dyDescent="0.3"/>
    <row r="465" s="11" customFormat="1" x14ac:dyDescent="0.3"/>
    <row r="466" s="11" customFormat="1" x14ac:dyDescent="0.3"/>
    <row r="467" s="11" customFormat="1" x14ac:dyDescent="0.3"/>
    <row r="468" s="11" customFormat="1" x14ac:dyDescent="0.3"/>
    <row r="469" s="11" customFormat="1" x14ac:dyDescent="0.3"/>
    <row r="470" s="11" customFormat="1" x14ac:dyDescent="0.3"/>
    <row r="471" s="11" customFormat="1" x14ac:dyDescent="0.3"/>
    <row r="472" s="11" customFormat="1" x14ac:dyDescent="0.3"/>
    <row r="473" s="11" customFormat="1" x14ac:dyDescent="0.3"/>
    <row r="474" s="11" customFormat="1" x14ac:dyDescent="0.3"/>
    <row r="475" s="11" customFormat="1" x14ac:dyDescent="0.3"/>
    <row r="476" s="11" customFormat="1" x14ac:dyDescent="0.3"/>
    <row r="477" s="11" customFormat="1" x14ac:dyDescent="0.3"/>
    <row r="478" s="11" customFormat="1" x14ac:dyDescent="0.3"/>
    <row r="479" s="11" customFormat="1" x14ac:dyDescent="0.3"/>
    <row r="480" s="11" customFormat="1" x14ac:dyDescent="0.3"/>
    <row r="481" s="11" customFormat="1" x14ac:dyDescent="0.3"/>
    <row r="482" s="11" customFormat="1" x14ac:dyDescent="0.3"/>
    <row r="483" s="11" customFormat="1" x14ac:dyDescent="0.3"/>
    <row r="484" s="11" customFormat="1" x14ac:dyDescent="0.3"/>
    <row r="485" s="11" customFormat="1" x14ac:dyDescent="0.3"/>
    <row r="486" s="11" customFormat="1" x14ac:dyDescent="0.3"/>
    <row r="487" s="11" customFormat="1" x14ac:dyDescent="0.3"/>
    <row r="488" s="11" customFormat="1" x14ac:dyDescent="0.3"/>
    <row r="489" s="11" customFormat="1" x14ac:dyDescent="0.3"/>
    <row r="490" s="11" customFormat="1" x14ac:dyDescent="0.3"/>
    <row r="491" s="11" customFormat="1" x14ac:dyDescent="0.3"/>
    <row r="492" s="11" customFormat="1" x14ac:dyDescent="0.3"/>
    <row r="493" s="11" customFormat="1" x14ac:dyDescent="0.3"/>
    <row r="494" s="11" customFormat="1" x14ac:dyDescent="0.3"/>
    <row r="495" s="11" customFormat="1" x14ac:dyDescent="0.3"/>
    <row r="496" s="11" customFormat="1" x14ac:dyDescent="0.3"/>
    <row r="497" s="11" customFormat="1" x14ac:dyDescent="0.3"/>
    <row r="498" s="11" customFormat="1" x14ac:dyDescent="0.3"/>
    <row r="499" s="11" customFormat="1" x14ac:dyDescent="0.3"/>
    <row r="500" s="11" customFormat="1" x14ac:dyDescent="0.3"/>
    <row r="501" s="11" customFormat="1" x14ac:dyDescent="0.3"/>
    <row r="502" s="11" customFormat="1" x14ac:dyDescent="0.3"/>
    <row r="503" s="11" customFormat="1" x14ac:dyDescent="0.3"/>
    <row r="504" s="11" customFormat="1" x14ac:dyDescent="0.3"/>
    <row r="505" s="11" customFormat="1" x14ac:dyDescent="0.3"/>
    <row r="506" s="11" customFormat="1" x14ac:dyDescent="0.3"/>
    <row r="507" s="11" customFormat="1" x14ac:dyDescent="0.3"/>
    <row r="508" s="11" customFormat="1" x14ac:dyDescent="0.3"/>
    <row r="509" s="11" customFormat="1" x14ac:dyDescent="0.3"/>
    <row r="510" s="11" customFormat="1" x14ac:dyDescent="0.3"/>
    <row r="511" s="11" customFormat="1" x14ac:dyDescent="0.3"/>
    <row r="512" s="11" customFormat="1" x14ac:dyDescent="0.3"/>
    <row r="513" s="11" customFormat="1" x14ac:dyDescent="0.3"/>
    <row r="514" s="11" customFormat="1" x14ac:dyDescent="0.3"/>
    <row r="515" s="11" customFormat="1" x14ac:dyDescent="0.3"/>
    <row r="516" s="11" customFormat="1" x14ac:dyDescent="0.3"/>
    <row r="517" s="11" customFormat="1" x14ac:dyDescent="0.3"/>
    <row r="518" s="11" customFormat="1" x14ac:dyDescent="0.3"/>
    <row r="519" s="11" customFormat="1" x14ac:dyDescent="0.3"/>
    <row r="520" s="11" customFormat="1" x14ac:dyDescent="0.3"/>
    <row r="521" s="11" customFormat="1" x14ac:dyDescent="0.3"/>
    <row r="522" s="11" customFormat="1" x14ac:dyDescent="0.3"/>
    <row r="523" s="11" customFormat="1" x14ac:dyDescent="0.3"/>
    <row r="524" s="11" customFormat="1" x14ac:dyDescent="0.3"/>
    <row r="525" s="11" customFormat="1" x14ac:dyDescent="0.3"/>
    <row r="526" s="11" customFormat="1" x14ac:dyDescent="0.3"/>
    <row r="527" s="11" customFormat="1" x14ac:dyDescent="0.3"/>
    <row r="528" s="11" customFormat="1" x14ac:dyDescent="0.3"/>
    <row r="529" s="11" customFormat="1" x14ac:dyDescent="0.3"/>
    <row r="530" s="11" customFormat="1" x14ac:dyDescent="0.3"/>
    <row r="531" s="11" customFormat="1" x14ac:dyDescent="0.3"/>
    <row r="532" s="11" customFormat="1" x14ac:dyDescent="0.3"/>
    <row r="533" s="11" customFormat="1" x14ac:dyDescent="0.3"/>
    <row r="534" s="11" customFormat="1" x14ac:dyDescent="0.3"/>
    <row r="535" s="11" customFormat="1" x14ac:dyDescent="0.3"/>
    <row r="536" s="11" customFormat="1" x14ac:dyDescent="0.3"/>
    <row r="537" s="11" customFormat="1" x14ac:dyDescent="0.3"/>
    <row r="538" s="11" customFormat="1" x14ac:dyDescent="0.3"/>
    <row r="539" s="11" customFormat="1" x14ac:dyDescent="0.3"/>
    <row r="540" s="11" customFormat="1" x14ac:dyDescent="0.3"/>
    <row r="541" s="11" customFormat="1" x14ac:dyDescent="0.3"/>
    <row r="542" s="11" customFormat="1" x14ac:dyDescent="0.3"/>
    <row r="543" s="11" customFormat="1" x14ac:dyDescent="0.3"/>
    <row r="544" s="11" customFormat="1" x14ac:dyDescent="0.3"/>
    <row r="545" s="11" customFormat="1" x14ac:dyDescent="0.3"/>
    <row r="546" s="11" customFormat="1" x14ac:dyDescent="0.3"/>
    <row r="547" s="11" customFormat="1" x14ac:dyDescent="0.3"/>
    <row r="548" s="11" customFormat="1" x14ac:dyDescent="0.3"/>
    <row r="549" s="11" customFormat="1" x14ac:dyDescent="0.3"/>
    <row r="550" s="11" customFormat="1" x14ac:dyDescent="0.3"/>
    <row r="551" s="11" customFormat="1" x14ac:dyDescent="0.3"/>
    <row r="552" s="11" customFormat="1" x14ac:dyDescent="0.3"/>
    <row r="553" s="11" customFormat="1" x14ac:dyDescent="0.3"/>
    <row r="554" s="11" customFormat="1" x14ac:dyDescent="0.3"/>
    <row r="555" s="11" customFormat="1" x14ac:dyDescent="0.3"/>
    <row r="556" s="11" customFormat="1" x14ac:dyDescent="0.3"/>
    <row r="557" s="11" customFormat="1" x14ac:dyDescent="0.3"/>
    <row r="558" s="11" customFormat="1" x14ac:dyDescent="0.3"/>
    <row r="559" s="11" customFormat="1" x14ac:dyDescent="0.3"/>
    <row r="560" s="11" customFormat="1" x14ac:dyDescent="0.3"/>
    <row r="561" s="11" customFormat="1" x14ac:dyDescent="0.3"/>
    <row r="562" s="11" customFormat="1" x14ac:dyDescent="0.3"/>
    <row r="563" s="11" customFormat="1" x14ac:dyDescent="0.3"/>
    <row r="564" s="11" customFormat="1" x14ac:dyDescent="0.3"/>
    <row r="565" s="11" customFormat="1" x14ac:dyDescent="0.3"/>
    <row r="566" s="11" customFormat="1" x14ac:dyDescent="0.3"/>
    <row r="567" s="11" customFormat="1" x14ac:dyDescent="0.3"/>
    <row r="568" s="11" customFormat="1" x14ac:dyDescent="0.3"/>
    <row r="569" s="11" customFormat="1" x14ac:dyDescent="0.3"/>
    <row r="570" s="11" customFormat="1" x14ac:dyDescent="0.3"/>
    <row r="571" s="11" customFormat="1" x14ac:dyDescent="0.3"/>
    <row r="572" s="11" customFormat="1" x14ac:dyDescent="0.3"/>
    <row r="573" s="11" customFormat="1" x14ac:dyDescent="0.3"/>
    <row r="574" s="11" customFormat="1" x14ac:dyDescent="0.3"/>
    <row r="575" s="11" customFormat="1" x14ac:dyDescent="0.3"/>
    <row r="576" s="11" customFormat="1" x14ac:dyDescent="0.3"/>
    <row r="577" s="11" customFormat="1" x14ac:dyDescent="0.3"/>
    <row r="578" s="11" customFormat="1" x14ac:dyDescent="0.3"/>
    <row r="579" s="11" customFormat="1" x14ac:dyDescent="0.3"/>
    <row r="580" s="11" customFormat="1" x14ac:dyDescent="0.3"/>
    <row r="581" s="11" customFormat="1" x14ac:dyDescent="0.3"/>
    <row r="582" s="11" customFormat="1" x14ac:dyDescent="0.3"/>
    <row r="583" s="11" customFormat="1" x14ac:dyDescent="0.3"/>
    <row r="584" s="11" customFormat="1" x14ac:dyDescent="0.3"/>
    <row r="585" s="11" customFormat="1" x14ac:dyDescent="0.3"/>
    <row r="586" s="11" customFormat="1" x14ac:dyDescent="0.3"/>
    <row r="587" s="11" customFormat="1" x14ac:dyDescent="0.3"/>
    <row r="588" s="11" customFormat="1" x14ac:dyDescent="0.3"/>
    <row r="589" s="11" customFormat="1" x14ac:dyDescent="0.3"/>
    <row r="590" s="11" customFormat="1" x14ac:dyDescent="0.3"/>
    <row r="591" s="11" customFormat="1" x14ac:dyDescent="0.3"/>
    <row r="592" s="11" customFormat="1" x14ac:dyDescent="0.3"/>
    <row r="593" s="11" customFormat="1" x14ac:dyDescent="0.3"/>
    <row r="594" s="11" customFormat="1" x14ac:dyDescent="0.3"/>
    <row r="595" s="11" customFormat="1" x14ac:dyDescent="0.3"/>
    <row r="596" s="11" customFormat="1" x14ac:dyDescent="0.3"/>
    <row r="597" s="11" customFormat="1" x14ac:dyDescent="0.3"/>
    <row r="598" s="11" customFormat="1" x14ac:dyDescent="0.3"/>
    <row r="599" s="11" customFormat="1" x14ac:dyDescent="0.3"/>
    <row r="600" s="11" customFormat="1" x14ac:dyDescent="0.3"/>
    <row r="601" s="11" customFormat="1" x14ac:dyDescent="0.3"/>
    <row r="602" s="11" customFormat="1" x14ac:dyDescent="0.3"/>
    <row r="603" s="11" customFormat="1" x14ac:dyDescent="0.3"/>
    <row r="604" s="11" customFormat="1" x14ac:dyDescent="0.3"/>
    <row r="605" s="11" customFormat="1" x14ac:dyDescent="0.3"/>
    <row r="606" s="11" customFormat="1" x14ac:dyDescent="0.3"/>
    <row r="607" s="11" customFormat="1" x14ac:dyDescent="0.3"/>
    <row r="608" s="11" customFormat="1" x14ac:dyDescent="0.3"/>
    <row r="609" s="11" customFormat="1" x14ac:dyDescent="0.3"/>
    <row r="610" s="11" customFormat="1" x14ac:dyDescent="0.3"/>
    <row r="611" s="11" customFormat="1" x14ac:dyDescent="0.3"/>
    <row r="612" s="11" customFormat="1" x14ac:dyDescent="0.3"/>
    <row r="613" s="11" customFormat="1" x14ac:dyDescent="0.3"/>
    <row r="614" s="11" customFormat="1" x14ac:dyDescent="0.3"/>
    <row r="615" s="11" customFormat="1" x14ac:dyDescent="0.3"/>
    <row r="616" s="11" customFormat="1" x14ac:dyDescent="0.3"/>
    <row r="617" s="11" customFormat="1" x14ac:dyDescent="0.3"/>
    <row r="618" s="11" customFormat="1" x14ac:dyDescent="0.3"/>
    <row r="619" s="11" customFormat="1" x14ac:dyDescent="0.3"/>
    <row r="620" s="11" customFormat="1" x14ac:dyDescent="0.3"/>
    <row r="621" s="11" customFormat="1" x14ac:dyDescent="0.3"/>
    <row r="622" s="11" customFormat="1" x14ac:dyDescent="0.3"/>
    <row r="623" s="11" customFormat="1" x14ac:dyDescent="0.3"/>
    <row r="624" s="11" customFormat="1" x14ac:dyDescent="0.3"/>
    <row r="625" s="11" customFormat="1" x14ac:dyDescent="0.3"/>
    <row r="626" s="11" customFormat="1" x14ac:dyDescent="0.3"/>
    <row r="627" s="11" customFormat="1" x14ac:dyDescent="0.3"/>
    <row r="628" s="11" customFormat="1" x14ac:dyDescent="0.3"/>
    <row r="629" s="11" customFormat="1" x14ac:dyDescent="0.3"/>
    <row r="630" s="11" customFormat="1" x14ac:dyDescent="0.3"/>
    <row r="631" s="11" customFormat="1" x14ac:dyDescent="0.3"/>
    <row r="632" s="11" customFormat="1" x14ac:dyDescent="0.3"/>
    <row r="633" s="11" customFormat="1" x14ac:dyDescent="0.3"/>
    <row r="634" s="11" customFormat="1" x14ac:dyDescent="0.3"/>
    <row r="635" s="11" customFormat="1" x14ac:dyDescent="0.3"/>
    <row r="636" s="11" customFormat="1" x14ac:dyDescent="0.3"/>
    <row r="637" s="11" customFormat="1" x14ac:dyDescent="0.3"/>
    <row r="638" s="11" customFormat="1" x14ac:dyDescent="0.3"/>
    <row r="639" s="11" customFormat="1" x14ac:dyDescent="0.3"/>
    <row r="640" s="11" customFormat="1" x14ac:dyDescent="0.3"/>
    <row r="641" s="11" customFormat="1" x14ac:dyDescent="0.3"/>
    <row r="642" s="11" customFormat="1" x14ac:dyDescent="0.3"/>
    <row r="643" s="11" customFormat="1" x14ac:dyDescent="0.3"/>
    <row r="644" s="11" customFormat="1" x14ac:dyDescent="0.3"/>
    <row r="645" s="11" customFormat="1" x14ac:dyDescent="0.3"/>
    <row r="646" s="11" customFormat="1" x14ac:dyDescent="0.3"/>
    <row r="647" s="11" customFormat="1" x14ac:dyDescent="0.3"/>
    <row r="648" s="11" customFormat="1" x14ac:dyDescent="0.3"/>
    <row r="649" s="11" customFormat="1" x14ac:dyDescent="0.3"/>
    <row r="650" s="11" customFormat="1" x14ac:dyDescent="0.3"/>
    <row r="651" s="11" customFormat="1" x14ac:dyDescent="0.3"/>
    <row r="652" s="11" customFormat="1" x14ac:dyDescent="0.3"/>
    <row r="653" s="11" customFormat="1" x14ac:dyDescent="0.3"/>
    <row r="654" s="11" customFormat="1" x14ac:dyDescent="0.3"/>
    <row r="655" s="11" customFormat="1" x14ac:dyDescent="0.3"/>
    <row r="656" s="11" customFormat="1" x14ac:dyDescent="0.3"/>
    <row r="657" s="11" customFormat="1" x14ac:dyDescent="0.3"/>
    <row r="658" s="11" customFormat="1" x14ac:dyDescent="0.3"/>
    <row r="659" s="11" customFormat="1" x14ac:dyDescent="0.3"/>
    <row r="660" s="11" customFormat="1" x14ac:dyDescent="0.3"/>
    <row r="661" s="11" customFormat="1" x14ac:dyDescent="0.3"/>
    <row r="662" s="11" customFormat="1" x14ac:dyDescent="0.3"/>
    <row r="663" s="11" customFormat="1" x14ac:dyDescent="0.3"/>
    <row r="664" s="11" customFormat="1" x14ac:dyDescent="0.3"/>
    <row r="665" s="11" customFormat="1" x14ac:dyDescent="0.3"/>
    <row r="666" s="11" customFormat="1" x14ac:dyDescent="0.3"/>
    <row r="667" s="11" customFormat="1" x14ac:dyDescent="0.3"/>
    <row r="668" s="11" customFormat="1" x14ac:dyDescent="0.3"/>
    <row r="669" s="11" customFormat="1" x14ac:dyDescent="0.3"/>
    <row r="670" s="11" customFormat="1" x14ac:dyDescent="0.3"/>
    <row r="671" s="11" customFormat="1" x14ac:dyDescent="0.3"/>
    <row r="672" s="11" customFormat="1" x14ac:dyDescent="0.3"/>
    <row r="673" s="11" customFormat="1" x14ac:dyDescent="0.3"/>
    <row r="674" s="11" customFormat="1" x14ac:dyDescent="0.3"/>
    <row r="675" s="11" customFormat="1" x14ac:dyDescent="0.3"/>
    <row r="676" s="11" customFormat="1" x14ac:dyDescent="0.3"/>
    <row r="677" s="11" customFormat="1" x14ac:dyDescent="0.3"/>
    <row r="678" s="11" customFormat="1" x14ac:dyDescent="0.3"/>
    <row r="679" s="11" customFormat="1" x14ac:dyDescent="0.3"/>
    <row r="680" s="11" customFormat="1" x14ac:dyDescent="0.3"/>
    <row r="681" s="11" customFormat="1" x14ac:dyDescent="0.3"/>
    <row r="682" s="11" customFormat="1" x14ac:dyDescent="0.3"/>
    <row r="683" s="11" customFormat="1" x14ac:dyDescent="0.3"/>
    <row r="684" s="11" customFormat="1" x14ac:dyDescent="0.3"/>
    <row r="685" s="11" customFormat="1" x14ac:dyDescent="0.3"/>
    <row r="686" s="11" customFormat="1" x14ac:dyDescent="0.3"/>
    <row r="687" s="11" customFormat="1" x14ac:dyDescent="0.3"/>
    <row r="688" s="11" customFormat="1" x14ac:dyDescent="0.3"/>
    <row r="689" s="11" customFormat="1" x14ac:dyDescent="0.3"/>
    <row r="690" s="11" customFormat="1" x14ac:dyDescent="0.3"/>
    <row r="691" s="11" customFormat="1" x14ac:dyDescent="0.3"/>
    <row r="692" s="11" customFormat="1" x14ac:dyDescent="0.3"/>
    <row r="693" s="11" customFormat="1" x14ac:dyDescent="0.3"/>
    <row r="694" s="11" customFormat="1" x14ac:dyDescent="0.3"/>
    <row r="695" s="11" customFormat="1" x14ac:dyDescent="0.3"/>
    <row r="696" s="11" customFormat="1" x14ac:dyDescent="0.3"/>
    <row r="697" s="11" customFormat="1" x14ac:dyDescent="0.3"/>
    <row r="698" s="11" customFormat="1" x14ac:dyDescent="0.3"/>
    <row r="699" s="11" customFormat="1" x14ac:dyDescent="0.3"/>
    <row r="700" s="11" customFormat="1" x14ac:dyDescent="0.3"/>
    <row r="701" s="11" customFormat="1" x14ac:dyDescent="0.3"/>
    <row r="702" s="11" customFormat="1" x14ac:dyDescent="0.3"/>
    <row r="703" s="11" customFormat="1" x14ac:dyDescent="0.3"/>
    <row r="704" s="11" customFormat="1" x14ac:dyDescent="0.3"/>
    <row r="705" s="11" customFormat="1" x14ac:dyDescent="0.3"/>
    <row r="706" s="11" customFormat="1" x14ac:dyDescent="0.3"/>
    <row r="707" s="11" customFormat="1" x14ac:dyDescent="0.3"/>
    <row r="708" s="11" customFormat="1" x14ac:dyDescent="0.3"/>
    <row r="709" s="11" customFormat="1" x14ac:dyDescent="0.3"/>
    <row r="710" s="11" customFormat="1" x14ac:dyDescent="0.3"/>
    <row r="711" s="11" customFormat="1" x14ac:dyDescent="0.3"/>
    <row r="712" s="11" customFormat="1" x14ac:dyDescent="0.3"/>
    <row r="713" s="11" customFormat="1" x14ac:dyDescent="0.3"/>
    <row r="714" s="11" customFormat="1" x14ac:dyDescent="0.3"/>
    <row r="715" s="11" customFormat="1" x14ac:dyDescent="0.3"/>
    <row r="716" s="11" customFormat="1" x14ac:dyDescent="0.3"/>
    <row r="717" s="11" customFormat="1" x14ac:dyDescent="0.3"/>
    <row r="718" s="11" customFormat="1" x14ac:dyDescent="0.3"/>
    <row r="719" s="11" customFormat="1" x14ac:dyDescent="0.3"/>
    <row r="720" s="11" customFormat="1" x14ac:dyDescent="0.3"/>
    <row r="721" s="11" customFormat="1" x14ac:dyDescent="0.3"/>
    <row r="722" s="11" customFormat="1" x14ac:dyDescent="0.3"/>
    <row r="723" s="11" customFormat="1" x14ac:dyDescent="0.3"/>
    <row r="724" s="11" customFormat="1" x14ac:dyDescent="0.3"/>
    <row r="725" s="11" customFormat="1" x14ac:dyDescent="0.3"/>
    <row r="726" s="11" customFormat="1" x14ac:dyDescent="0.3"/>
    <row r="727" s="11" customFormat="1" x14ac:dyDescent="0.3"/>
    <row r="728" s="11" customFormat="1" x14ac:dyDescent="0.3"/>
    <row r="729" s="11" customFormat="1" x14ac:dyDescent="0.3"/>
    <row r="730" s="11" customFormat="1" x14ac:dyDescent="0.3"/>
    <row r="731" s="11" customFormat="1" x14ac:dyDescent="0.3"/>
    <row r="732" s="11" customFormat="1" x14ac:dyDescent="0.3"/>
    <row r="733" s="11" customFormat="1" x14ac:dyDescent="0.3"/>
    <row r="734" s="11" customFormat="1" x14ac:dyDescent="0.3"/>
    <row r="735" s="11" customFormat="1" x14ac:dyDescent="0.3"/>
    <row r="736" s="11" customFormat="1" x14ac:dyDescent="0.3"/>
    <row r="737" s="11" customFormat="1" x14ac:dyDescent="0.3"/>
    <row r="738" s="11" customFormat="1" x14ac:dyDescent="0.3"/>
    <row r="739" s="11" customFormat="1" x14ac:dyDescent="0.3"/>
    <row r="740" s="11" customFormat="1" x14ac:dyDescent="0.3"/>
    <row r="741" s="11" customFormat="1" x14ac:dyDescent="0.3"/>
    <row r="742" s="11" customFormat="1" x14ac:dyDescent="0.3"/>
    <row r="743" s="11" customFormat="1" x14ac:dyDescent="0.3"/>
    <row r="744" s="11" customFormat="1" x14ac:dyDescent="0.3"/>
    <row r="745" s="11" customFormat="1" x14ac:dyDescent="0.3"/>
    <row r="746" s="11" customFormat="1" x14ac:dyDescent="0.3"/>
    <row r="747" s="11" customFormat="1" x14ac:dyDescent="0.3"/>
    <row r="748" s="11" customFormat="1" x14ac:dyDescent="0.3"/>
    <row r="749" s="11" customFormat="1" x14ac:dyDescent="0.3"/>
    <row r="750" s="11" customFormat="1" x14ac:dyDescent="0.3"/>
    <row r="751" s="11" customFormat="1" x14ac:dyDescent="0.3"/>
    <row r="752" s="11" customFormat="1" x14ac:dyDescent="0.3"/>
    <row r="753" s="11" customFormat="1" x14ac:dyDescent="0.3"/>
    <row r="754" s="11" customFormat="1" x14ac:dyDescent="0.3"/>
    <row r="755" s="11" customFormat="1" x14ac:dyDescent="0.3"/>
    <row r="756" s="11" customFormat="1" x14ac:dyDescent="0.3"/>
    <row r="757" s="11" customFormat="1" x14ac:dyDescent="0.3"/>
    <row r="758" s="11" customFormat="1" x14ac:dyDescent="0.3"/>
    <row r="759" s="11" customFormat="1" x14ac:dyDescent="0.3"/>
    <row r="760" s="11" customFormat="1" x14ac:dyDescent="0.3"/>
    <row r="761" s="11" customFormat="1" x14ac:dyDescent="0.3"/>
    <row r="762" s="11" customFormat="1" x14ac:dyDescent="0.3"/>
    <row r="763" s="11" customFormat="1" x14ac:dyDescent="0.3"/>
    <row r="764" s="11" customFormat="1" x14ac:dyDescent="0.3"/>
    <row r="765" s="11" customFormat="1" x14ac:dyDescent="0.3"/>
    <row r="766" s="11" customFormat="1" x14ac:dyDescent="0.3"/>
    <row r="767" s="11" customFormat="1" x14ac:dyDescent="0.3"/>
    <row r="768" s="11" customFormat="1" x14ac:dyDescent="0.3"/>
    <row r="769" s="11" customFormat="1" x14ac:dyDescent="0.3"/>
    <row r="770" s="11" customFormat="1" x14ac:dyDescent="0.3"/>
    <row r="771" s="11" customFormat="1" x14ac:dyDescent="0.3"/>
    <row r="772" s="11" customFormat="1" x14ac:dyDescent="0.3"/>
    <row r="773" s="11" customFormat="1" x14ac:dyDescent="0.3"/>
    <row r="774" s="11" customFormat="1" x14ac:dyDescent="0.3"/>
    <row r="775" s="11" customFormat="1" x14ac:dyDescent="0.3"/>
    <row r="776" s="11" customFormat="1" x14ac:dyDescent="0.3"/>
    <row r="777" s="11" customFormat="1" x14ac:dyDescent="0.3"/>
    <row r="778" s="11" customFormat="1" x14ac:dyDescent="0.3"/>
    <row r="779" s="11" customFormat="1" x14ac:dyDescent="0.3"/>
    <row r="780" s="11" customFormat="1" x14ac:dyDescent="0.3"/>
    <row r="781" s="11" customFormat="1" x14ac:dyDescent="0.3"/>
    <row r="782" s="11" customFormat="1" x14ac:dyDescent="0.3"/>
    <row r="783" s="11" customFormat="1" x14ac:dyDescent="0.3"/>
    <row r="784" s="11" customFormat="1" x14ac:dyDescent="0.3"/>
    <row r="785" s="11" customFormat="1" x14ac:dyDescent="0.3"/>
    <row r="786" s="11" customFormat="1" x14ac:dyDescent="0.3"/>
    <row r="787" s="11" customFormat="1" x14ac:dyDescent="0.3"/>
    <row r="788" s="11" customFormat="1" x14ac:dyDescent="0.3"/>
    <row r="789" s="11" customFormat="1" x14ac:dyDescent="0.3"/>
    <row r="790" s="11" customFormat="1" x14ac:dyDescent="0.3"/>
    <row r="791" s="11" customFormat="1" x14ac:dyDescent="0.3"/>
    <row r="792" s="11" customFormat="1" x14ac:dyDescent="0.3"/>
    <row r="793" s="11" customFormat="1" x14ac:dyDescent="0.3"/>
    <row r="794" s="11" customFormat="1" x14ac:dyDescent="0.3"/>
    <row r="795" s="11" customFormat="1" x14ac:dyDescent="0.3"/>
    <row r="796" s="11" customFormat="1" x14ac:dyDescent="0.3"/>
    <row r="797" s="11" customFormat="1" x14ac:dyDescent="0.3"/>
    <row r="798" s="11" customFormat="1" x14ac:dyDescent="0.3"/>
    <row r="799" s="11" customFormat="1" x14ac:dyDescent="0.3"/>
    <row r="800" s="11" customFormat="1" x14ac:dyDescent="0.3"/>
    <row r="801" s="11" customFormat="1" x14ac:dyDescent="0.3"/>
    <row r="802" s="11" customFormat="1" x14ac:dyDescent="0.3"/>
    <row r="803" s="11" customFormat="1" x14ac:dyDescent="0.3"/>
    <row r="804" s="11" customFormat="1" x14ac:dyDescent="0.3"/>
    <row r="805" s="11" customFormat="1" x14ac:dyDescent="0.3"/>
    <row r="806" s="11" customFormat="1" x14ac:dyDescent="0.3"/>
    <row r="807" s="11" customFormat="1" x14ac:dyDescent="0.3"/>
    <row r="808" s="11" customFormat="1" x14ac:dyDescent="0.3"/>
    <row r="809" s="11" customFormat="1" x14ac:dyDescent="0.3"/>
    <row r="810" s="11" customFormat="1" x14ac:dyDescent="0.3"/>
    <row r="811" s="11" customFormat="1" x14ac:dyDescent="0.3"/>
    <row r="812" s="11" customFormat="1" x14ac:dyDescent="0.3"/>
    <row r="813" s="11" customFormat="1" x14ac:dyDescent="0.3"/>
    <row r="814" s="11" customFormat="1" x14ac:dyDescent="0.3"/>
    <row r="815" s="11" customFormat="1" x14ac:dyDescent="0.3"/>
    <row r="816" s="11" customFormat="1" x14ac:dyDescent="0.3"/>
    <row r="817" s="11" customFormat="1" x14ac:dyDescent="0.3"/>
    <row r="818" s="11" customFormat="1" x14ac:dyDescent="0.3"/>
    <row r="819" s="11" customFormat="1" x14ac:dyDescent="0.3"/>
    <row r="820" s="11" customFormat="1" x14ac:dyDescent="0.3"/>
    <row r="821" s="11" customFormat="1" x14ac:dyDescent="0.3"/>
    <row r="822" s="11" customFormat="1" x14ac:dyDescent="0.3"/>
    <row r="823" s="11" customFormat="1" x14ac:dyDescent="0.3"/>
    <row r="824" s="11" customFormat="1" x14ac:dyDescent="0.3"/>
    <row r="825" s="11" customFormat="1" x14ac:dyDescent="0.3"/>
    <row r="826" s="11" customFormat="1" x14ac:dyDescent="0.3"/>
    <row r="827" s="11" customFormat="1" x14ac:dyDescent="0.3"/>
    <row r="828" s="11" customFormat="1" x14ac:dyDescent="0.3"/>
    <row r="829" s="11" customFormat="1" x14ac:dyDescent="0.3"/>
    <row r="830" s="11" customFormat="1" x14ac:dyDescent="0.3"/>
    <row r="831" s="11" customFormat="1" x14ac:dyDescent="0.3"/>
    <row r="832" s="11" customFormat="1" x14ac:dyDescent="0.3"/>
    <row r="833" s="11" customFormat="1" x14ac:dyDescent="0.3"/>
    <row r="834" s="11" customFormat="1" x14ac:dyDescent="0.3"/>
    <row r="835" s="11" customFormat="1" x14ac:dyDescent="0.3"/>
    <row r="836" s="11" customFormat="1" x14ac:dyDescent="0.3"/>
    <row r="837" s="11" customFormat="1" x14ac:dyDescent="0.3"/>
    <row r="838" s="11" customFormat="1" x14ac:dyDescent="0.3"/>
    <row r="839" s="11" customFormat="1" x14ac:dyDescent="0.3"/>
    <row r="840" s="11" customFormat="1" x14ac:dyDescent="0.3"/>
    <row r="841" s="11" customFormat="1" x14ac:dyDescent="0.3"/>
    <row r="842" s="11" customFormat="1" x14ac:dyDescent="0.3"/>
    <row r="843" s="11" customFormat="1" x14ac:dyDescent="0.3"/>
    <row r="844" s="11" customFormat="1" x14ac:dyDescent="0.3"/>
    <row r="845" s="11" customFormat="1" x14ac:dyDescent="0.3"/>
    <row r="846" s="11" customFormat="1" x14ac:dyDescent="0.3"/>
    <row r="847" s="11" customFormat="1" x14ac:dyDescent="0.3"/>
    <row r="848" s="11" customFormat="1" x14ac:dyDescent="0.3"/>
    <row r="849" s="11" customFormat="1" x14ac:dyDescent="0.3"/>
    <row r="850" s="11" customFormat="1" x14ac:dyDescent="0.3"/>
    <row r="851" s="11" customFormat="1" x14ac:dyDescent="0.3"/>
    <row r="852" s="11" customFormat="1" x14ac:dyDescent="0.3"/>
    <row r="853" s="11" customFormat="1" x14ac:dyDescent="0.3"/>
    <row r="854" s="11" customFormat="1" x14ac:dyDescent="0.3"/>
    <row r="855" s="11" customFormat="1" x14ac:dyDescent="0.3"/>
    <row r="856" s="11" customFormat="1" x14ac:dyDescent="0.3"/>
    <row r="857" s="11" customFormat="1" x14ac:dyDescent="0.3"/>
    <row r="858" s="11" customFormat="1" x14ac:dyDescent="0.3"/>
    <row r="859" s="11" customFormat="1" x14ac:dyDescent="0.3"/>
    <row r="860" s="11" customFormat="1" x14ac:dyDescent="0.3"/>
    <row r="861" s="11" customFormat="1" x14ac:dyDescent="0.3"/>
    <row r="862" s="11" customFormat="1" x14ac:dyDescent="0.3"/>
    <row r="863" s="11" customFormat="1" x14ac:dyDescent="0.3"/>
    <row r="864" s="11" customFormat="1" x14ac:dyDescent="0.3"/>
    <row r="865" s="11" customFormat="1" x14ac:dyDescent="0.3"/>
    <row r="866" s="11" customFormat="1" x14ac:dyDescent="0.3"/>
    <row r="867" s="11" customFormat="1" x14ac:dyDescent="0.3"/>
    <row r="868" s="11" customFormat="1" x14ac:dyDescent="0.3"/>
    <row r="869" s="11" customFormat="1" x14ac:dyDescent="0.3"/>
    <row r="870" s="11" customFormat="1" x14ac:dyDescent="0.3"/>
    <row r="871" s="11" customFormat="1" x14ac:dyDescent="0.3"/>
    <row r="872" s="11" customFormat="1" x14ac:dyDescent="0.3"/>
    <row r="873" s="11" customFormat="1" x14ac:dyDescent="0.3"/>
    <row r="874" s="11" customFormat="1" x14ac:dyDescent="0.3"/>
    <row r="875" s="11" customFormat="1" x14ac:dyDescent="0.3"/>
    <row r="876" s="11" customFormat="1" x14ac:dyDescent="0.3"/>
    <row r="877" s="11" customFormat="1" x14ac:dyDescent="0.3"/>
    <row r="878" s="11" customFormat="1" x14ac:dyDescent="0.3"/>
    <row r="879" s="11" customFormat="1" x14ac:dyDescent="0.3"/>
    <row r="880" s="11" customFormat="1" x14ac:dyDescent="0.3"/>
    <row r="881" s="11" customFormat="1" x14ac:dyDescent="0.3"/>
    <row r="882" s="11" customFormat="1" x14ac:dyDescent="0.3"/>
    <row r="883" s="11" customFormat="1" x14ac:dyDescent="0.3"/>
    <row r="884" s="11" customFormat="1" x14ac:dyDescent="0.3"/>
    <row r="885" s="11" customFormat="1" x14ac:dyDescent="0.3"/>
    <row r="886" s="11" customFormat="1" x14ac:dyDescent="0.3"/>
    <row r="887" s="11" customFormat="1" x14ac:dyDescent="0.3"/>
    <row r="888" s="11" customFormat="1" x14ac:dyDescent="0.3"/>
    <row r="889" s="11" customFormat="1" x14ac:dyDescent="0.3"/>
    <row r="890" s="11" customFormat="1" x14ac:dyDescent="0.3"/>
    <row r="891" s="11" customFormat="1" x14ac:dyDescent="0.3"/>
    <row r="892" s="11" customFormat="1" x14ac:dyDescent="0.3"/>
    <row r="893" s="11" customFormat="1" x14ac:dyDescent="0.3"/>
    <row r="894" s="11" customFormat="1" x14ac:dyDescent="0.3"/>
    <row r="895" s="11" customFormat="1" x14ac:dyDescent="0.3"/>
    <row r="896" s="11" customFormat="1" x14ac:dyDescent="0.3"/>
    <row r="897" s="11" customFormat="1" x14ac:dyDescent="0.3"/>
    <row r="898" s="11" customFormat="1" x14ac:dyDescent="0.3"/>
    <row r="899" s="11" customFormat="1" x14ac:dyDescent="0.3"/>
    <row r="900" s="11" customFormat="1" x14ac:dyDescent="0.3"/>
    <row r="901" s="11" customFormat="1" x14ac:dyDescent="0.3"/>
    <row r="902" s="11" customFormat="1" x14ac:dyDescent="0.3"/>
    <row r="903" s="11" customFormat="1" x14ac:dyDescent="0.3"/>
    <row r="904" s="11" customFormat="1" x14ac:dyDescent="0.3"/>
    <row r="905" s="11" customFormat="1" x14ac:dyDescent="0.3"/>
    <row r="906" s="11" customFormat="1" x14ac:dyDescent="0.3"/>
    <row r="907" s="11" customFormat="1" x14ac:dyDescent="0.3"/>
    <row r="908" s="11" customFormat="1" x14ac:dyDescent="0.3"/>
    <row r="909" s="11" customFormat="1" x14ac:dyDescent="0.3"/>
    <row r="910" s="11" customFormat="1" x14ac:dyDescent="0.3"/>
    <row r="911" s="11" customFormat="1" x14ac:dyDescent="0.3"/>
    <row r="912" s="11" customFormat="1" x14ac:dyDescent="0.3"/>
    <row r="913" s="11" customFormat="1" x14ac:dyDescent="0.3"/>
    <row r="914" s="11" customFormat="1" x14ac:dyDescent="0.3"/>
    <row r="915" s="11" customFormat="1" x14ac:dyDescent="0.3"/>
    <row r="916" s="11" customFormat="1" x14ac:dyDescent="0.3"/>
    <row r="917" s="11" customFormat="1" x14ac:dyDescent="0.3"/>
    <row r="918" s="11" customFormat="1" x14ac:dyDescent="0.3"/>
    <row r="919" s="11" customFormat="1" x14ac:dyDescent="0.3"/>
    <row r="920" s="11" customFormat="1" x14ac:dyDescent="0.3"/>
    <row r="921" s="11" customFormat="1" x14ac:dyDescent="0.3"/>
    <row r="922" s="11" customFormat="1" x14ac:dyDescent="0.3"/>
    <row r="923" s="11" customFormat="1" x14ac:dyDescent="0.3"/>
    <row r="924" s="11" customFormat="1" x14ac:dyDescent="0.3"/>
    <row r="925" s="11" customFormat="1" x14ac:dyDescent="0.3"/>
    <row r="926" s="11" customFormat="1" x14ac:dyDescent="0.3"/>
    <row r="927" s="11" customFormat="1" x14ac:dyDescent="0.3"/>
    <row r="928" s="11" customFormat="1" x14ac:dyDescent="0.3"/>
    <row r="929" s="11" customFormat="1" x14ac:dyDescent="0.3"/>
    <row r="930" s="11" customFormat="1" x14ac:dyDescent="0.3"/>
    <row r="931" s="11" customFormat="1" x14ac:dyDescent="0.3"/>
    <row r="932" s="11" customFormat="1" x14ac:dyDescent="0.3"/>
    <row r="933" s="11" customFormat="1" x14ac:dyDescent="0.3"/>
    <row r="934" s="11" customFormat="1" x14ac:dyDescent="0.3"/>
    <row r="935" s="11" customFormat="1" x14ac:dyDescent="0.3"/>
    <row r="936" s="11" customFormat="1" x14ac:dyDescent="0.3"/>
    <row r="937" s="11" customFormat="1" x14ac:dyDescent="0.3"/>
    <row r="938" s="11" customFormat="1" x14ac:dyDescent="0.3"/>
    <row r="939" s="11" customFormat="1" x14ac:dyDescent="0.3"/>
    <row r="940" s="11" customFormat="1" x14ac:dyDescent="0.3"/>
    <row r="941" s="11" customFormat="1" x14ac:dyDescent="0.3"/>
    <row r="942" s="11" customFormat="1" x14ac:dyDescent="0.3"/>
    <row r="943" s="11" customFormat="1" x14ac:dyDescent="0.3"/>
    <row r="944" s="11" customFormat="1" x14ac:dyDescent="0.3"/>
    <row r="945" s="11" customFormat="1" x14ac:dyDescent="0.3"/>
    <row r="946" s="11" customFormat="1" x14ac:dyDescent="0.3"/>
    <row r="947" s="11" customFormat="1" x14ac:dyDescent="0.3"/>
    <row r="948" s="11" customFormat="1" x14ac:dyDescent="0.3"/>
    <row r="949" s="11" customFormat="1" x14ac:dyDescent="0.3"/>
    <row r="950" s="11" customFormat="1" x14ac:dyDescent="0.3"/>
    <row r="951" s="11" customFormat="1" x14ac:dyDescent="0.3"/>
    <row r="952" s="11" customFormat="1" x14ac:dyDescent="0.3"/>
    <row r="953" s="11" customFormat="1" x14ac:dyDescent="0.3"/>
    <row r="954" s="11" customFormat="1" x14ac:dyDescent="0.3"/>
    <row r="955" s="11" customFormat="1" x14ac:dyDescent="0.3"/>
    <row r="956" s="11" customFormat="1" x14ac:dyDescent="0.3"/>
    <row r="957" s="11" customFormat="1" x14ac:dyDescent="0.3"/>
    <row r="958" s="11" customFormat="1" x14ac:dyDescent="0.3"/>
    <row r="959" s="11" customFormat="1" x14ac:dyDescent="0.3"/>
    <row r="960" s="11" customFormat="1" x14ac:dyDescent="0.3"/>
    <row r="961" s="11" customFormat="1" x14ac:dyDescent="0.3"/>
    <row r="962" s="11" customFormat="1" x14ac:dyDescent="0.3"/>
    <row r="963" s="11" customFormat="1" x14ac:dyDescent="0.3"/>
    <row r="964" s="11" customFormat="1" x14ac:dyDescent="0.3"/>
    <row r="965" s="11" customFormat="1" x14ac:dyDescent="0.3"/>
    <row r="966" s="11" customFormat="1" x14ac:dyDescent="0.3"/>
    <row r="967" s="11" customFormat="1" x14ac:dyDescent="0.3"/>
    <row r="968" s="11" customFormat="1" x14ac:dyDescent="0.3"/>
    <row r="969" s="11" customFormat="1" x14ac:dyDescent="0.3"/>
    <row r="970" s="11" customFormat="1" x14ac:dyDescent="0.3"/>
    <row r="971" s="11" customFormat="1" x14ac:dyDescent="0.3"/>
    <row r="972" s="11" customFormat="1" x14ac:dyDescent="0.3"/>
    <row r="973" s="11" customFormat="1" x14ac:dyDescent="0.3"/>
    <row r="974" s="11" customFormat="1" x14ac:dyDescent="0.3"/>
    <row r="975" s="11" customFormat="1" x14ac:dyDescent="0.3"/>
    <row r="976" s="11" customFormat="1" x14ac:dyDescent="0.3"/>
    <row r="977" s="11" customFormat="1" x14ac:dyDescent="0.3"/>
    <row r="978" s="11" customFormat="1" x14ac:dyDescent="0.3"/>
    <row r="979" s="11" customFormat="1" x14ac:dyDescent="0.3"/>
    <row r="980" s="11" customFormat="1" x14ac:dyDescent="0.3"/>
    <row r="981" s="11" customFormat="1" x14ac:dyDescent="0.3"/>
    <row r="982" s="11" customFormat="1" x14ac:dyDescent="0.3"/>
    <row r="983" s="11" customFormat="1" x14ac:dyDescent="0.3"/>
    <row r="984" s="11" customFormat="1" x14ac:dyDescent="0.3"/>
    <row r="985" s="11" customFormat="1" x14ac:dyDescent="0.3"/>
    <row r="986" s="11" customFormat="1" x14ac:dyDescent="0.3"/>
    <row r="987" s="11" customFormat="1" x14ac:dyDescent="0.3"/>
    <row r="988" s="11" customFormat="1" x14ac:dyDescent="0.3"/>
    <row r="989" s="11" customFormat="1" x14ac:dyDescent="0.3"/>
    <row r="990" s="11" customFormat="1" x14ac:dyDescent="0.3"/>
    <row r="991" s="11" customFormat="1" x14ac:dyDescent="0.3"/>
    <row r="992" s="11" customFormat="1" x14ac:dyDescent="0.3"/>
    <row r="993" s="11" customFormat="1" x14ac:dyDescent="0.3"/>
    <row r="994" s="11" customFormat="1" x14ac:dyDescent="0.3"/>
    <row r="995" s="11" customFormat="1" x14ac:dyDescent="0.3"/>
    <row r="996" s="11" customFormat="1" x14ac:dyDescent="0.3"/>
    <row r="997" s="11" customFormat="1" x14ac:dyDescent="0.3"/>
    <row r="998" s="11" customFormat="1" x14ac:dyDescent="0.3"/>
    <row r="999" s="11" customFormat="1" x14ac:dyDescent="0.3"/>
    <row r="1000" s="11" customFormat="1" x14ac:dyDescent="0.3"/>
    <row r="1001" s="11" customFormat="1" x14ac:dyDescent="0.3"/>
    <row r="1002" s="11" customFormat="1" x14ac:dyDescent="0.3"/>
    <row r="1003" s="11" customFormat="1" x14ac:dyDescent="0.3"/>
    <row r="1004" s="11" customFormat="1" x14ac:dyDescent="0.3"/>
    <row r="1005" s="11" customFormat="1" x14ac:dyDescent="0.3"/>
    <row r="1006" s="11" customFormat="1" x14ac:dyDescent="0.3"/>
    <row r="1007" s="11" customFormat="1" x14ac:dyDescent="0.3"/>
    <row r="1008" s="11" customFormat="1" x14ac:dyDescent="0.3"/>
    <row r="1009" s="11" customFormat="1" x14ac:dyDescent="0.3"/>
    <row r="1010" s="11" customFormat="1" x14ac:dyDescent="0.3"/>
    <row r="1011" s="11" customFormat="1" x14ac:dyDescent="0.3"/>
    <row r="1012" s="11" customFormat="1" x14ac:dyDescent="0.3"/>
    <row r="1013" s="11" customFormat="1" x14ac:dyDescent="0.3"/>
    <row r="1014" s="11" customFormat="1" x14ac:dyDescent="0.3"/>
    <row r="1015" s="11" customFormat="1" x14ac:dyDescent="0.3"/>
    <row r="1016" s="11" customFormat="1" x14ac:dyDescent="0.3"/>
    <row r="1017" s="11" customFormat="1" x14ac:dyDescent="0.3"/>
    <row r="1018" s="11" customFormat="1" x14ac:dyDescent="0.3"/>
    <row r="1019" s="11" customFormat="1" x14ac:dyDescent="0.3"/>
    <row r="1020" s="11" customFormat="1" x14ac:dyDescent="0.3"/>
    <row r="1021" s="11" customFormat="1" x14ac:dyDescent="0.3"/>
    <row r="1022" s="11" customFormat="1" x14ac:dyDescent="0.3"/>
    <row r="1023" s="11" customFormat="1" x14ac:dyDescent="0.3"/>
    <row r="1024" s="11" customFormat="1" x14ac:dyDescent="0.3"/>
    <row r="1025" s="11" customFormat="1" x14ac:dyDescent="0.3"/>
    <row r="1026" s="11" customFormat="1" x14ac:dyDescent="0.3"/>
    <row r="1027" s="11" customFormat="1" x14ac:dyDescent="0.3"/>
    <row r="1028" s="11" customFormat="1" x14ac:dyDescent="0.3"/>
    <row r="1029" s="11" customFormat="1" x14ac:dyDescent="0.3"/>
    <row r="1030" s="11" customFormat="1" x14ac:dyDescent="0.3"/>
    <row r="1031" s="11" customFormat="1" x14ac:dyDescent="0.3"/>
    <row r="1032" s="11" customFormat="1" x14ac:dyDescent="0.3"/>
    <row r="1033" s="11" customFormat="1" x14ac:dyDescent="0.3"/>
    <row r="1034" s="11" customFormat="1" x14ac:dyDescent="0.3"/>
    <row r="1035" s="11" customFormat="1" x14ac:dyDescent="0.3"/>
    <row r="1036" s="11" customFormat="1" x14ac:dyDescent="0.3"/>
    <row r="1037" s="11" customFormat="1" x14ac:dyDescent="0.3"/>
    <row r="1038" s="11" customFormat="1" x14ac:dyDescent="0.3"/>
    <row r="1039" s="11" customFormat="1" x14ac:dyDescent="0.3"/>
    <row r="1040" s="11" customFormat="1" x14ac:dyDescent="0.3"/>
    <row r="1041" s="11" customFormat="1" x14ac:dyDescent="0.3"/>
    <row r="1042" s="11" customFormat="1" x14ac:dyDescent="0.3"/>
    <row r="1043" s="11" customFormat="1" x14ac:dyDescent="0.3"/>
    <row r="1044" s="11" customFormat="1" x14ac:dyDescent="0.3"/>
    <row r="1045" s="11" customFormat="1" x14ac:dyDescent="0.3"/>
    <row r="1046" s="11" customFormat="1" x14ac:dyDescent="0.3"/>
    <row r="1047" s="11" customFormat="1" x14ac:dyDescent="0.3"/>
    <row r="1048" s="11" customFormat="1" x14ac:dyDescent="0.3"/>
    <row r="1049" s="11" customFormat="1" x14ac:dyDescent="0.3"/>
    <row r="1050" s="11" customFormat="1" x14ac:dyDescent="0.3"/>
    <row r="1051" s="11" customFormat="1" x14ac:dyDescent="0.3"/>
    <row r="1052" s="11" customFormat="1" x14ac:dyDescent="0.3"/>
    <row r="1053" s="11" customFormat="1" x14ac:dyDescent="0.3"/>
    <row r="1054" s="11" customFormat="1" x14ac:dyDescent="0.3"/>
    <row r="1055" s="11" customFormat="1" x14ac:dyDescent="0.3"/>
    <row r="1056" s="11" customFormat="1" x14ac:dyDescent="0.3"/>
    <row r="1057" s="11" customFormat="1" x14ac:dyDescent="0.3"/>
    <row r="1058" s="11" customFormat="1" x14ac:dyDescent="0.3"/>
    <row r="1059" s="11" customFormat="1" x14ac:dyDescent="0.3"/>
    <row r="1060" s="11" customFormat="1" x14ac:dyDescent="0.3"/>
    <row r="1061" s="11" customFormat="1" x14ac:dyDescent="0.3"/>
    <row r="1062" s="11" customFormat="1" x14ac:dyDescent="0.3"/>
    <row r="1063" s="11" customFormat="1" x14ac:dyDescent="0.3"/>
    <row r="1064" s="11" customFormat="1" x14ac:dyDescent="0.3"/>
    <row r="1065" s="11" customFormat="1" x14ac:dyDescent="0.3"/>
    <row r="1066" s="11" customFormat="1" x14ac:dyDescent="0.3"/>
    <row r="1067" s="11" customFormat="1" x14ac:dyDescent="0.3"/>
    <row r="1068" s="11" customFormat="1" x14ac:dyDescent="0.3"/>
    <row r="1069" s="11" customFormat="1" x14ac:dyDescent="0.3"/>
    <row r="1070" s="11" customFormat="1" x14ac:dyDescent="0.3"/>
    <row r="1071" s="11" customFormat="1" x14ac:dyDescent="0.3"/>
    <row r="1072" s="11" customFormat="1" x14ac:dyDescent="0.3"/>
    <row r="1073" s="11" customFormat="1" x14ac:dyDescent="0.3"/>
    <row r="1074" s="11" customFormat="1" x14ac:dyDescent="0.3"/>
    <row r="1075" s="11" customFormat="1" x14ac:dyDescent="0.3"/>
    <row r="1076" s="11" customFormat="1" x14ac:dyDescent="0.3"/>
    <row r="1077" s="11" customFormat="1" x14ac:dyDescent="0.3"/>
    <row r="1078" s="11" customFormat="1" x14ac:dyDescent="0.3"/>
    <row r="1079" s="11" customFormat="1" x14ac:dyDescent="0.3"/>
    <row r="1080" s="11" customFormat="1" x14ac:dyDescent="0.3"/>
    <row r="1081" s="11" customFormat="1" x14ac:dyDescent="0.3"/>
    <row r="1082" s="11" customFormat="1" x14ac:dyDescent="0.3"/>
    <row r="1083" s="11" customFormat="1" x14ac:dyDescent="0.3"/>
    <row r="1084" s="11" customFormat="1" x14ac:dyDescent="0.3"/>
    <row r="1085" s="11" customFormat="1" x14ac:dyDescent="0.3"/>
    <row r="1086" s="11" customFormat="1" x14ac:dyDescent="0.3"/>
    <row r="1087" s="11" customFormat="1" x14ac:dyDescent="0.3"/>
    <row r="1088" s="11" customFormat="1" x14ac:dyDescent="0.3"/>
    <row r="1089" s="11" customFormat="1" x14ac:dyDescent="0.3"/>
    <row r="1090" s="11" customFormat="1" x14ac:dyDescent="0.3"/>
    <row r="1091" s="11" customFormat="1" x14ac:dyDescent="0.3"/>
    <row r="1092" s="11" customFormat="1" x14ac:dyDescent="0.3"/>
    <row r="1093" s="11" customFormat="1" x14ac:dyDescent="0.3"/>
    <row r="1094" s="11" customFormat="1" x14ac:dyDescent="0.3"/>
    <row r="1095" s="11" customFormat="1" x14ac:dyDescent="0.3"/>
    <row r="1096" s="11" customFormat="1" x14ac:dyDescent="0.3"/>
    <row r="1097" s="11" customFormat="1" x14ac:dyDescent="0.3"/>
    <row r="1098" s="11" customFormat="1" x14ac:dyDescent="0.3"/>
    <row r="1099" s="11" customFormat="1" x14ac:dyDescent="0.3"/>
    <row r="1100" s="11" customFormat="1" x14ac:dyDescent="0.3"/>
    <row r="1101" s="11" customFormat="1" x14ac:dyDescent="0.3"/>
    <row r="1102" s="11" customFormat="1" x14ac:dyDescent="0.3"/>
    <row r="1103" s="11" customFormat="1" x14ac:dyDescent="0.3"/>
    <row r="1104" s="11" customFormat="1" x14ac:dyDescent="0.3"/>
    <row r="1105" s="11" customFormat="1" x14ac:dyDescent="0.3"/>
    <row r="1106" s="11" customFormat="1" x14ac:dyDescent="0.3"/>
    <row r="1107" s="11" customFormat="1" x14ac:dyDescent="0.3"/>
    <row r="1108" s="11" customFormat="1" x14ac:dyDescent="0.3"/>
    <row r="1109" s="11" customFormat="1" x14ac:dyDescent="0.3"/>
    <row r="1110" s="11" customFormat="1" x14ac:dyDescent="0.3"/>
    <row r="1111" s="11" customFormat="1" x14ac:dyDescent="0.3"/>
    <row r="1112" s="11" customFormat="1" x14ac:dyDescent="0.3"/>
    <row r="1113" s="11" customFormat="1" x14ac:dyDescent="0.3"/>
    <row r="1114" s="11" customFormat="1" x14ac:dyDescent="0.3"/>
    <row r="1115" s="11" customFormat="1" x14ac:dyDescent="0.3"/>
    <row r="1116" s="11" customFormat="1" x14ac:dyDescent="0.3"/>
    <row r="1117" s="11" customFormat="1" x14ac:dyDescent="0.3"/>
    <row r="1118" s="11" customFormat="1" x14ac:dyDescent="0.3"/>
    <row r="1119" s="11" customFormat="1" x14ac:dyDescent="0.3"/>
    <row r="1120" s="11" customFormat="1" x14ac:dyDescent="0.3"/>
    <row r="1121" s="11" customFormat="1" x14ac:dyDescent="0.3"/>
    <row r="1122" s="11" customFormat="1" x14ac:dyDescent="0.3"/>
    <row r="1123" s="11" customFormat="1" x14ac:dyDescent="0.3"/>
    <row r="1124" s="11" customFormat="1" x14ac:dyDescent="0.3"/>
    <row r="1125" s="11" customFormat="1" x14ac:dyDescent="0.3"/>
    <row r="1126" s="11" customFormat="1" x14ac:dyDescent="0.3"/>
    <row r="1127" s="11" customFormat="1" x14ac:dyDescent="0.3"/>
    <row r="1128" s="11" customFormat="1" x14ac:dyDescent="0.3"/>
    <row r="1129" s="11" customFormat="1" x14ac:dyDescent="0.3"/>
    <row r="1130" s="11" customFormat="1" x14ac:dyDescent="0.3"/>
    <row r="1131" s="11" customFormat="1" x14ac:dyDescent="0.3"/>
    <row r="1132" s="11" customFormat="1" x14ac:dyDescent="0.3"/>
    <row r="1133" s="11" customFormat="1" x14ac:dyDescent="0.3"/>
    <row r="1134" s="11" customFormat="1" x14ac:dyDescent="0.3"/>
    <row r="1135" s="11" customFormat="1" x14ac:dyDescent="0.3"/>
    <row r="1136" s="11" customFormat="1" x14ac:dyDescent="0.3"/>
    <row r="1137" s="11" customFormat="1" x14ac:dyDescent="0.3"/>
    <row r="1138" s="11" customFormat="1" x14ac:dyDescent="0.3"/>
    <row r="1139" s="11" customFormat="1" x14ac:dyDescent="0.3"/>
    <row r="1140" s="11" customFormat="1" x14ac:dyDescent="0.3"/>
    <row r="1141" s="11" customFormat="1" x14ac:dyDescent="0.3"/>
    <row r="1142" s="11" customFormat="1" x14ac:dyDescent="0.3"/>
    <row r="1143" s="11" customFormat="1" x14ac:dyDescent="0.3"/>
    <row r="1144" s="11" customFormat="1" x14ac:dyDescent="0.3"/>
    <row r="1145" s="11" customFormat="1" x14ac:dyDescent="0.3"/>
    <row r="1146" s="11" customFormat="1" x14ac:dyDescent="0.3"/>
    <row r="1147" s="11" customFormat="1" x14ac:dyDescent="0.3"/>
    <row r="1148" s="11" customFormat="1" x14ac:dyDescent="0.3"/>
    <row r="1149" s="11" customFormat="1" x14ac:dyDescent="0.3"/>
    <row r="1150" s="11" customFormat="1" x14ac:dyDescent="0.3"/>
    <row r="1151" s="11" customFormat="1" x14ac:dyDescent="0.3"/>
    <row r="1152" s="11" customFormat="1" x14ac:dyDescent="0.3"/>
    <row r="1153" s="11" customFormat="1" x14ac:dyDescent="0.3"/>
    <row r="1154" s="11" customFormat="1" x14ac:dyDescent="0.3"/>
    <row r="1155" s="11" customFormat="1" x14ac:dyDescent="0.3"/>
    <row r="1156" s="11" customFormat="1" x14ac:dyDescent="0.3"/>
    <row r="1157" s="11" customFormat="1" x14ac:dyDescent="0.3"/>
    <row r="1158" s="11" customFormat="1" x14ac:dyDescent="0.3"/>
    <row r="1159" s="11" customFormat="1" x14ac:dyDescent="0.3"/>
    <row r="1160" s="11" customFormat="1" x14ac:dyDescent="0.3"/>
    <row r="1161" s="11" customFormat="1" x14ac:dyDescent="0.3"/>
    <row r="1162" s="11" customFormat="1" x14ac:dyDescent="0.3"/>
    <row r="1163" s="11" customFormat="1" x14ac:dyDescent="0.3"/>
    <row r="1164" s="11" customFormat="1" x14ac:dyDescent="0.3"/>
    <row r="1165" s="11" customFormat="1" x14ac:dyDescent="0.3"/>
    <row r="1166" s="11" customFormat="1" x14ac:dyDescent="0.3"/>
    <row r="1167" s="11" customFormat="1" x14ac:dyDescent="0.3"/>
    <row r="1168" s="11" customFormat="1" x14ac:dyDescent="0.3"/>
    <row r="1169" s="11" customFormat="1" x14ac:dyDescent="0.3"/>
    <row r="1170" s="11" customFormat="1" x14ac:dyDescent="0.3"/>
    <row r="1171" s="11" customFormat="1" x14ac:dyDescent="0.3"/>
    <row r="1172" s="11" customFormat="1" x14ac:dyDescent="0.3"/>
    <row r="1173" s="11" customFormat="1" x14ac:dyDescent="0.3"/>
    <row r="1174" s="11" customFormat="1" x14ac:dyDescent="0.3"/>
    <row r="1175" s="11" customFormat="1" x14ac:dyDescent="0.3"/>
    <row r="1176" s="11" customFormat="1" x14ac:dyDescent="0.3"/>
    <row r="1177" s="11" customFormat="1" x14ac:dyDescent="0.3"/>
    <row r="1178" s="11" customFormat="1" x14ac:dyDescent="0.3"/>
    <row r="1179" s="11" customFormat="1" x14ac:dyDescent="0.3"/>
    <row r="1180" s="11" customFormat="1" x14ac:dyDescent="0.3"/>
    <row r="1181" s="11" customFormat="1" x14ac:dyDescent="0.3"/>
    <row r="1182" s="11" customFormat="1" x14ac:dyDescent="0.3"/>
    <row r="1183" s="11" customFormat="1" x14ac:dyDescent="0.3"/>
    <row r="1184" s="11" customFormat="1" x14ac:dyDescent="0.3"/>
    <row r="1185" s="11" customFormat="1" x14ac:dyDescent="0.3"/>
    <row r="1186" s="11" customFormat="1" x14ac:dyDescent="0.3"/>
    <row r="1187" s="11" customFormat="1" x14ac:dyDescent="0.3"/>
    <row r="1188" s="11" customFormat="1" x14ac:dyDescent="0.3"/>
    <row r="1189" s="11" customFormat="1" x14ac:dyDescent="0.3"/>
    <row r="1190" s="11" customFormat="1" x14ac:dyDescent="0.3"/>
    <row r="1191" s="11" customFormat="1" x14ac:dyDescent="0.3"/>
    <row r="1192" s="11" customFormat="1" x14ac:dyDescent="0.3"/>
    <row r="1193" s="11" customFormat="1" x14ac:dyDescent="0.3"/>
    <row r="1194" s="11" customFormat="1" x14ac:dyDescent="0.3"/>
    <row r="1195" s="11" customFormat="1" x14ac:dyDescent="0.3"/>
    <row r="1196" s="11" customFormat="1" x14ac:dyDescent="0.3"/>
    <row r="1197" s="11" customFormat="1" x14ac:dyDescent="0.3"/>
    <row r="1198" s="11" customFormat="1" x14ac:dyDescent="0.3"/>
    <row r="1199" s="11" customFormat="1" x14ac:dyDescent="0.3"/>
    <row r="1200" s="11" customFormat="1" x14ac:dyDescent="0.3"/>
    <row r="1201" s="11" customFormat="1" x14ac:dyDescent="0.3"/>
    <row r="1202" s="11" customFormat="1" x14ac:dyDescent="0.3"/>
    <row r="1203" s="11" customFormat="1" x14ac:dyDescent="0.3"/>
    <row r="1204" s="11" customFormat="1" x14ac:dyDescent="0.3"/>
    <row r="1205" s="11" customFormat="1" x14ac:dyDescent="0.3"/>
    <row r="1206" s="11" customFormat="1" x14ac:dyDescent="0.3"/>
    <row r="1207" s="11" customFormat="1" x14ac:dyDescent="0.3"/>
    <row r="1208" s="11" customFormat="1" x14ac:dyDescent="0.3"/>
    <row r="1209" s="11" customFormat="1" x14ac:dyDescent="0.3"/>
    <row r="1210" s="11" customFormat="1" x14ac:dyDescent="0.3"/>
    <row r="1211" s="11" customFormat="1" x14ac:dyDescent="0.3"/>
    <row r="1212" s="11" customFormat="1" x14ac:dyDescent="0.3"/>
    <row r="1213" s="11" customFormat="1" x14ac:dyDescent="0.3"/>
    <row r="1214" s="11" customFormat="1" x14ac:dyDescent="0.3"/>
    <row r="1215" s="11" customFormat="1" x14ac:dyDescent="0.3"/>
    <row r="1216" s="11" customFormat="1" x14ac:dyDescent="0.3"/>
    <row r="1217" s="11" customFormat="1" x14ac:dyDescent="0.3"/>
    <row r="1218" s="11" customFormat="1" x14ac:dyDescent="0.3"/>
    <row r="1219" s="11" customFormat="1" x14ac:dyDescent="0.3"/>
    <row r="1220" s="11" customFormat="1" x14ac:dyDescent="0.3"/>
    <row r="1221" s="11" customFormat="1" x14ac:dyDescent="0.3"/>
    <row r="1222" s="11" customFormat="1" x14ac:dyDescent="0.3"/>
    <row r="1223" s="11" customFormat="1" x14ac:dyDescent="0.3"/>
    <row r="1224" s="11" customFormat="1" x14ac:dyDescent="0.3"/>
    <row r="1225" s="11" customFormat="1" x14ac:dyDescent="0.3"/>
    <row r="1226" s="11" customFormat="1" x14ac:dyDescent="0.3"/>
    <row r="1227" s="11" customFormat="1" x14ac:dyDescent="0.3"/>
    <row r="1228" s="11" customFormat="1" x14ac:dyDescent="0.3"/>
    <row r="1229" s="11" customFormat="1" x14ac:dyDescent="0.3"/>
    <row r="1230" s="11" customFormat="1" x14ac:dyDescent="0.3"/>
    <row r="1231" s="11" customFormat="1" x14ac:dyDescent="0.3"/>
    <row r="1232" s="11" customFormat="1" x14ac:dyDescent="0.3"/>
    <row r="1233" s="11" customFormat="1" x14ac:dyDescent="0.3"/>
    <row r="1234" s="11" customFormat="1" x14ac:dyDescent="0.3"/>
    <row r="1235" s="11" customFormat="1" x14ac:dyDescent="0.3"/>
    <row r="1236" s="11" customFormat="1" x14ac:dyDescent="0.3"/>
    <row r="1237" s="11" customFormat="1" x14ac:dyDescent="0.3"/>
    <row r="1238" s="11" customFormat="1" x14ac:dyDescent="0.3"/>
    <row r="1239" s="11" customFormat="1" x14ac:dyDescent="0.3"/>
    <row r="1240" s="11" customFormat="1" x14ac:dyDescent="0.3"/>
    <row r="1241" s="11" customFormat="1" x14ac:dyDescent="0.3"/>
    <row r="1242" s="11" customFormat="1" x14ac:dyDescent="0.3"/>
    <row r="1243" s="11" customFormat="1" x14ac:dyDescent="0.3"/>
    <row r="1244" s="11" customFormat="1" x14ac:dyDescent="0.3"/>
    <row r="1245" s="11" customFormat="1" x14ac:dyDescent="0.3"/>
    <row r="1246" s="11" customFormat="1" x14ac:dyDescent="0.3"/>
    <row r="1247" s="11" customFormat="1" x14ac:dyDescent="0.3"/>
    <row r="1248" s="11" customFormat="1" x14ac:dyDescent="0.3"/>
    <row r="1249" s="11" customFormat="1" x14ac:dyDescent="0.3"/>
    <row r="1250" s="11" customFormat="1" x14ac:dyDescent="0.3"/>
    <row r="1251" s="11" customFormat="1" x14ac:dyDescent="0.3"/>
    <row r="1252" s="11" customFormat="1" x14ac:dyDescent="0.3"/>
    <row r="1253" s="11" customFormat="1" x14ac:dyDescent="0.3"/>
    <row r="1254" s="11" customFormat="1" x14ac:dyDescent="0.3"/>
    <row r="1255" s="11" customFormat="1" x14ac:dyDescent="0.3"/>
    <row r="1256" s="11" customFormat="1" x14ac:dyDescent="0.3"/>
    <row r="1257" s="11" customFormat="1" x14ac:dyDescent="0.3"/>
    <row r="1258" s="11" customFormat="1" x14ac:dyDescent="0.3"/>
    <row r="1259" s="11" customFormat="1" x14ac:dyDescent="0.3"/>
    <row r="1260" s="11" customFormat="1" x14ac:dyDescent="0.3"/>
    <row r="1261" s="11" customFormat="1" x14ac:dyDescent="0.3"/>
    <row r="1262" s="11" customFormat="1" x14ac:dyDescent="0.3"/>
    <row r="1263" s="11" customFormat="1" x14ac:dyDescent="0.3"/>
    <row r="1264" s="11" customFormat="1" x14ac:dyDescent="0.3"/>
    <row r="1265" s="11" customFormat="1" x14ac:dyDescent="0.3"/>
    <row r="1266" s="11" customFormat="1" x14ac:dyDescent="0.3"/>
    <row r="1267" s="11" customFormat="1" x14ac:dyDescent="0.3"/>
    <row r="1268" s="11" customFormat="1" x14ac:dyDescent="0.3"/>
    <row r="1269" s="11" customFormat="1" x14ac:dyDescent="0.3"/>
    <row r="1270" s="11" customFormat="1" x14ac:dyDescent="0.3"/>
    <row r="1271" s="11" customFormat="1" x14ac:dyDescent="0.3"/>
    <row r="1272" s="11" customFormat="1" x14ac:dyDescent="0.3"/>
    <row r="1273" s="11" customFormat="1" x14ac:dyDescent="0.3"/>
    <row r="1274" s="11" customFormat="1" x14ac:dyDescent="0.3"/>
    <row r="1275" s="11" customFormat="1" x14ac:dyDescent="0.3"/>
    <row r="1276" s="11" customFormat="1" x14ac:dyDescent="0.3"/>
    <row r="1277" s="11" customFormat="1" x14ac:dyDescent="0.3"/>
    <row r="1278" s="11" customFormat="1" x14ac:dyDescent="0.3"/>
    <row r="1279" s="11" customFormat="1" x14ac:dyDescent="0.3"/>
    <row r="1280" s="11" customFormat="1" x14ac:dyDescent="0.3"/>
    <row r="1281" s="11" customFormat="1" x14ac:dyDescent="0.3"/>
    <row r="1282" s="11" customFormat="1" x14ac:dyDescent="0.3"/>
    <row r="1283" s="11" customFormat="1" x14ac:dyDescent="0.3"/>
    <row r="1284" s="11" customFormat="1" x14ac:dyDescent="0.3"/>
    <row r="1285" s="11" customFormat="1" x14ac:dyDescent="0.3"/>
    <row r="1286" s="11" customFormat="1" x14ac:dyDescent="0.3"/>
    <row r="1287" s="11" customFormat="1" x14ac:dyDescent="0.3"/>
    <row r="1288" s="11" customFormat="1" x14ac:dyDescent="0.3"/>
    <row r="1289" s="11" customFormat="1" x14ac:dyDescent="0.3"/>
    <row r="1290" s="11" customFormat="1" x14ac:dyDescent="0.3"/>
    <row r="1291" s="11" customFormat="1" x14ac:dyDescent="0.3"/>
    <row r="1292" s="11" customFormat="1" x14ac:dyDescent="0.3"/>
    <row r="1293" s="11" customFormat="1" x14ac:dyDescent="0.3"/>
    <row r="1294" s="11" customFormat="1" x14ac:dyDescent="0.3"/>
    <row r="1295" s="11" customFormat="1" x14ac:dyDescent="0.3"/>
    <row r="1296" s="11" customFormat="1" x14ac:dyDescent="0.3"/>
    <row r="1297" s="11" customFormat="1" x14ac:dyDescent="0.3"/>
    <row r="1298" s="11" customFormat="1" x14ac:dyDescent="0.3"/>
    <row r="1299" s="11" customFormat="1" x14ac:dyDescent="0.3"/>
    <row r="1300" s="11" customFormat="1" x14ac:dyDescent="0.3"/>
    <row r="1301" s="11" customFormat="1" x14ac:dyDescent="0.3"/>
    <row r="1302" s="11" customFormat="1" x14ac:dyDescent="0.3"/>
    <row r="1303" s="11" customFormat="1" x14ac:dyDescent="0.3"/>
    <row r="1304" s="11" customFormat="1" x14ac:dyDescent="0.3"/>
    <row r="1305" s="11" customFormat="1" x14ac:dyDescent="0.3"/>
    <row r="1306" s="11" customFormat="1" x14ac:dyDescent="0.3"/>
    <row r="1307" s="11" customFormat="1" x14ac:dyDescent="0.3"/>
    <row r="1308" s="11" customFormat="1" x14ac:dyDescent="0.3"/>
    <row r="1309" s="11" customFormat="1" x14ac:dyDescent="0.3"/>
    <row r="1310" s="11" customFormat="1" x14ac:dyDescent="0.3"/>
    <row r="1311" s="11" customFormat="1" x14ac:dyDescent="0.3"/>
    <row r="1312" s="11" customFormat="1" x14ac:dyDescent="0.3"/>
    <row r="1313" s="11" customFormat="1" x14ac:dyDescent="0.3"/>
    <row r="1314" s="11" customFormat="1" x14ac:dyDescent="0.3"/>
    <row r="1315" s="11" customFormat="1" x14ac:dyDescent="0.3"/>
    <row r="1316" s="11" customFormat="1" x14ac:dyDescent="0.3"/>
    <row r="1317" s="11" customFormat="1" x14ac:dyDescent="0.3"/>
    <row r="1318" s="11" customFormat="1" x14ac:dyDescent="0.3"/>
    <row r="1319" s="11" customFormat="1" x14ac:dyDescent="0.3"/>
    <row r="1320" s="11" customFormat="1" x14ac:dyDescent="0.3"/>
    <row r="1321" s="11" customFormat="1" x14ac:dyDescent="0.3"/>
    <row r="1322" s="11" customFormat="1" x14ac:dyDescent="0.3"/>
    <row r="1323" s="11" customFormat="1" x14ac:dyDescent="0.3"/>
    <row r="1324" s="11" customFormat="1" x14ac:dyDescent="0.3"/>
    <row r="1325" s="11" customFormat="1" x14ac:dyDescent="0.3"/>
    <row r="1326" s="11" customFormat="1" x14ac:dyDescent="0.3"/>
    <row r="1327" s="11" customFormat="1" x14ac:dyDescent="0.3"/>
    <row r="1328" s="11" customFormat="1" x14ac:dyDescent="0.3"/>
    <row r="1329" s="11" customFormat="1" x14ac:dyDescent="0.3"/>
    <row r="1330" s="11" customFormat="1" x14ac:dyDescent="0.3"/>
    <row r="1331" s="11" customFormat="1" x14ac:dyDescent="0.3"/>
    <row r="1332" s="11" customFormat="1" x14ac:dyDescent="0.3"/>
    <row r="1333" s="11" customFormat="1" x14ac:dyDescent="0.3"/>
    <row r="1334" s="11" customFormat="1" x14ac:dyDescent="0.3"/>
    <row r="1335" s="11" customFormat="1" x14ac:dyDescent="0.3"/>
    <row r="1336" s="11" customFormat="1" x14ac:dyDescent="0.3"/>
    <row r="1337" s="11" customFormat="1" x14ac:dyDescent="0.3"/>
    <row r="1338" s="11" customFormat="1" x14ac:dyDescent="0.3"/>
    <row r="1339" s="11" customFormat="1" x14ac:dyDescent="0.3"/>
    <row r="1340" s="11" customFormat="1" x14ac:dyDescent="0.3"/>
    <row r="1341" s="11" customFormat="1" x14ac:dyDescent="0.3"/>
    <row r="1342" s="11" customFormat="1" x14ac:dyDescent="0.3"/>
    <row r="1343" s="11" customFormat="1" x14ac:dyDescent="0.3"/>
    <row r="1344" s="11" customFormat="1" x14ac:dyDescent="0.3"/>
    <row r="1345" s="11" customFormat="1" x14ac:dyDescent="0.3"/>
    <row r="1346" s="11" customFormat="1" x14ac:dyDescent="0.3"/>
    <row r="1347" s="11" customFormat="1" x14ac:dyDescent="0.3"/>
    <row r="1348" s="11" customFormat="1" x14ac:dyDescent="0.3"/>
    <row r="1349" s="11" customFormat="1" x14ac:dyDescent="0.3"/>
    <row r="1350" s="11" customFormat="1" x14ac:dyDescent="0.3"/>
    <row r="1351" s="11" customFormat="1" x14ac:dyDescent="0.3"/>
    <row r="1352" s="11" customFormat="1" x14ac:dyDescent="0.3"/>
    <row r="1353" s="11" customFormat="1" x14ac:dyDescent="0.3"/>
    <row r="1354" s="11" customFormat="1" x14ac:dyDescent="0.3"/>
    <row r="1355" s="11" customFormat="1" x14ac:dyDescent="0.3"/>
    <row r="1356" s="11" customFormat="1" x14ac:dyDescent="0.3"/>
    <row r="1357" s="11" customFormat="1" x14ac:dyDescent="0.3"/>
    <row r="1358" s="11" customFormat="1" x14ac:dyDescent="0.3"/>
    <row r="1359" s="11" customFormat="1" x14ac:dyDescent="0.3"/>
    <row r="1360" s="11" customFormat="1" x14ac:dyDescent="0.3"/>
    <row r="1361" s="11" customFormat="1" x14ac:dyDescent="0.3"/>
    <row r="1362" s="11" customFormat="1" x14ac:dyDescent="0.3"/>
    <row r="1363" s="11" customFormat="1" x14ac:dyDescent="0.3"/>
    <row r="1364" s="11" customFormat="1" x14ac:dyDescent="0.3"/>
    <row r="1365" s="11" customFormat="1" x14ac:dyDescent="0.3"/>
    <row r="1366" s="11" customFormat="1" x14ac:dyDescent="0.3"/>
    <row r="1367" s="11" customFormat="1" x14ac:dyDescent="0.3"/>
    <row r="1368" s="11" customFormat="1" x14ac:dyDescent="0.3"/>
    <row r="1369" s="11" customFormat="1" x14ac:dyDescent="0.3"/>
    <row r="1370" s="11" customFormat="1" x14ac:dyDescent="0.3"/>
    <row r="1371" s="11" customFormat="1" x14ac:dyDescent="0.3"/>
    <row r="1372" s="11" customFormat="1" x14ac:dyDescent="0.3"/>
    <row r="1373" s="11" customFormat="1" x14ac:dyDescent="0.3"/>
    <row r="1374" s="11" customFormat="1" x14ac:dyDescent="0.3"/>
    <row r="1375" s="11" customFormat="1" x14ac:dyDescent="0.3"/>
    <row r="1376" s="11" customFormat="1" x14ac:dyDescent="0.3"/>
    <row r="1377" s="11" customFormat="1" x14ac:dyDescent="0.3"/>
    <row r="1378" s="11" customFormat="1" x14ac:dyDescent="0.3"/>
    <row r="1379" s="11" customFormat="1" x14ac:dyDescent="0.3"/>
    <row r="1380" s="11" customFormat="1" x14ac:dyDescent="0.3"/>
    <row r="1381" s="11" customFormat="1" x14ac:dyDescent="0.3"/>
    <row r="1382" s="11" customFormat="1" x14ac:dyDescent="0.3"/>
    <row r="1383" s="11" customFormat="1" x14ac:dyDescent="0.3"/>
    <row r="1384" s="11" customFormat="1" x14ac:dyDescent="0.3"/>
    <row r="1385" s="11" customFormat="1" x14ac:dyDescent="0.3"/>
    <row r="1386" s="11" customFormat="1" x14ac:dyDescent="0.3"/>
    <row r="1387" s="11" customFormat="1" x14ac:dyDescent="0.3"/>
    <row r="1388" s="11" customFormat="1" x14ac:dyDescent="0.3"/>
    <row r="1389" s="11" customFormat="1" x14ac:dyDescent="0.3"/>
    <row r="1390" s="11" customFormat="1" x14ac:dyDescent="0.3"/>
    <row r="1391" s="11" customFormat="1" x14ac:dyDescent="0.3"/>
    <row r="1392" s="11" customFormat="1" x14ac:dyDescent="0.3"/>
    <row r="1393" s="11" customFormat="1" x14ac:dyDescent="0.3"/>
    <row r="1394" s="11" customFormat="1" x14ac:dyDescent="0.3"/>
    <row r="1395" s="11" customFormat="1" x14ac:dyDescent="0.3"/>
    <row r="1396" s="11" customFormat="1" x14ac:dyDescent="0.3"/>
    <row r="1397" s="11" customFormat="1" x14ac:dyDescent="0.3"/>
    <row r="1398" s="11" customFormat="1" x14ac:dyDescent="0.3"/>
    <row r="1399" s="11" customFormat="1" x14ac:dyDescent="0.3"/>
    <row r="1400" s="11" customFormat="1" x14ac:dyDescent="0.3"/>
    <row r="1401" s="11" customFormat="1" x14ac:dyDescent="0.3"/>
    <row r="1402" s="11" customFormat="1" x14ac:dyDescent="0.3"/>
    <row r="1403" s="11" customFormat="1" x14ac:dyDescent="0.3"/>
    <row r="1404" s="11" customFormat="1" x14ac:dyDescent="0.3"/>
    <row r="1405" s="11" customFormat="1" x14ac:dyDescent="0.3"/>
    <row r="1406" s="11" customFormat="1" x14ac:dyDescent="0.3"/>
    <row r="1407" s="11" customFormat="1" x14ac:dyDescent="0.3"/>
    <row r="1408" s="11" customFormat="1" x14ac:dyDescent="0.3"/>
    <row r="1409" s="11" customFormat="1" x14ac:dyDescent="0.3"/>
    <row r="1410" s="11" customFormat="1" x14ac:dyDescent="0.3"/>
    <row r="1411" s="11" customFormat="1" x14ac:dyDescent="0.3"/>
    <row r="1412" s="11" customFormat="1" x14ac:dyDescent="0.3"/>
    <row r="1413" s="11" customFormat="1" x14ac:dyDescent="0.3"/>
    <row r="1414" s="11" customFormat="1" x14ac:dyDescent="0.3"/>
    <row r="1415" s="11" customFormat="1" x14ac:dyDescent="0.3"/>
    <row r="1416" s="11" customFormat="1" x14ac:dyDescent="0.3"/>
    <row r="1417" s="11" customFormat="1" x14ac:dyDescent="0.3"/>
    <row r="1418" s="11" customFormat="1" x14ac:dyDescent="0.3"/>
    <row r="1419" s="11" customFormat="1" x14ac:dyDescent="0.3"/>
    <row r="1420" s="11" customFormat="1" x14ac:dyDescent="0.3"/>
    <row r="1421" s="11" customFormat="1" x14ac:dyDescent="0.3"/>
    <row r="1422" s="11" customFormat="1" x14ac:dyDescent="0.3"/>
    <row r="1423" s="11" customFormat="1" x14ac:dyDescent="0.3"/>
    <row r="1424" s="11" customFormat="1" x14ac:dyDescent="0.3"/>
    <row r="1425" s="11" customFormat="1" x14ac:dyDescent="0.3"/>
    <row r="1426" s="11" customFormat="1" x14ac:dyDescent="0.3"/>
    <row r="1427" s="11" customFormat="1" x14ac:dyDescent="0.3"/>
    <row r="1428" s="11" customFormat="1" x14ac:dyDescent="0.3"/>
    <row r="1429" s="11" customFormat="1" x14ac:dyDescent="0.3"/>
    <row r="1430" s="11" customFormat="1" x14ac:dyDescent="0.3"/>
    <row r="1431" s="11" customFormat="1" x14ac:dyDescent="0.3"/>
    <row r="1432" s="11" customFormat="1" x14ac:dyDescent="0.3"/>
    <row r="1433" s="11" customFormat="1" x14ac:dyDescent="0.3"/>
    <row r="1434" s="11" customFormat="1" x14ac:dyDescent="0.3"/>
    <row r="1435" s="11" customFormat="1" x14ac:dyDescent="0.3"/>
    <row r="1436" s="11" customFormat="1" x14ac:dyDescent="0.3"/>
    <row r="1437" s="11" customFormat="1" x14ac:dyDescent="0.3"/>
    <row r="1438" s="11" customFormat="1" x14ac:dyDescent="0.3"/>
    <row r="1439" s="11" customFormat="1" x14ac:dyDescent="0.3"/>
    <row r="1440" s="11" customFormat="1" x14ac:dyDescent="0.3"/>
    <row r="1441" s="11" customFormat="1" x14ac:dyDescent="0.3"/>
    <row r="1442" s="11" customFormat="1" x14ac:dyDescent="0.3"/>
    <row r="1443" s="11" customFormat="1" x14ac:dyDescent="0.3"/>
    <row r="1444" s="11" customFormat="1" x14ac:dyDescent="0.3"/>
    <row r="1445" s="11" customFormat="1" x14ac:dyDescent="0.3"/>
    <row r="1446" s="11" customFormat="1" x14ac:dyDescent="0.3"/>
    <row r="1447" s="11" customFormat="1" x14ac:dyDescent="0.3"/>
    <row r="1448" s="11" customFormat="1" x14ac:dyDescent="0.3"/>
    <row r="1449" s="11" customFormat="1" x14ac:dyDescent="0.3"/>
    <row r="1450" s="11" customFormat="1" x14ac:dyDescent="0.3"/>
    <row r="1451" s="11" customFormat="1" x14ac:dyDescent="0.3"/>
    <row r="1452" s="11" customFormat="1" x14ac:dyDescent="0.3"/>
    <row r="1453" s="11" customFormat="1" x14ac:dyDescent="0.3"/>
    <row r="1454" s="11" customFormat="1" x14ac:dyDescent="0.3"/>
    <row r="1455" s="11" customFormat="1" x14ac:dyDescent="0.3"/>
    <row r="1456" s="11" customFormat="1" x14ac:dyDescent="0.3"/>
    <row r="1457" s="11" customFormat="1" x14ac:dyDescent="0.3"/>
    <row r="1458" s="11" customFormat="1" x14ac:dyDescent="0.3"/>
    <row r="1459" s="11" customFormat="1" x14ac:dyDescent="0.3"/>
    <row r="1460" s="11" customFormat="1" x14ac:dyDescent="0.3"/>
    <row r="1461" s="11" customFormat="1" x14ac:dyDescent="0.3"/>
    <row r="1462" s="11" customFormat="1" x14ac:dyDescent="0.3"/>
    <row r="1463" s="11" customFormat="1" x14ac:dyDescent="0.3"/>
    <row r="1464" s="11" customFormat="1" x14ac:dyDescent="0.3"/>
    <row r="1465" s="11" customFormat="1" x14ac:dyDescent="0.3"/>
    <row r="1466" s="11" customFormat="1" x14ac:dyDescent="0.3"/>
    <row r="1467" s="11" customFormat="1" x14ac:dyDescent="0.3"/>
    <row r="1468" s="11" customFormat="1" x14ac:dyDescent="0.3"/>
    <row r="1469" s="11" customFormat="1" x14ac:dyDescent="0.3"/>
    <row r="1470" s="11" customFormat="1" x14ac:dyDescent="0.3"/>
    <row r="1471" s="11" customFormat="1" x14ac:dyDescent="0.3"/>
    <row r="1472" s="11" customFormat="1" x14ac:dyDescent="0.3"/>
    <row r="1473" s="11" customFormat="1" x14ac:dyDescent="0.3"/>
    <row r="1474" s="11" customFormat="1" x14ac:dyDescent="0.3"/>
    <row r="1475" s="11" customFormat="1" x14ac:dyDescent="0.3"/>
    <row r="1476" s="11" customFormat="1" x14ac:dyDescent="0.3"/>
    <row r="1477" s="11" customFormat="1" x14ac:dyDescent="0.3"/>
    <row r="1478" s="11" customFormat="1" x14ac:dyDescent="0.3"/>
    <row r="1479" s="11" customFormat="1" x14ac:dyDescent="0.3"/>
    <row r="1480" s="11" customFormat="1" x14ac:dyDescent="0.3"/>
    <row r="1481" s="11" customFormat="1" x14ac:dyDescent="0.3"/>
    <row r="1482" s="11" customFormat="1" x14ac:dyDescent="0.3"/>
    <row r="1483" s="11" customFormat="1" x14ac:dyDescent="0.3"/>
    <row r="1484" s="11" customFormat="1" x14ac:dyDescent="0.3"/>
    <row r="1485" s="11" customFormat="1" x14ac:dyDescent="0.3"/>
    <row r="1486" s="11" customFormat="1" x14ac:dyDescent="0.3"/>
    <row r="1487" s="11" customFormat="1" x14ac:dyDescent="0.3"/>
    <row r="1488" s="11" customFormat="1" x14ac:dyDescent="0.3"/>
    <row r="1489" s="11" customFormat="1" x14ac:dyDescent="0.3"/>
    <row r="1490" s="11" customFormat="1" x14ac:dyDescent="0.3"/>
    <row r="1491" s="11" customFormat="1" x14ac:dyDescent="0.3"/>
    <row r="1492" s="11" customFormat="1" x14ac:dyDescent="0.3"/>
    <row r="1493" s="11" customFormat="1" x14ac:dyDescent="0.3"/>
    <row r="1494" s="11" customFormat="1" x14ac:dyDescent="0.3"/>
    <row r="1495" s="11" customFormat="1" x14ac:dyDescent="0.3"/>
    <row r="1496" s="11" customFormat="1" x14ac:dyDescent="0.3"/>
    <row r="1497" s="11" customFormat="1" x14ac:dyDescent="0.3"/>
    <row r="1498" s="11" customFormat="1" x14ac:dyDescent="0.3"/>
    <row r="1499" s="11" customFormat="1" x14ac:dyDescent="0.3"/>
    <row r="1500" s="11" customFormat="1" x14ac:dyDescent="0.3"/>
    <row r="1501" s="11" customFormat="1" x14ac:dyDescent="0.3"/>
    <row r="1502" s="11" customFormat="1" x14ac:dyDescent="0.3"/>
    <row r="1503" s="11" customFormat="1" x14ac:dyDescent="0.3"/>
    <row r="1504" s="11" customFormat="1" x14ac:dyDescent="0.3"/>
    <row r="1505" s="11" customFormat="1" x14ac:dyDescent="0.3"/>
    <row r="1506" s="11" customFormat="1" x14ac:dyDescent="0.3"/>
    <row r="1507" s="11" customFormat="1" x14ac:dyDescent="0.3"/>
    <row r="1508" s="11" customFormat="1" x14ac:dyDescent="0.3"/>
    <row r="1509" s="11" customFormat="1" x14ac:dyDescent="0.3"/>
    <row r="1510" s="11" customFormat="1" x14ac:dyDescent="0.3"/>
    <row r="1511" s="11" customFormat="1" x14ac:dyDescent="0.3"/>
    <row r="1512" s="11" customFormat="1" x14ac:dyDescent="0.3"/>
    <row r="1513" s="11" customFormat="1" x14ac:dyDescent="0.3"/>
    <row r="1514" s="11" customFormat="1" x14ac:dyDescent="0.3"/>
    <row r="1515" s="11" customFormat="1" x14ac:dyDescent="0.3"/>
    <row r="1516" s="11" customFormat="1" x14ac:dyDescent="0.3"/>
    <row r="1517" s="11" customFormat="1" x14ac:dyDescent="0.3"/>
    <row r="1518" s="11" customFormat="1" x14ac:dyDescent="0.3"/>
    <row r="1519" s="11" customFormat="1" x14ac:dyDescent="0.3"/>
    <row r="1520" s="11" customFormat="1" x14ac:dyDescent="0.3"/>
    <row r="1521" s="11" customFormat="1" x14ac:dyDescent="0.3"/>
    <row r="1522" s="11" customFormat="1" x14ac:dyDescent="0.3"/>
    <row r="1523" s="11" customFormat="1" x14ac:dyDescent="0.3"/>
    <row r="1524" s="11" customFormat="1" x14ac:dyDescent="0.3"/>
    <row r="1525" s="11" customFormat="1" x14ac:dyDescent="0.3"/>
    <row r="1526" s="11" customFormat="1" x14ac:dyDescent="0.3"/>
    <row r="1527" s="11" customFormat="1" x14ac:dyDescent="0.3"/>
    <row r="1528" s="11" customFormat="1" x14ac:dyDescent="0.3"/>
    <row r="1529" s="11" customFormat="1" x14ac:dyDescent="0.3"/>
    <row r="1530" s="11" customFormat="1" x14ac:dyDescent="0.3"/>
    <row r="1531" s="11" customFormat="1" x14ac:dyDescent="0.3"/>
    <row r="1532" s="11" customFormat="1" x14ac:dyDescent="0.3"/>
    <row r="1533" s="11" customFormat="1" x14ac:dyDescent="0.3"/>
    <row r="1534" s="11" customFormat="1" x14ac:dyDescent="0.3"/>
    <row r="1535" s="11" customFormat="1" x14ac:dyDescent="0.3"/>
    <row r="1536" s="11" customFormat="1" x14ac:dyDescent="0.3"/>
    <row r="1537" s="11" customFormat="1" x14ac:dyDescent="0.3"/>
    <row r="1538" s="11" customFormat="1" x14ac:dyDescent="0.3"/>
    <row r="1539" s="11" customFormat="1" x14ac:dyDescent="0.3"/>
    <row r="1540" s="11" customFormat="1" x14ac:dyDescent="0.3"/>
    <row r="1541" s="11" customFormat="1" x14ac:dyDescent="0.3"/>
    <row r="1542" s="11" customFormat="1" x14ac:dyDescent="0.3"/>
    <row r="1543" s="11" customFormat="1" x14ac:dyDescent="0.3"/>
    <row r="1544" s="11" customFormat="1" x14ac:dyDescent="0.3"/>
    <row r="1545" s="11" customFormat="1" x14ac:dyDescent="0.3"/>
    <row r="1546" s="11" customFormat="1" x14ac:dyDescent="0.3"/>
    <row r="1547" s="11" customFormat="1" x14ac:dyDescent="0.3"/>
    <row r="1548" s="11" customFormat="1" x14ac:dyDescent="0.3"/>
    <row r="1549" s="11" customFormat="1" x14ac:dyDescent="0.3"/>
    <row r="1550" s="11" customFormat="1" x14ac:dyDescent="0.3"/>
    <row r="1551" s="11" customFormat="1" x14ac:dyDescent="0.3"/>
    <row r="1552" s="11" customFormat="1" x14ac:dyDescent="0.3"/>
    <row r="1553" s="11" customFormat="1" x14ac:dyDescent="0.3"/>
    <row r="1554" s="11" customFormat="1" x14ac:dyDescent="0.3"/>
    <row r="1555" s="11" customFormat="1" x14ac:dyDescent="0.3"/>
    <row r="1556" s="11" customFormat="1" x14ac:dyDescent="0.3"/>
    <row r="1557" s="11" customFormat="1" x14ac:dyDescent="0.3"/>
    <row r="1558" s="11" customFormat="1" x14ac:dyDescent="0.3"/>
    <row r="1559" s="11" customFormat="1" x14ac:dyDescent="0.3"/>
    <row r="1560" s="11" customFormat="1" x14ac:dyDescent="0.3"/>
    <row r="1561" s="11" customFormat="1" x14ac:dyDescent="0.3"/>
    <row r="1562" s="11" customFormat="1" x14ac:dyDescent="0.3"/>
    <row r="1563" s="11" customFormat="1" x14ac:dyDescent="0.3"/>
    <row r="1564" s="11" customFormat="1" x14ac:dyDescent="0.3"/>
    <row r="1565" s="11" customFormat="1" x14ac:dyDescent="0.3"/>
    <row r="1566" s="11" customFormat="1" x14ac:dyDescent="0.3"/>
    <row r="1567" s="11" customFormat="1" x14ac:dyDescent="0.3"/>
    <row r="1568" s="11" customFormat="1" x14ac:dyDescent="0.3"/>
    <row r="1569" s="11" customFormat="1" x14ac:dyDescent="0.3"/>
    <row r="1570" s="11" customFormat="1" x14ac:dyDescent="0.3"/>
    <row r="1571" s="11" customFormat="1" x14ac:dyDescent="0.3"/>
    <row r="1572" s="11" customFormat="1" x14ac:dyDescent="0.3"/>
    <row r="1573" s="11" customFormat="1" x14ac:dyDescent="0.3"/>
    <row r="1574" s="11" customFormat="1" x14ac:dyDescent="0.3"/>
    <row r="1575" s="11" customFormat="1" x14ac:dyDescent="0.3"/>
    <row r="1576" s="11" customFormat="1" x14ac:dyDescent="0.3"/>
    <row r="1577" s="11" customFormat="1" x14ac:dyDescent="0.3"/>
    <row r="1578" s="11" customFormat="1" x14ac:dyDescent="0.3"/>
    <row r="1579" s="11" customFormat="1" x14ac:dyDescent="0.3"/>
    <row r="1580" s="11" customFormat="1" x14ac:dyDescent="0.3"/>
    <row r="1581" s="11" customFormat="1" x14ac:dyDescent="0.3"/>
    <row r="1582" s="11" customFormat="1" x14ac:dyDescent="0.3"/>
    <row r="1583" s="11" customFormat="1" x14ac:dyDescent="0.3"/>
    <row r="1584" s="11" customFormat="1" x14ac:dyDescent="0.3"/>
    <row r="1585" s="11" customFormat="1" x14ac:dyDescent="0.3"/>
    <row r="1586" s="11" customFormat="1" x14ac:dyDescent="0.3"/>
    <row r="1587" s="11" customFormat="1" x14ac:dyDescent="0.3"/>
    <row r="1588" s="11" customFormat="1" x14ac:dyDescent="0.3"/>
    <row r="1589" s="11" customFormat="1" x14ac:dyDescent="0.3"/>
    <row r="1590" s="11" customFormat="1" x14ac:dyDescent="0.3"/>
    <row r="1591" s="11" customFormat="1" x14ac:dyDescent="0.3"/>
    <row r="1592" s="11" customFormat="1" x14ac:dyDescent="0.3"/>
    <row r="1593" s="11" customFormat="1" x14ac:dyDescent="0.3"/>
    <row r="1594" s="11" customFormat="1" x14ac:dyDescent="0.3"/>
    <row r="1595" s="11" customFormat="1" x14ac:dyDescent="0.3"/>
    <row r="1596" s="11" customFormat="1" x14ac:dyDescent="0.3"/>
    <row r="1597" s="11" customFormat="1" x14ac:dyDescent="0.3"/>
    <row r="1598" s="11" customFormat="1" x14ac:dyDescent="0.3"/>
    <row r="1599" s="11" customFormat="1" x14ac:dyDescent="0.3"/>
    <row r="1600" s="11" customFormat="1" x14ac:dyDescent="0.3"/>
    <row r="1601" s="11" customFormat="1" x14ac:dyDescent="0.3"/>
    <row r="1602" s="11" customFormat="1" x14ac:dyDescent="0.3"/>
    <row r="1603" s="11" customFormat="1" x14ac:dyDescent="0.3"/>
    <row r="1604" s="11" customFormat="1" x14ac:dyDescent="0.3"/>
    <row r="1605" s="11" customFormat="1" x14ac:dyDescent="0.3"/>
    <row r="1606" s="11" customFormat="1" x14ac:dyDescent="0.3"/>
    <row r="1607" s="11" customFormat="1" x14ac:dyDescent="0.3"/>
    <row r="1608" s="11" customFormat="1" x14ac:dyDescent="0.3"/>
    <row r="1609" s="11" customFormat="1" x14ac:dyDescent="0.3"/>
    <row r="1610" s="11" customFormat="1" x14ac:dyDescent="0.3"/>
    <row r="1611" s="11" customFormat="1" x14ac:dyDescent="0.3"/>
    <row r="1612" s="11" customFormat="1" x14ac:dyDescent="0.3"/>
    <row r="1613" s="11" customFormat="1" x14ac:dyDescent="0.3"/>
    <row r="1614" s="11" customFormat="1" x14ac:dyDescent="0.3"/>
    <row r="1615" s="11" customFormat="1" x14ac:dyDescent="0.3"/>
    <row r="1616" s="11" customFormat="1" x14ac:dyDescent="0.3"/>
    <row r="1617" s="11" customFormat="1" x14ac:dyDescent="0.3"/>
    <row r="1618" s="11" customFormat="1" x14ac:dyDescent="0.3"/>
    <row r="1619" s="11" customFormat="1" x14ac:dyDescent="0.3"/>
    <row r="1620" s="11" customFormat="1" x14ac:dyDescent="0.3"/>
    <row r="1621" s="11" customFormat="1" x14ac:dyDescent="0.3"/>
    <row r="1622" s="11" customFormat="1" x14ac:dyDescent="0.3"/>
    <row r="1623" s="11" customFormat="1" x14ac:dyDescent="0.3"/>
    <row r="1624" s="11" customFormat="1" x14ac:dyDescent="0.3"/>
    <row r="1625" s="11" customFormat="1" x14ac:dyDescent="0.3"/>
    <row r="1626" s="11" customFormat="1" x14ac:dyDescent="0.3"/>
    <row r="1627" s="11" customFormat="1" x14ac:dyDescent="0.3"/>
    <row r="1628" s="11" customFormat="1" x14ac:dyDescent="0.3"/>
    <row r="1629" s="11" customFormat="1" x14ac:dyDescent="0.3"/>
    <row r="1630" s="11" customFormat="1" x14ac:dyDescent="0.3"/>
    <row r="1631" s="11" customFormat="1" x14ac:dyDescent="0.3"/>
    <row r="1632" s="11" customFormat="1" x14ac:dyDescent="0.3"/>
    <row r="1633" s="11" customFormat="1" x14ac:dyDescent="0.3"/>
    <row r="1634" s="11" customFormat="1" x14ac:dyDescent="0.3"/>
    <row r="1635" s="11" customFormat="1" x14ac:dyDescent="0.3"/>
    <row r="1636" s="11" customFormat="1" x14ac:dyDescent="0.3"/>
    <row r="1637" s="11" customFormat="1" x14ac:dyDescent="0.3"/>
    <row r="1638" s="11" customFormat="1" x14ac:dyDescent="0.3"/>
    <row r="1639" s="11" customFormat="1" x14ac:dyDescent="0.3"/>
    <row r="1640" s="11" customFormat="1" x14ac:dyDescent="0.3"/>
    <row r="1641" s="11" customFormat="1" x14ac:dyDescent="0.3"/>
    <row r="1642" s="11" customFormat="1" x14ac:dyDescent="0.3"/>
    <row r="1643" s="11" customFormat="1" x14ac:dyDescent="0.3"/>
    <row r="1644" s="11" customFormat="1" x14ac:dyDescent="0.3"/>
    <row r="1645" s="11" customFormat="1" x14ac:dyDescent="0.3"/>
    <row r="1646" s="11" customFormat="1" x14ac:dyDescent="0.3"/>
    <row r="1647" s="11" customFormat="1" x14ac:dyDescent="0.3"/>
    <row r="1648" s="11" customFormat="1" x14ac:dyDescent="0.3"/>
    <row r="1649" s="11" customFormat="1" x14ac:dyDescent="0.3"/>
    <row r="1650" s="11" customFormat="1" x14ac:dyDescent="0.3"/>
    <row r="1651" s="11" customFormat="1" x14ac:dyDescent="0.3"/>
    <row r="1652" s="11" customFormat="1" x14ac:dyDescent="0.3"/>
    <row r="1653" s="11" customFormat="1" x14ac:dyDescent="0.3"/>
    <row r="1654" s="11" customFormat="1" x14ac:dyDescent="0.3"/>
    <row r="1655" s="11" customFormat="1" x14ac:dyDescent="0.3"/>
    <row r="1656" s="11" customFormat="1" x14ac:dyDescent="0.3"/>
    <row r="1657" s="11" customFormat="1" x14ac:dyDescent="0.3"/>
    <row r="1658" s="11" customFormat="1" x14ac:dyDescent="0.3"/>
    <row r="1659" s="11" customFormat="1" x14ac:dyDescent="0.3"/>
    <row r="1660" s="11" customFormat="1" x14ac:dyDescent="0.3"/>
    <row r="1661" s="11" customFormat="1" x14ac:dyDescent="0.3"/>
    <row r="1662" s="11" customFormat="1" x14ac:dyDescent="0.3"/>
    <row r="1663" s="11" customFormat="1" x14ac:dyDescent="0.3"/>
    <row r="1664" s="11" customFormat="1" x14ac:dyDescent="0.3"/>
    <row r="1665" s="11" customFormat="1" x14ac:dyDescent="0.3"/>
    <row r="1666" s="11" customFormat="1" x14ac:dyDescent="0.3"/>
    <row r="1667" s="11" customFormat="1" x14ac:dyDescent="0.3"/>
    <row r="1668" s="11" customFormat="1" x14ac:dyDescent="0.3"/>
    <row r="1669" s="11" customFormat="1" x14ac:dyDescent="0.3"/>
    <row r="1670" s="11" customFormat="1" x14ac:dyDescent="0.3"/>
    <row r="1671" s="11" customFormat="1" x14ac:dyDescent="0.3"/>
    <row r="1672" s="11" customFormat="1" x14ac:dyDescent="0.3"/>
    <row r="1673" s="11" customFormat="1" x14ac:dyDescent="0.3"/>
    <row r="1674" s="11" customFormat="1" x14ac:dyDescent="0.3"/>
    <row r="1675" s="11" customFormat="1" x14ac:dyDescent="0.3"/>
    <row r="1676" s="11" customFormat="1" x14ac:dyDescent="0.3"/>
    <row r="1677" s="11" customFormat="1" x14ac:dyDescent="0.3"/>
    <row r="1678" s="11" customFormat="1" x14ac:dyDescent="0.3"/>
    <row r="1679" s="11" customFormat="1" x14ac:dyDescent="0.3"/>
    <row r="1680" s="11" customFormat="1" x14ac:dyDescent="0.3"/>
    <row r="1681" s="11" customFormat="1" x14ac:dyDescent="0.3"/>
    <row r="1682" s="11" customFormat="1" x14ac:dyDescent="0.3"/>
    <row r="1683" s="11" customFormat="1" x14ac:dyDescent="0.3"/>
    <row r="1684" s="11" customFormat="1" x14ac:dyDescent="0.3"/>
    <row r="1685" s="11" customFormat="1" x14ac:dyDescent="0.3"/>
    <row r="1686" s="11" customFormat="1" x14ac:dyDescent="0.3"/>
    <row r="1687" s="11" customFormat="1" x14ac:dyDescent="0.3"/>
    <row r="1688" s="11" customFormat="1" x14ac:dyDescent="0.3"/>
    <row r="1689" s="11" customFormat="1" x14ac:dyDescent="0.3"/>
    <row r="1690" s="11" customFormat="1" x14ac:dyDescent="0.3"/>
    <row r="1691" s="11" customFormat="1" x14ac:dyDescent="0.3"/>
    <row r="1692" s="11" customFormat="1" x14ac:dyDescent="0.3"/>
    <row r="1693" s="11" customFormat="1" x14ac:dyDescent="0.3"/>
    <row r="1694" s="11" customFormat="1" x14ac:dyDescent="0.3"/>
    <row r="1695" s="11" customFormat="1" x14ac:dyDescent="0.3"/>
    <row r="1696" s="11" customFormat="1" x14ac:dyDescent="0.3"/>
    <row r="1697" s="11" customFormat="1" x14ac:dyDescent="0.3"/>
    <row r="1698" s="11" customFormat="1" x14ac:dyDescent="0.3"/>
    <row r="1699" s="11" customFormat="1" x14ac:dyDescent="0.3"/>
    <row r="1700" s="11" customFormat="1" x14ac:dyDescent="0.3"/>
    <row r="1701" s="11" customFormat="1" x14ac:dyDescent="0.3"/>
    <row r="1702" s="11" customFormat="1" x14ac:dyDescent="0.3"/>
    <row r="1703" s="11" customFormat="1" x14ac:dyDescent="0.3"/>
    <row r="1704" s="11" customFormat="1" x14ac:dyDescent="0.3"/>
    <row r="1705" s="11" customFormat="1" x14ac:dyDescent="0.3"/>
    <row r="1706" s="11" customFormat="1" x14ac:dyDescent="0.3"/>
    <row r="1707" s="11" customFormat="1" x14ac:dyDescent="0.3"/>
    <row r="1708" s="11" customFormat="1" x14ac:dyDescent="0.3"/>
    <row r="1709" s="11" customFormat="1" x14ac:dyDescent="0.3"/>
    <row r="1710" s="11" customFormat="1" x14ac:dyDescent="0.3"/>
    <row r="1711" s="11" customFormat="1" x14ac:dyDescent="0.3"/>
    <row r="1712" s="11" customFormat="1" x14ac:dyDescent="0.3"/>
    <row r="1713" s="11" customFormat="1" x14ac:dyDescent="0.3"/>
    <row r="1714" s="11" customFormat="1" x14ac:dyDescent="0.3"/>
    <row r="1715" s="11" customFormat="1" x14ac:dyDescent="0.3"/>
    <row r="1716" s="11" customFormat="1" x14ac:dyDescent="0.3"/>
    <row r="1717" s="11" customFormat="1" x14ac:dyDescent="0.3"/>
    <row r="1718" s="11" customFormat="1" x14ac:dyDescent="0.3"/>
    <row r="1719" s="11" customFormat="1" x14ac:dyDescent="0.3"/>
    <row r="1720" s="11" customFormat="1" x14ac:dyDescent="0.3"/>
    <row r="1721" s="11" customFormat="1" x14ac:dyDescent="0.3"/>
    <row r="1722" s="11" customFormat="1" x14ac:dyDescent="0.3"/>
    <row r="1723" s="11" customFormat="1" x14ac:dyDescent="0.3"/>
    <row r="1724" s="11" customFormat="1" x14ac:dyDescent="0.3"/>
    <row r="1725" s="11" customFormat="1" x14ac:dyDescent="0.3"/>
    <row r="1726" s="11" customFormat="1" x14ac:dyDescent="0.3"/>
    <row r="1727" s="11" customFormat="1" x14ac:dyDescent="0.3"/>
    <row r="1728" s="11" customFormat="1" x14ac:dyDescent="0.3"/>
    <row r="1729" s="11" customFormat="1" x14ac:dyDescent="0.3"/>
    <row r="1730" s="11" customFormat="1" x14ac:dyDescent="0.3"/>
    <row r="1731" s="11" customFormat="1" x14ac:dyDescent="0.3"/>
    <row r="1732" s="11" customFormat="1" x14ac:dyDescent="0.3"/>
    <row r="1733" s="11" customFormat="1" x14ac:dyDescent="0.3"/>
    <row r="1734" s="11" customFormat="1" x14ac:dyDescent="0.3"/>
    <row r="1735" s="11" customFormat="1" x14ac:dyDescent="0.3"/>
    <row r="1736" s="11" customFormat="1" x14ac:dyDescent="0.3"/>
    <row r="1737" s="11" customFormat="1" x14ac:dyDescent="0.3"/>
    <row r="1738" s="11" customFormat="1" x14ac:dyDescent="0.3"/>
    <row r="1739" s="11" customFormat="1" x14ac:dyDescent="0.3"/>
    <row r="1740" s="11" customFormat="1" x14ac:dyDescent="0.3"/>
    <row r="1741" s="11" customFormat="1" x14ac:dyDescent="0.3"/>
    <row r="1742" s="11" customFormat="1" x14ac:dyDescent="0.3"/>
    <row r="1743" s="11" customFormat="1" x14ac:dyDescent="0.3"/>
    <row r="1744" s="11" customFormat="1" x14ac:dyDescent="0.3"/>
    <row r="1745" s="11" customFormat="1" x14ac:dyDescent="0.3"/>
    <row r="1746" s="11" customFormat="1" x14ac:dyDescent="0.3"/>
    <row r="1747" s="11" customFormat="1" x14ac:dyDescent="0.3"/>
    <row r="1748" s="11" customFormat="1" x14ac:dyDescent="0.3"/>
    <row r="1749" s="11" customFormat="1" x14ac:dyDescent="0.3"/>
    <row r="1750" s="11" customFormat="1" x14ac:dyDescent="0.3"/>
    <row r="1751" s="11" customFormat="1" x14ac:dyDescent="0.3"/>
    <row r="1752" s="11" customFormat="1" x14ac:dyDescent="0.3"/>
    <row r="1753" s="11" customFormat="1" x14ac:dyDescent="0.3"/>
    <row r="1754" s="11" customFormat="1" x14ac:dyDescent="0.3"/>
    <row r="1755" s="11" customFormat="1" x14ac:dyDescent="0.3"/>
    <row r="1756" s="11" customFormat="1" x14ac:dyDescent="0.3"/>
    <row r="1757" s="11" customFormat="1" x14ac:dyDescent="0.3"/>
    <row r="1758" s="11" customFormat="1" x14ac:dyDescent="0.3"/>
    <row r="1759" s="11" customFormat="1" x14ac:dyDescent="0.3"/>
    <row r="1760" s="11" customFormat="1" x14ac:dyDescent="0.3"/>
    <row r="1761" s="11" customFormat="1" x14ac:dyDescent="0.3"/>
    <row r="1762" s="11" customFormat="1" x14ac:dyDescent="0.3"/>
    <row r="1763" s="11" customFormat="1" x14ac:dyDescent="0.3"/>
    <row r="1764" s="11" customFormat="1" x14ac:dyDescent="0.3"/>
    <row r="1765" s="11" customFormat="1" x14ac:dyDescent="0.3"/>
    <row r="1766" s="11" customFormat="1" x14ac:dyDescent="0.3"/>
    <row r="1767" s="11" customFormat="1" x14ac:dyDescent="0.3"/>
    <row r="1768" s="11" customFormat="1" x14ac:dyDescent="0.3"/>
    <row r="1769" s="11" customFormat="1" x14ac:dyDescent="0.3"/>
    <row r="1770" s="11" customFormat="1" x14ac:dyDescent="0.3"/>
    <row r="1771" s="11" customFormat="1" x14ac:dyDescent="0.3"/>
    <row r="1772" s="11" customFormat="1" x14ac:dyDescent="0.3"/>
    <row r="1773" s="11" customFormat="1" x14ac:dyDescent="0.3"/>
    <row r="1774" s="11" customFormat="1" x14ac:dyDescent="0.3"/>
    <row r="1775" s="11" customFormat="1" x14ac:dyDescent="0.3"/>
    <row r="1776" s="11" customFormat="1" x14ac:dyDescent="0.3"/>
    <row r="1777" s="11" customFormat="1" x14ac:dyDescent="0.3"/>
    <row r="1778" s="11" customFormat="1" x14ac:dyDescent="0.3"/>
    <row r="1779" s="11" customFormat="1" x14ac:dyDescent="0.3"/>
    <row r="1780" s="11" customFormat="1" x14ac:dyDescent="0.3"/>
    <row r="1781" s="11" customFormat="1" x14ac:dyDescent="0.3"/>
    <row r="1782" s="11" customFormat="1" x14ac:dyDescent="0.3"/>
    <row r="1783" s="11" customFormat="1" x14ac:dyDescent="0.3"/>
    <row r="1784" s="11" customFormat="1" x14ac:dyDescent="0.3"/>
    <row r="1785" s="11" customFormat="1" x14ac:dyDescent="0.3"/>
    <row r="1786" s="11" customFormat="1" x14ac:dyDescent="0.3"/>
    <row r="1787" s="11" customFormat="1" x14ac:dyDescent="0.3"/>
    <row r="1788" s="11" customFormat="1" x14ac:dyDescent="0.3"/>
    <row r="1789" s="11" customFormat="1" x14ac:dyDescent="0.3"/>
    <row r="1790" s="11" customFormat="1" x14ac:dyDescent="0.3"/>
    <row r="1791" s="11" customFormat="1" x14ac:dyDescent="0.3"/>
    <row r="1792" s="11" customFormat="1" x14ac:dyDescent="0.3"/>
    <row r="1793" s="11" customFormat="1" x14ac:dyDescent="0.3"/>
    <row r="1794" s="11" customFormat="1" x14ac:dyDescent="0.3"/>
    <row r="1795" s="11" customFormat="1" x14ac:dyDescent="0.3"/>
    <row r="1796" s="11" customFormat="1" x14ac:dyDescent="0.3"/>
    <row r="1797" s="11" customFormat="1" x14ac:dyDescent="0.3"/>
    <row r="1798" s="11" customFormat="1" x14ac:dyDescent="0.3"/>
    <row r="1799" s="11" customFormat="1" x14ac:dyDescent="0.3"/>
    <row r="1800" s="11" customFormat="1" x14ac:dyDescent="0.3"/>
    <row r="1801" s="11" customFormat="1" x14ac:dyDescent="0.3"/>
    <row r="1802" s="11" customFormat="1" x14ac:dyDescent="0.3"/>
    <row r="1803" s="11" customFormat="1" x14ac:dyDescent="0.3"/>
    <row r="1804" s="11" customFormat="1" x14ac:dyDescent="0.3"/>
    <row r="1805" s="11" customFormat="1" x14ac:dyDescent="0.3"/>
    <row r="1806" s="11" customFormat="1" x14ac:dyDescent="0.3"/>
    <row r="1807" s="11" customFormat="1" x14ac:dyDescent="0.3"/>
    <row r="1808" s="11" customFormat="1" x14ac:dyDescent="0.3"/>
    <row r="1809" s="11" customFormat="1" x14ac:dyDescent="0.3"/>
    <row r="1810" s="11" customFormat="1" x14ac:dyDescent="0.3"/>
    <row r="1811" s="11" customFormat="1" x14ac:dyDescent="0.3"/>
    <row r="1812" s="11" customFormat="1" x14ac:dyDescent="0.3"/>
    <row r="1813" s="11" customFormat="1" x14ac:dyDescent="0.3"/>
    <row r="1814" s="11" customFormat="1" x14ac:dyDescent="0.3"/>
    <row r="1815" s="11" customFormat="1" x14ac:dyDescent="0.3"/>
    <row r="1816" s="11" customFormat="1" x14ac:dyDescent="0.3"/>
    <row r="1817" s="11" customFormat="1" x14ac:dyDescent="0.3"/>
    <row r="1818" s="11" customFormat="1" x14ac:dyDescent="0.3"/>
    <row r="1819" s="11" customFormat="1" x14ac:dyDescent="0.3"/>
    <row r="1820" s="11" customFormat="1" x14ac:dyDescent="0.3"/>
    <row r="1821" s="11" customFormat="1" x14ac:dyDescent="0.3"/>
    <row r="1822" s="11" customFormat="1" x14ac:dyDescent="0.3"/>
    <row r="1823" s="11" customFormat="1" x14ac:dyDescent="0.3"/>
    <row r="1824" s="11" customFormat="1" x14ac:dyDescent="0.3"/>
    <row r="1825" s="11" customFormat="1" x14ac:dyDescent="0.3"/>
    <row r="1826" s="11" customFormat="1" x14ac:dyDescent="0.3"/>
    <row r="1827" s="11" customFormat="1" x14ac:dyDescent="0.3"/>
    <row r="1828" s="11" customFormat="1" x14ac:dyDescent="0.3"/>
    <row r="1829" s="11" customFormat="1" x14ac:dyDescent="0.3"/>
    <row r="1830" s="11" customFormat="1" x14ac:dyDescent="0.3"/>
    <row r="1831" s="11" customFormat="1" x14ac:dyDescent="0.3"/>
    <row r="1832" s="11" customFormat="1" x14ac:dyDescent="0.3"/>
    <row r="1833" s="11" customFormat="1" x14ac:dyDescent="0.3"/>
    <row r="1834" s="11" customFormat="1" x14ac:dyDescent="0.3"/>
    <row r="1835" s="11" customFormat="1" x14ac:dyDescent="0.3"/>
    <row r="1836" s="11" customFormat="1" x14ac:dyDescent="0.3"/>
    <row r="1837" s="11" customFormat="1" x14ac:dyDescent="0.3"/>
    <row r="1838" s="11" customFormat="1" x14ac:dyDescent="0.3"/>
    <row r="1839" s="11" customFormat="1" x14ac:dyDescent="0.3"/>
    <row r="1840" s="11" customFormat="1" x14ac:dyDescent="0.3"/>
    <row r="1841" s="11" customFormat="1" x14ac:dyDescent="0.3"/>
    <row r="1842" s="11" customFormat="1" x14ac:dyDescent="0.3"/>
    <row r="1843" s="11" customFormat="1" x14ac:dyDescent="0.3"/>
    <row r="1844" s="11" customFormat="1" x14ac:dyDescent="0.3"/>
    <row r="1845" s="11" customFormat="1" x14ac:dyDescent="0.3"/>
    <row r="1846" s="11" customFormat="1" x14ac:dyDescent="0.3"/>
    <row r="1847" s="11" customFormat="1" x14ac:dyDescent="0.3"/>
    <row r="1848" s="11" customFormat="1" x14ac:dyDescent="0.3"/>
    <row r="1849" s="11" customFormat="1" x14ac:dyDescent="0.3"/>
    <row r="1850" s="11" customFormat="1" x14ac:dyDescent="0.3"/>
    <row r="1851" s="11" customFormat="1" x14ac:dyDescent="0.3"/>
    <row r="1852" s="11" customFormat="1" x14ac:dyDescent="0.3"/>
    <row r="1853" s="11" customFormat="1" x14ac:dyDescent="0.3"/>
    <row r="1854" s="11" customFormat="1" x14ac:dyDescent="0.3"/>
    <row r="1855" s="11" customFormat="1" x14ac:dyDescent="0.3"/>
    <row r="1856" s="11" customFormat="1" x14ac:dyDescent="0.3"/>
    <row r="1857" s="11" customFormat="1" x14ac:dyDescent="0.3"/>
    <row r="1858" s="11" customFormat="1" x14ac:dyDescent="0.3"/>
    <row r="1859" s="11" customFormat="1" x14ac:dyDescent="0.3"/>
    <row r="1860" s="11" customFormat="1" x14ac:dyDescent="0.3"/>
    <row r="1861" s="11" customFormat="1" x14ac:dyDescent="0.3"/>
    <row r="1862" s="11" customFormat="1" x14ac:dyDescent="0.3"/>
    <row r="1863" s="11" customFormat="1" x14ac:dyDescent="0.3"/>
    <row r="1864" s="11" customFormat="1" x14ac:dyDescent="0.3"/>
    <row r="1865" s="11" customFormat="1" x14ac:dyDescent="0.3"/>
    <row r="1866" s="11" customFormat="1" x14ac:dyDescent="0.3"/>
    <row r="1867" s="11" customFormat="1" x14ac:dyDescent="0.3"/>
    <row r="1868" s="11" customFormat="1" x14ac:dyDescent="0.3"/>
    <row r="1869" s="11" customFormat="1" x14ac:dyDescent="0.3"/>
    <row r="1870" s="11" customFormat="1" x14ac:dyDescent="0.3"/>
    <row r="1871" s="11" customFormat="1" x14ac:dyDescent="0.3"/>
    <row r="1872" s="11" customFormat="1" x14ac:dyDescent="0.3"/>
    <row r="1873" s="11" customFormat="1" x14ac:dyDescent="0.3"/>
    <row r="1874" s="11" customFormat="1" x14ac:dyDescent="0.3"/>
    <row r="1875" s="11" customFormat="1" x14ac:dyDescent="0.3"/>
    <row r="1876" s="11" customFormat="1" x14ac:dyDescent="0.3"/>
    <row r="1877" s="11" customFormat="1" x14ac:dyDescent="0.3"/>
    <row r="1878" s="11" customFormat="1" x14ac:dyDescent="0.3"/>
    <row r="1879" s="11" customFormat="1" x14ac:dyDescent="0.3"/>
    <row r="1880" s="11" customFormat="1" x14ac:dyDescent="0.3"/>
    <row r="1881" s="11" customFormat="1" x14ac:dyDescent="0.3"/>
    <row r="1882" s="11" customFormat="1" x14ac:dyDescent="0.3"/>
    <row r="1883" s="11" customFormat="1" x14ac:dyDescent="0.3"/>
    <row r="1884" s="11" customFormat="1" x14ac:dyDescent="0.3"/>
    <row r="1885" s="11" customFormat="1" x14ac:dyDescent="0.3"/>
    <row r="1886" s="11" customFormat="1" x14ac:dyDescent="0.3"/>
    <row r="1887" s="11" customFormat="1" x14ac:dyDescent="0.3"/>
    <row r="1888" s="11" customFormat="1" x14ac:dyDescent="0.3"/>
    <row r="1889" s="11" customFormat="1" x14ac:dyDescent="0.3"/>
    <row r="1890" s="11" customFormat="1" x14ac:dyDescent="0.3"/>
    <row r="1891" s="11" customFormat="1" x14ac:dyDescent="0.3"/>
    <row r="1892" s="11" customFormat="1" x14ac:dyDescent="0.3"/>
    <row r="1893" s="11" customFormat="1" x14ac:dyDescent="0.3"/>
    <row r="1894" s="11" customFormat="1" x14ac:dyDescent="0.3"/>
    <row r="1895" s="11" customFormat="1" x14ac:dyDescent="0.3"/>
    <row r="1896" s="11" customFormat="1" x14ac:dyDescent="0.3"/>
    <row r="1897" s="11" customFormat="1" x14ac:dyDescent="0.3"/>
    <row r="1898" s="11" customFormat="1" x14ac:dyDescent="0.3"/>
    <row r="1899" s="11" customFormat="1" x14ac:dyDescent="0.3"/>
    <row r="1900" s="11" customFormat="1" x14ac:dyDescent="0.3"/>
    <row r="1901" s="11" customFormat="1" x14ac:dyDescent="0.3"/>
    <row r="1902" s="11" customFormat="1" x14ac:dyDescent="0.3"/>
    <row r="1903" s="11" customFormat="1" x14ac:dyDescent="0.3"/>
    <row r="1904" s="11" customFormat="1" x14ac:dyDescent="0.3"/>
    <row r="1905" s="11" customFormat="1" x14ac:dyDescent="0.3"/>
    <row r="1906" s="11" customFormat="1" x14ac:dyDescent="0.3"/>
    <row r="1907" s="11" customFormat="1" x14ac:dyDescent="0.3"/>
    <row r="1908" s="11" customFormat="1" x14ac:dyDescent="0.3"/>
    <row r="1909" s="11" customFormat="1" x14ac:dyDescent="0.3"/>
    <row r="1910" s="11" customFormat="1" x14ac:dyDescent="0.3"/>
    <row r="1911" s="11" customFormat="1" x14ac:dyDescent="0.3"/>
    <row r="1912" s="11" customFormat="1" x14ac:dyDescent="0.3"/>
    <row r="1913" s="11" customFormat="1" x14ac:dyDescent="0.3"/>
    <row r="1914" s="11" customFormat="1" x14ac:dyDescent="0.3"/>
    <row r="1915" s="11" customFormat="1" x14ac:dyDescent="0.3"/>
    <row r="1916" s="11" customFormat="1" x14ac:dyDescent="0.3"/>
    <row r="1917" s="11" customFormat="1" x14ac:dyDescent="0.3"/>
    <row r="1918" s="11" customFormat="1" x14ac:dyDescent="0.3"/>
    <row r="1919" s="11" customFormat="1" x14ac:dyDescent="0.3"/>
    <row r="1920" s="11" customFormat="1" x14ac:dyDescent="0.3"/>
    <row r="1921" s="11" customFormat="1" x14ac:dyDescent="0.3"/>
    <row r="1922" s="11" customFormat="1" x14ac:dyDescent="0.3"/>
    <row r="1923" s="11" customFormat="1" x14ac:dyDescent="0.3"/>
    <row r="1924" s="11" customFormat="1" x14ac:dyDescent="0.3"/>
    <row r="1925" s="11" customFormat="1" x14ac:dyDescent="0.3"/>
    <row r="1926" s="11" customFormat="1" x14ac:dyDescent="0.3"/>
    <row r="1927" s="11" customFormat="1" x14ac:dyDescent="0.3"/>
    <row r="1928" s="11" customFormat="1" x14ac:dyDescent="0.3"/>
    <row r="1929" s="11" customFormat="1" x14ac:dyDescent="0.3"/>
    <row r="1930" s="11" customFormat="1" x14ac:dyDescent="0.3"/>
    <row r="1931" s="11" customFormat="1" x14ac:dyDescent="0.3"/>
    <row r="1932" s="11" customFormat="1" x14ac:dyDescent="0.3"/>
    <row r="1933" s="11" customFormat="1" x14ac:dyDescent="0.3"/>
    <row r="1934" s="11" customFormat="1" x14ac:dyDescent="0.3"/>
    <row r="1935" s="11" customFormat="1" x14ac:dyDescent="0.3"/>
    <row r="1936" s="11" customFormat="1" x14ac:dyDescent="0.3"/>
    <row r="1937" s="11" customFormat="1" x14ac:dyDescent="0.3"/>
    <row r="1938" s="11" customFormat="1" x14ac:dyDescent="0.3"/>
    <row r="1939" s="11" customFormat="1" x14ac:dyDescent="0.3"/>
    <row r="1940" s="11" customFormat="1" x14ac:dyDescent="0.3"/>
    <row r="1941" s="11" customFormat="1" x14ac:dyDescent="0.3"/>
    <row r="1942" s="11" customFormat="1" x14ac:dyDescent="0.3"/>
    <row r="1943" s="11" customFormat="1" x14ac:dyDescent="0.3"/>
    <row r="1944" s="11" customFormat="1" x14ac:dyDescent="0.3"/>
    <row r="1945" s="11" customFormat="1" x14ac:dyDescent="0.3"/>
    <row r="1946" s="11" customFormat="1" x14ac:dyDescent="0.3"/>
    <row r="1947" s="11" customFormat="1" x14ac:dyDescent="0.3"/>
    <row r="1948" s="11" customFormat="1" x14ac:dyDescent="0.3"/>
    <row r="1949" s="11" customFormat="1" x14ac:dyDescent="0.3"/>
    <row r="1950" s="11" customFormat="1" x14ac:dyDescent="0.3"/>
    <row r="1951" s="11" customFormat="1" x14ac:dyDescent="0.3"/>
    <row r="1952" s="11" customFormat="1" x14ac:dyDescent="0.3"/>
    <row r="1953" s="11" customFormat="1" x14ac:dyDescent="0.3"/>
    <row r="1954" s="11" customFormat="1" x14ac:dyDescent="0.3"/>
    <row r="1955" s="11" customFormat="1" x14ac:dyDescent="0.3"/>
    <row r="1956" s="11" customFormat="1" x14ac:dyDescent="0.3"/>
    <row r="1957" s="11" customFormat="1" x14ac:dyDescent="0.3"/>
    <row r="1958" s="11" customFormat="1" x14ac:dyDescent="0.3"/>
    <row r="1959" s="11" customFormat="1" x14ac:dyDescent="0.3"/>
    <row r="1960" s="11" customFormat="1" x14ac:dyDescent="0.3"/>
    <row r="1961" s="11" customFormat="1" x14ac:dyDescent="0.3"/>
    <row r="1962" s="11" customFormat="1" x14ac:dyDescent="0.3"/>
    <row r="1963" s="11" customFormat="1" x14ac:dyDescent="0.3"/>
    <row r="1964" s="11" customFormat="1" x14ac:dyDescent="0.3"/>
    <row r="1965" s="11" customFormat="1" x14ac:dyDescent="0.3"/>
    <row r="1966" s="11" customFormat="1" x14ac:dyDescent="0.3"/>
    <row r="1967" s="11" customFormat="1" x14ac:dyDescent="0.3"/>
    <row r="1968" s="11" customFormat="1" x14ac:dyDescent="0.3"/>
    <row r="1969" s="11" customFormat="1" x14ac:dyDescent="0.3"/>
    <row r="1970" s="11" customFormat="1" x14ac:dyDescent="0.3"/>
    <row r="1971" s="11" customFormat="1" x14ac:dyDescent="0.3"/>
    <row r="1972" s="11" customFormat="1" x14ac:dyDescent="0.3"/>
    <row r="1973" s="11" customFormat="1" x14ac:dyDescent="0.3"/>
    <row r="1974" s="11" customFormat="1" x14ac:dyDescent="0.3"/>
    <row r="1975" s="11" customFormat="1" x14ac:dyDescent="0.3"/>
    <row r="1976" s="11" customFormat="1" x14ac:dyDescent="0.3"/>
    <row r="1977" s="11" customFormat="1" x14ac:dyDescent="0.3"/>
    <row r="1978" s="11" customFormat="1" x14ac:dyDescent="0.3"/>
    <row r="1979" s="11" customFormat="1" x14ac:dyDescent="0.3"/>
    <row r="1980" s="11" customFormat="1" x14ac:dyDescent="0.3"/>
    <row r="1981" s="11" customFormat="1" x14ac:dyDescent="0.3"/>
    <row r="1982" s="11" customFormat="1" x14ac:dyDescent="0.3"/>
    <row r="1983" s="11" customFormat="1" x14ac:dyDescent="0.3"/>
    <row r="1984" s="11" customFormat="1" x14ac:dyDescent="0.3"/>
    <row r="1985" s="11" customFormat="1" x14ac:dyDescent="0.3"/>
    <row r="1986" s="11" customFormat="1" x14ac:dyDescent="0.3"/>
    <row r="1987" s="11" customFormat="1" x14ac:dyDescent="0.3"/>
    <row r="1988" s="11" customFormat="1" x14ac:dyDescent="0.3"/>
    <row r="1989" s="11" customFormat="1" x14ac:dyDescent="0.3"/>
    <row r="1990" s="11" customFormat="1" x14ac:dyDescent="0.3"/>
    <row r="1991" s="11" customFormat="1" x14ac:dyDescent="0.3"/>
    <row r="1992" s="11" customFormat="1" x14ac:dyDescent="0.3"/>
    <row r="1993" s="11" customFormat="1" x14ac:dyDescent="0.3"/>
    <row r="1994" s="11" customFormat="1" x14ac:dyDescent="0.3"/>
    <row r="1995" s="11" customFormat="1" x14ac:dyDescent="0.3"/>
    <row r="1996" s="11" customFormat="1" x14ac:dyDescent="0.3"/>
    <row r="1997" s="11" customFormat="1" x14ac:dyDescent="0.3"/>
    <row r="1998" s="11" customFormat="1" x14ac:dyDescent="0.3"/>
    <row r="1999" s="11" customFormat="1" x14ac:dyDescent="0.3"/>
    <row r="2000" s="11" customFormat="1" x14ac:dyDescent="0.3"/>
    <row r="2001" s="11" customFormat="1" x14ac:dyDescent="0.3"/>
    <row r="2002" s="11" customFormat="1" x14ac:dyDescent="0.3"/>
    <row r="2003" s="11" customFormat="1" x14ac:dyDescent="0.3"/>
    <row r="2004" s="11" customFormat="1" x14ac:dyDescent="0.3"/>
    <row r="2005" s="11" customFormat="1" x14ac:dyDescent="0.3"/>
    <row r="2006" s="11" customFormat="1" x14ac:dyDescent="0.3"/>
    <row r="2007" s="11" customFormat="1" x14ac:dyDescent="0.3"/>
    <row r="2008" s="11" customFormat="1" x14ac:dyDescent="0.3"/>
    <row r="2009" s="11" customFormat="1" x14ac:dyDescent="0.3"/>
    <row r="2010" s="11" customFormat="1" x14ac:dyDescent="0.3"/>
    <row r="2011" s="11" customFormat="1" x14ac:dyDescent="0.3"/>
    <row r="2012" s="11" customFormat="1" x14ac:dyDescent="0.3"/>
    <row r="2013" s="11" customFormat="1" x14ac:dyDescent="0.3"/>
    <row r="2014" s="11" customFormat="1" x14ac:dyDescent="0.3"/>
    <row r="2015" s="11" customFormat="1" x14ac:dyDescent="0.3"/>
    <row r="2016" s="11" customFormat="1" x14ac:dyDescent="0.3"/>
    <row r="2017" s="11" customFormat="1" x14ac:dyDescent="0.3"/>
    <row r="2018" s="11" customFormat="1" x14ac:dyDescent="0.3"/>
    <row r="2019" s="11" customFormat="1" x14ac:dyDescent="0.3"/>
    <row r="2020" s="11" customFormat="1" x14ac:dyDescent="0.3"/>
    <row r="2021" s="11" customFormat="1" x14ac:dyDescent="0.3"/>
    <row r="2022" s="11" customFormat="1" x14ac:dyDescent="0.3"/>
    <row r="2023" s="11" customFormat="1" x14ac:dyDescent="0.3"/>
    <row r="2024" s="11" customFormat="1" x14ac:dyDescent="0.3"/>
    <row r="2025" s="11" customFormat="1" x14ac:dyDescent="0.3"/>
    <row r="2026" s="11" customFormat="1" x14ac:dyDescent="0.3"/>
    <row r="2027" s="11" customFormat="1" x14ac:dyDescent="0.3"/>
    <row r="2028" s="11" customFormat="1" x14ac:dyDescent="0.3"/>
    <row r="2029" s="11" customFormat="1" x14ac:dyDescent="0.3"/>
    <row r="2030" s="11" customFormat="1" x14ac:dyDescent="0.3"/>
    <row r="2031" s="11" customFormat="1" x14ac:dyDescent="0.3"/>
    <row r="2032" s="11" customFormat="1" x14ac:dyDescent="0.3"/>
    <row r="2033" s="11" customFormat="1" x14ac:dyDescent="0.3"/>
    <row r="2034" s="11" customFormat="1" x14ac:dyDescent="0.3"/>
    <row r="2035" s="11" customFormat="1" x14ac:dyDescent="0.3"/>
    <row r="2036" s="11" customFormat="1" x14ac:dyDescent="0.3"/>
    <row r="2037" s="11" customFormat="1" x14ac:dyDescent="0.3"/>
    <row r="2038" s="11" customFormat="1" x14ac:dyDescent="0.3"/>
    <row r="2039" s="11" customFormat="1" x14ac:dyDescent="0.3"/>
    <row r="2040" s="11" customFormat="1" x14ac:dyDescent="0.3"/>
    <row r="2041" s="11" customFormat="1" x14ac:dyDescent="0.3"/>
    <row r="2042" s="11" customFormat="1" x14ac:dyDescent="0.3"/>
    <row r="2043" s="11" customFormat="1" x14ac:dyDescent="0.3"/>
    <row r="2044" s="11" customFormat="1" x14ac:dyDescent="0.3"/>
    <row r="2045" s="11" customFormat="1" x14ac:dyDescent="0.3"/>
    <row r="2046" s="11" customFormat="1" x14ac:dyDescent="0.3"/>
    <row r="2047" s="11" customFormat="1" x14ac:dyDescent="0.3"/>
    <row r="2048" s="11" customFormat="1" x14ac:dyDescent="0.3"/>
    <row r="2049" s="11" customFormat="1" x14ac:dyDescent="0.3"/>
    <row r="2050" s="11" customFormat="1" x14ac:dyDescent="0.3"/>
    <row r="2051" s="11" customFormat="1" x14ac:dyDescent="0.3"/>
    <row r="2052" s="11" customFormat="1" x14ac:dyDescent="0.3"/>
    <row r="2053" s="11" customFormat="1" x14ac:dyDescent="0.3"/>
    <row r="2054" s="11" customFormat="1" x14ac:dyDescent="0.3"/>
    <row r="2055" s="11" customFormat="1" x14ac:dyDescent="0.3"/>
    <row r="2056" s="11" customFormat="1" x14ac:dyDescent="0.3"/>
    <row r="2057" s="11" customFormat="1" x14ac:dyDescent="0.3"/>
    <row r="2058" s="11" customFormat="1" x14ac:dyDescent="0.3"/>
    <row r="2059" s="11" customFormat="1" x14ac:dyDescent="0.3"/>
    <row r="2060" s="11" customFormat="1" x14ac:dyDescent="0.3"/>
    <row r="2061" s="11" customFormat="1" x14ac:dyDescent="0.3"/>
    <row r="2062" s="11" customFormat="1" x14ac:dyDescent="0.3"/>
    <row r="2063" s="11" customFormat="1" x14ac:dyDescent="0.3"/>
    <row r="2064" s="11" customFormat="1" x14ac:dyDescent="0.3"/>
    <row r="2065" s="11" customFormat="1" x14ac:dyDescent="0.3"/>
    <row r="2066" s="11" customFormat="1" x14ac:dyDescent="0.3"/>
    <row r="2067" s="11" customFormat="1" x14ac:dyDescent="0.3"/>
    <row r="2068" s="11" customFormat="1" x14ac:dyDescent="0.3"/>
    <row r="2069" s="11" customFormat="1" x14ac:dyDescent="0.3"/>
    <row r="2070" s="11" customFormat="1" x14ac:dyDescent="0.3"/>
    <row r="2071" s="11" customFormat="1" x14ac:dyDescent="0.3"/>
    <row r="2072" s="11" customFormat="1" x14ac:dyDescent="0.3"/>
    <row r="2073" s="11" customFormat="1" x14ac:dyDescent="0.3"/>
    <row r="2074" s="11" customFormat="1" x14ac:dyDescent="0.3"/>
    <row r="2075" s="11" customFormat="1" x14ac:dyDescent="0.3"/>
    <row r="2076" s="11" customFormat="1" x14ac:dyDescent="0.3"/>
    <row r="2077" s="11" customFormat="1" x14ac:dyDescent="0.3"/>
    <row r="2078" s="11" customFormat="1" x14ac:dyDescent="0.3"/>
    <row r="2079" s="11" customFormat="1" x14ac:dyDescent="0.3"/>
    <row r="2080" s="11" customFormat="1" x14ac:dyDescent="0.3"/>
    <row r="2081" s="11" customFormat="1" x14ac:dyDescent="0.3"/>
    <row r="2082" s="11" customFormat="1" x14ac:dyDescent="0.3"/>
    <row r="2083" s="11" customFormat="1" x14ac:dyDescent="0.3"/>
    <row r="2084" s="11" customFormat="1" x14ac:dyDescent="0.3"/>
    <row r="2085" s="11" customFormat="1" x14ac:dyDescent="0.3"/>
    <row r="2086" s="11" customFormat="1" x14ac:dyDescent="0.3"/>
    <row r="2087" s="11" customFormat="1" x14ac:dyDescent="0.3"/>
    <row r="2088" s="11" customFormat="1" x14ac:dyDescent="0.3"/>
    <row r="2089" s="11" customFormat="1" x14ac:dyDescent="0.3"/>
    <row r="2090" s="11" customFormat="1" x14ac:dyDescent="0.3"/>
    <row r="2091" s="11" customFormat="1" x14ac:dyDescent="0.3"/>
    <row r="2092" s="11" customFormat="1" x14ac:dyDescent="0.3"/>
    <row r="2093" s="11" customFormat="1" x14ac:dyDescent="0.3"/>
    <row r="2094" s="11" customFormat="1" x14ac:dyDescent="0.3"/>
    <row r="2095" s="11" customFormat="1" x14ac:dyDescent="0.3"/>
    <row r="2096" s="11" customFormat="1" x14ac:dyDescent="0.3"/>
    <row r="2097" s="11" customFormat="1" x14ac:dyDescent="0.3"/>
    <row r="2098" s="11" customFormat="1" x14ac:dyDescent="0.3"/>
    <row r="2099" s="11" customFormat="1" x14ac:dyDescent="0.3"/>
    <row r="2100" s="11" customFormat="1" x14ac:dyDescent="0.3"/>
    <row r="2101" s="11" customFormat="1" x14ac:dyDescent="0.3"/>
    <row r="2102" s="11" customFormat="1" x14ac:dyDescent="0.3"/>
    <row r="2103" s="11" customFormat="1" x14ac:dyDescent="0.3"/>
    <row r="2104" s="11" customFormat="1" x14ac:dyDescent="0.3"/>
    <row r="2105" s="11" customFormat="1" x14ac:dyDescent="0.3"/>
    <row r="2106" s="11" customFormat="1" x14ac:dyDescent="0.3"/>
    <row r="2107" s="11" customFormat="1" x14ac:dyDescent="0.3"/>
    <row r="2108" s="11" customFormat="1" x14ac:dyDescent="0.3"/>
    <row r="2109" s="11" customFormat="1" x14ac:dyDescent="0.3"/>
    <row r="2110" s="11" customFormat="1" x14ac:dyDescent="0.3"/>
    <row r="2111" s="11" customFormat="1" x14ac:dyDescent="0.3"/>
    <row r="2112" s="11" customFormat="1" x14ac:dyDescent="0.3"/>
    <row r="2113" s="11" customFormat="1" x14ac:dyDescent="0.3"/>
    <row r="2114" s="11" customFormat="1" x14ac:dyDescent="0.3"/>
    <row r="2115" s="11" customFormat="1" x14ac:dyDescent="0.3"/>
    <row r="2116" s="11" customFormat="1" x14ac:dyDescent="0.3"/>
    <row r="2117" s="11" customFormat="1" x14ac:dyDescent="0.3"/>
    <row r="2118" s="11" customFormat="1" x14ac:dyDescent="0.3"/>
    <row r="2119" s="11" customFormat="1" x14ac:dyDescent="0.3"/>
    <row r="2120" s="11" customFormat="1" x14ac:dyDescent="0.3"/>
    <row r="2121" s="11" customFormat="1" x14ac:dyDescent="0.3"/>
    <row r="2122" s="11" customFormat="1" x14ac:dyDescent="0.3"/>
    <row r="2123" s="11" customFormat="1" x14ac:dyDescent="0.3"/>
    <row r="2124" s="11" customFormat="1" x14ac:dyDescent="0.3"/>
    <row r="2125" s="11" customFormat="1" x14ac:dyDescent="0.3"/>
    <row r="2126" s="11" customFormat="1" x14ac:dyDescent="0.3"/>
    <row r="2127" s="11" customFormat="1" x14ac:dyDescent="0.3"/>
    <row r="2128" s="11" customFormat="1" x14ac:dyDescent="0.3"/>
    <row r="2129" s="11" customFormat="1" x14ac:dyDescent="0.3"/>
    <row r="2130" s="11" customFormat="1" x14ac:dyDescent="0.3"/>
    <row r="2131" s="11" customFormat="1" x14ac:dyDescent="0.3"/>
    <row r="2132" s="11" customFormat="1" x14ac:dyDescent="0.3"/>
    <row r="2133" s="11" customFormat="1" x14ac:dyDescent="0.3"/>
    <row r="2134" s="11" customFormat="1" x14ac:dyDescent="0.3"/>
    <row r="2135" s="11" customFormat="1" x14ac:dyDescent="0.3"/>
    <row r="2136" s="11" customFormat="1" x14ac:dyDescent="0.3"/>
    <row r="2137" s="11" customFormat="1" x14ac:dyDescent="0.3"/>
    <row r="2138" s="11" customFormat="1" x14ac:dyDescent="0.3"/>
    <row r="2139" s="11" customFormat="1" x14ac:dyDescent="0.3"/>
    <row r="2140" s="11" customFormat="1" x14ac:dyDescent="0.3"/>
    <row r="2141" s="11" customFormat="1" x14ac:dyDescent="0.3"/>
    <row r="2142" s="11" customFormat="1" x14ac:dyDescent="0.3"/>
    <row r="2143" s="11" customFormat="1" x14ac:dyDescent="0.3"/>
    <row r="2144" s="11" customFormat="1" x14ac:dyDescent="0.3"/>
    <row r="2145" s="11" customFormat="1" x14ac:dyDescent="0.3"/>
    <row r="2146" s="11" customFormat="1" x14ac:dyDescent="0.3"/>
    <row r="2147" s="11" customFormat="1" x14ac:dyDescent="0.3"/>
    <row r="2148" s="11" customFormat="1" x14ac:dyDescent="0.3"/>
    <row r="2149" s="11" customFormat="1" x14ac:dyDescent="0.3"/>
    <row r="2150" s="11" customFormat="1" x14ac:dyDescent="0.3"/>
    <row r="2151" s="11" customFormat="1" x14ac:dyDescent="0.3"/>
    <row r="2152" s="11" customFormat="1" x14ac:dyDescent="0.3"/>
    <row r="2153" s="11" customFormat="1" x14ac:dyDescent="0.3"/>
    <row r="2154" s="11" customFormat="1" x14ac:dyDescent="0.3"/>
    <row r="2155" s="11" customFormat="1" x14ac:dyDescent="0.3"/>
    <row r="2156" s="11" customFormat="1" x14ac:dyDescent="0.3"/>
    <row r="2157" s="11" customFormat="1" x14ac:dyDescent="0.3"/>
    <row r="2158" s="11" customFormat="1" x14ac:dyDescent="0.3"/>
    <row r="2159" s="11" customFormat="1" x14ac:dyDescent="0.3"/>
    <row r="2160" s="11" customFormat="1" x14ac:dyDescent="0.3"/>
    <row r="2161" s="11" customFormat="1" x14ac:dyDescent="0.3"/>
    <row r="2162" s="11" customFormat="1" x14ac:dyDescent="0.3"/>
    <row r="2163" s="11" customFormat="1" x14ac:dyDescent="0.3"/>
    <row r="2164" s="11" customFormat="1" x14ac:dyDescent="0.3"/>
    <row r="2165" s="11" customFormat="1" x14ac:dyDescent="0.3"/>
    <row r="2166" s="11" customFormat="1" x14ac:dyDescent="0.3"/>
    <row r="2167" s="11" customFormat="1" x14ac:dyDescent="0.3"/>
    <row r="2168" s="11" customFormat="1" x14ac:dyDescent="0.3"/>
    <row r="2169" s="11" customFormat="1" x14ac:dyDescent="0.3"/>
    <row r="2170" s="11" customFormat="1" x14ac:dyDescent="0.3"/>
    <row r="2171" s="11" customFormat="1" x14ac:dyDescent="0.3"/>
    <row r="2172" s="11" customFormat="1" x14ac:dyDescent="0.3"/>
    <row r="2173" s="11" customFormat="1" x14ac:dyDescent="0.3"/>
    <row r="2174" s="11" customFormat="1" x14ac:dyDescent="0.3"/>
    <row r="2175" s="11" customFormat="1" x14ac:dyDescent="0.3"/>
    <row r="2176" s="11" customFormat="1" x14ac:dyDescent="0.3"/>
    <row r="2177" s="11" customFormat="1" x14ac:dyDescent="0.3"/>
    <row r="2178" s="11" customFormat="1" x14ac:dyDescent="0.3"/>
    <row r="2179" s="11" customFormat="1" x14ac:dyDescent="0.3"/>
    <row r="2180" s="11" customFormat="1" x14ac:dyDescent="0.3"/>
    <row r="2181" s="11" customFormat="1" x14ac:dyDescent="0.3"/>
    <row r="2182" s="11" customFormat="1" x14ac:dyDescent="0.3"/>
    <row r="2183" s="11" customFormat="1" x14ac:dyDescent="0.3"/>
    <row r="2184" s="11" customFormat="1" x14ac:dyDescent="0.3"/>
    <row r="2185" s="11" customFormat="1" x14ac:dyDescent="0.3"/>
    <row r="2186" s="11" customFormat="1" x14ac:dyDescent="0.3"/>
    <row r="2187" s="11" customFormat="1" x14ac:dyDescent="0.3"/>
    <row r="2188" s="11" customFormat="1" x14ac:dyDescent="0.3"/>
    <row r="2189" s="11" customFormat="1" x14ac:dyDescent="0.3"/>
    <row r="2190" s="11" customFormat="1" x14ac:dyDescent="0.3"/>
    <row r="2191" s="11" customFormat="1" x14ac:dyDescent="0.3"/>
    <row r="2192" s="11" customFormat="1" x14ac:dyDescent="0.3"/>
    <row r="2193" s="11" customFormat="1" x14ac:dyDescent="0.3"/>
    <row r="2194" s="11" customFormat="1" x14ac:dyDescent="0.3"/>
    <row r="2195" s="11" customFormat="1" x14ac:dyDescent="0.3"/>
    <row r="2196" s="11" customFormat="1" x14ac:dyDescent="0.3"/>
    <row r="2197" s="11" customFormat="1" x14ac:dyDescent="0.3"/>
    <row r="2198" s="11" customFormat="1" x14ac:dyDescent="0.3"/>
    <row r="2199" s="11" customFormat="1" x14ac:dyDescent="0.3"/>
    <row r="2200" s="11" customFormat="1" x14ac:dyDescent="0.3"/>
    <row r="2201" s="11" customFormat="1" x14ac:dyDescent="0.3"/>
    <row r="2202" s="11" customFormat="1" x14ac:dyDescent="0.3"/>
    <row r="2203" s="11" customFormat="1" x14ac:dyDescent="0.3"/>
    <row r="2204" s="11" customFormat="1" x14ac:dyDescent="0.3"/>
    <row r="2205" s="11" customFormat="1" x14ac:dyDescent="0.3"/>
    <row r="2206" s="11" customFormat="1" x14ac:dyDescent="0.3"/>
    <row r="2207" s="11" customFormat="1" x14ac:dyDescent="0.3"/>
    <row r="2208" s="11" customFormat="1" x14ac:dyDescent="0.3"/>
    <row r="2209" s="11" customFormat="1" x14ac:dyDescent="0.3"/>
    <row r="2210" s="11" customFormat="1" x14ac:dyDescent="0.3"/>
    <row r="2211" s="11" customFormat="1" x14ac:dyDescent="0.3"/>
    <row r="2212" s="11" customFormat="1" x14ac:dyDescent="0.3"/>
    <row r="2213" s="11" customFormat="1" x14ac:dyDescent="0.3"/>
    <row r="2214" s="11" customFormat="1" x14ac:dyDescent="0.3"/>
    <row r="2215" s="11" customFormat="1" x14ac:dyDescent="0.3"/>
    <row r="2216" s="11" customFormat="1" x14ac:dyDescent="0.3"/>
    <row r="2217" s="11" customFormat="1" x14ac:dyDescent="0.3"/>
    <row r="2218" s="11" customFormat="1" x14ac:dyDescent="0.3"/>
    <row r="2219" s="11" customFormat="1" x14ac:dyDescent="0.3"/>
    <row r="2220" s="11" customFormat="1" x14ac:dyDescent="0.3"/>
    <row r="2221" s="11" customFormat="1" x14ac:dyDescent="0.3"/>
    <row r="2222" s="11" customFormat="1" x14ac:dyDescent="0.3"/>
    <row r="2223" s="11" customFormat="1" x14ac:dyDescent="0.3"/>
    <row r="2224" s="11" customFormat="1" x14ac:dyDescent="0.3"/>
    <row r="2225" s="11" customFormat="1" x14ac:dyDescent="0.3"/>
    <row r="2226" s="11" customFormat="1" x14ac:dyDescent="0.3"/>
    <row r="2227" s="11" customFormat="1" x14ac:dyDescent="0.3"/>
    <row r="2228" s="11" customFormat="1" x14ac:dyDescent="0.3"/>
    <row r="2229" s="11" customFormat="1" x14ac:dyDescent="0.3"/>
    <row r="2230" s="11" customFormat="1" x14ac:dyDescent="0.3"/>
    <row r="2231" s="11" customFormat="1" x14ac:dyDescent="0.3"/>
    <row r="2232" s="11" customFormat="1" x14ac:dyDescent="0.3"/>
    <row r="2233" s="11" customFormat="1" x14ac:dyDescent="0.3"/>
    <row r="2234" s="11" customFormat="1" x14ac:dyDescent="0.3"/>
    <row r="2235" s="11" customFormat="1" x14ac:dyDescent="0.3"/>
    <row r="2236" s="11" customFormat="1" x14ac:dyDescent="0.3"/>
    <row r="2237" s="11" customFormat="1" x14ac:dyDescent="0.3"/>
    <row r="2238" s="11" customFormat="1" x14ac:dyDescent="0.3"/>
    <row r="2239" s="11" customFormat="1" x14ac:dyDescent="0.3"/>
    <row r="2240" s="11" customFormat="1" x14ac:dyDescent="0.3"/>
    <row r="2241" s="11" customFormat="1" x14ac:dyDescent="0.3"/>
    <row r="2242" s="11" customFormat="1" x14ac:dyDescent="0.3"/>
    <row r="2243" s="11" customFormat="1" x14ac:dyDescent="0.3"/>
    <row r="2244" s="11" customFormat="1" x14ac:dyDescent="0.3"/>
    <row r="2245" s="11" customFormat="1" x14ac:dyDescent="0.3"/>
    <row r="2246" s="11" customFormat="1" x14ac:dyDescent="0.3"/>
    <row r="2247" s="11" customFormat="1" x14ac:dyDescent="0.3"/>
    <row r="2248" s="11" customFormat="1" x14ac:dyDescent="0.3"/>
    <row r="2249" s="11" customFormat="1" x14ac:dyDescent="0.3"/>
    <row r="2250" s="11" customFormat="1" x14ac:dyDescent="0.3"/>
    <row r="2251" s="11" customFormat="1" x14ac:dyDescent="0.3"/>
    <row r="2252" s="11" customFormat="1" x14ac:dyDescent="0.3"/>
    <row r="2253" s="11" customFormat="1" x14ac:dyDescent="0.3"/>
    <row r="2254" s="11" customFormat="1" x14ac:dyDescent="0.3"/>
    <row r="2255" s="11" customFormat="1" x14ac:dyDescent="0.3"/>
    <row r="2256" s="11" customFormat="1" x14ac:dyDescent="0.3"/>
    <row r="2257" s="11" customFormat="1" x14ac:dyDescent="0.3"/>
    <row r="2258" s="11" customFormat="1" x14ac:dyDescent="0.3"/>
    <row r="2259" s="11" customFormat="1" x14ac:dyDescent="0.3"/>
    <row r="2260" s="11" customFormat="1" x14ac:dyDescent="0.3"/>
    <row r="2261" s="11" customFormat="1" x14ac:dyDescent="0.3"/>
    <row r="2262" s="11" customFormat="1" x14ac:dyDescent="0.3"/>
    <row r="2263" s="11" customFormat="1" x14ac:dyDescent="0.3"/>
    <row r="2264" s="11" customFormat="1" x14ac:dyDescent="0.3"/>
    <row r="2265" s="11" customFormat="1" x14ac:dyDescent="0.3"/>
    <row r="2266" s="11" customFormat="1" x14ac:dyDescent="0.3"/>
    <row r="2267" s="11" customFormat="1" x14ac:dyDescent="0.3"/>
    <row r="2268" s="11" customFormat="1" x14ac:dyDescent="0.3"/>
    <row r="2269" s="11" customFormat="1" x14ac:dyDescent="0.3"/>
    <row r="2270" s="11" customFormat="1" x14ac:dyDescent="0.3"/>
    <row r="2271" s="11" customFormat="1" x14ac:dyDescent="0.3"/>
    <row r="2272" s="11" customFormat="1" x14ac:dyDescent="0.3"/>
    <row r="2273" s="11" customFormat="1" x14ac:dyDescent="0.3"/>
    <row r="2274" s="11" customFormat="1" x14ac:dyDescent="0.3"/>
    <row r="2275" s="11" customFormat="1" x14ac:dyDescent="0.3"/>
    <row r="2276" s="11" customFormat="1" x14ac:dyDescent="0.3"/>
    <row r="2277" s="11" customFormat="1" x14ac:dyDescent="0.3"/>
    <row r="2278" s="11" customFormat="1" x14ac:dyDescent="0.3"/>
    <row r="2279" s="11" customFormat="1" x14ac:dyDescent="0.3"/>
    <row r="2280" s="11" customFormat="1" x14ac:dyDescent="0.3"/>
    <row r="2281" s="11" customFormat="1" x14ac:dyDescent="0.3"/>
    <row r="2282" s="11" customFormat="1" x14ac:dyDescent="0.3"/>
    <row r="2283" s="11" customFormat="1" x14ac:dyDescent="0.3"/>
    <row r="2284" s="11" customFormat="1" x14ac:dyDescent="0.3"/>
    <row r="2285" s="11" customFormat="1" x14ac:dyDescent="0.3"/>
    <row r="2286" s="11" customFormat="1" x14ac:dyDescent="0.3"/>
    <row r="2287" s="11" customFormat="1" x14ac:dyDescent="0.3"/>
    <row r="2288" s="11" customFormat="1" x14ac:dyDescent="0.3"/>
    <row r="2289" s="11" customFormat="1" x14ac:dyDescent="0.3"/>
    <row r="2290" s="11" customFormat="1" x14ac:dyDescent="0.3"/>
    <row r="2291" s="11" customFormat="1" x14ac:dyDescent="0.3"/>
    <row r="2292" s="11" customFormat="1" x14ac:dyDescent="0.3"/>
    <row r="2293" s="11" customFormat="1" x14ac:dyDescent="0.3"/>
    <row r="2294" s="11" customFormat="1" x14ac:dyDescent="0.3"/>
    <row r="2295" s="11" customFormat="1" x14ac:dyDescent="0.3"/>
    <row r="2296" s="11" customFormat="1" x14ac:dyDescent="0.3"/>
    <row r="2297" s="11" customFormat="1" x14ac:dyDescent="0.3"/>
    <row r="2298" s="11" customFormat="1" x14ac:dyDescent="0.3"/>
    <row r="2299" s="11" customFormat="1" x14ac:dyDescent="0.3"/>
    <row r="2300" s="11" customFormat="1" x14ac:dyDescent="0.3"/>
    <row r="2301" s="11" customFormat="1" x14ac:dyDescent="0.3"/>
    <row r="2302" s="11" customFormat="1" x14ac:dyDescent="0.3"/>
    <row r="2303" s="11" customFormat="1" x14ac:dyDescent="0.3"/>
    <row r="2304" s="11" customFormat="1" x14ac:dyDescent="0.3"/>
    <row r="2305" s="11" customFormat="1" x14ac:dyDescent="0.3"/>
    <row r="2306" s="11" customFormat="1" x14ac:dyDescent="0.3"/>
    <row r="2307" s="11" customFormat="1" x14ac:dyDescent="0.3"/>
    <row r="2308" s="11" customFormat="1" x14ac:dyDescent="0.3"/>
    <row r="2309" s="11" customFormat="1" x14ac:dyDescent="0.3"/>
    <row r="2310" s="11" customFormat="1" x14ac:dyDescent="0.3"/>
    <row r="2311" s="11" customFormat="1" x14ac:dyDescent="0.3"/>
    <row r="2312" s="11" customFormat="1" x14ac:dyDescent="0.3"/>
    <row r="2313" s="11" customFormat="1" x14ac:dyDescent="0.3"/>
    <row r="2314" s="11" customFormat="1" x14ac:dyDescent="0.3"/>
    <row r="2315" s="11" customFormat="1" x14ac:dyDescent="0.3"/>
    <row r="2316" s="11" customFormat="1" x14ac:dyDescent="0.3"/>
    <row r="2317" s="11" customFormat="1" x14ac:dyDescent="0.3"/>
    <row r="2318" s="11" customFormat="1" x14ac:dyDescent="0.3"/>
    <row r="2319" s="11" customFormat="1" x14ac:dyDescent="0.3"/>
    <row r="2320" s="11" customFormat="1" x14ac:dyDescent="0.3"/>
    <row r="2321" s="11" customFormat="1" x14ac:dyDescent="0.3"/>
    <row r="2322" s="11" customFormat="1" x14ac:dyDescent="0.3"/>
    <row r="2323" s="11" customFormat="1" x14ac:dyDescent="0.3"/>
    <row r="2324" s="11" customFormat="1" x14ac:dyDescent="0.3"/>
    <row r="2325" s="11" customFormat="1" x14ac:dyDescent="0.3"/>
    <row r="2326" s="11" customFormat="1" x14ac:dyDescent="0.3"/>
    <row r="2327" s="11" customFormat="1" x14ac:dyDescent="0.3"/>
    <row r="2328" s="11" customFormat="1" x14ac:dyDescent="0.3"/>
    <row r="2329" s="11" customFormat="1" x14ac:dyDescent="0.3"/>
    <row r="2330" s="11" customFormat="1" x14ac:dyDescent="0.3"/>
    <row r="2331" s="11" customFormat="1" x14ac:dyDescent="0.3"/>
    <row r="2332" s="11" customFormat="1" x14ac:dyDescent="0.3"/>
    <row r="2333" s="11" customFormat="1" x14ac:dyDescent="0.3"/>
    <row r="2334" s="11" customFormat="1" x14ac:dyDescent="0.3"/>
    <row r="2335" s="11" customFormat="1" x14ac:dyDescent="0.3"/>
    <row r="2336" s="11" customFormat="1" x14ac:dyDescent="0.3"/>
    <row r="2337" s="11" customFormat="1" x14ac:dyDescent="0.3"/>
    <row r="2338" s="11" customFormat="1" x14ac:dyDescent="0.3"/>
    <row r="2339" s="11" customFormat="1" x14ac:dyDescent="0.3"/>
    <row r="2340" s="11" customFormat="1" x14ac:dyDescent="0.3"/>
    <row r="2341" s="11" customFormat="1" x14ac:dyDescent="0.3"/>
    <row r="2342" s="11" customFormat="1" x14ac:dyDescent="0.3"/>
    <row r="2343" s="11" customFormat="1" x14ac:dyDescent="0.3"/>
    <row r="2344" s="11" customFormat="1" x14ac:dyDescent="0.3"/>
    <row r="2345" s="11" customFormat="1" x14ac:dyDescent="0.3"/>
    <row r="2346" s="11" customFormat="1" x14ac:dyDescent="0.3"/>
    <row r="2347" s="11" customFormat="1" x14ac:dyDescent="0.3"/>
    <row r="2348" s="11" customFormat="1" x14ac:dyDescent="0.3"/>
    <row r="2349" s="11" customFormat="1" x14ac:dyDescent="0.3"/>
    <row r="2350" s="11" customFormat="1" x14ac:dyDescent="0.3"/>
    <row r="2351" s="11" customFormat="1" x14ac:dyDescent="0.3"/>
    <row r="2352" s="11" customFormat="1" x14ac:dyDescent="0.3"/>
    <row r="2353" s="11" customFormat="1" x14ac:dyDescent="0.3"/>
    <row r="2354" s="11" customFormat="1" x14ac:dyDescent="0.3"/>
    <row r="2355" s="11" customFormat="1" x14ac:dyDescent="0.3"/>
    <row r="2356" s="11" customFormat="1" x14ac:dyDescent="0.3"/>
    <row r="2357" s="11" customFormat="1" x14ac:dyDescent="0.3"/>
    <row r="2358" s="11" customFormat="1" x14ac:dyDescent="0.3"/>
    <row r="2359" s="11" customFormat="1" x14ac:dyDescent="0.3"/>
    <row r="2360" s="11" customFormat="1" x14ac:dyDescent="0.3"/>
    <row r="2361" s="11" customFormat="1" x14ac:dyDescent="0.3"/>
    <row r="2362" s="11" customFormat="1" x14ac:dyDescent="0.3"/>
    <row r="2363" s="11" customFormat="1" x14ac:dyDescent="0.3"/>
    <row r="2364" s="11" customFormat="1" x14ac:dyDescent="0.3"/>
    <row r="2365" s="11" customFormat="1" x14ac:dyDescent="0.3"/>
    <row r="2366" s="11" customFormat="1" x14ac:dyDescent="0.3"/>
    <row r="2367" s="11" customFormat="1" x14ac:dyDescent="0.3"/>
    <row r="2368" s="11" customFormat="1" x14ac:dyDescent="0.3"/>
    <row r="2369" s="11" customFormat="1" x14ac:dyDescent="0.3"/>
    <row r="2370" s="11" customFormat="1" x14ac:dyDescent="0.3"/>
    <row r="2371" s="11" customFormat="1" x14ac:dyDescent="0.3"/>
    <row r="2372" s="11" customFormat="1" x14ac:dyDescent="0.3"/>
    <row r="2373" s="11" customFormat="1" x14ac:dyDescent="0.3"/>
    <row r="2374" s="11" customFormat="1" x14ac:dyDescent="0.3"/>
    <row r="2375" s="11" customFormat="1" x14ac:dyDescent="0.3"/>
    <row r="2376" s="11" customFormat="1" x14ac:dyDescent="0.3"/>
    <row r="2377" s="11" customFormat="1" x14ac:dyDescent="0.3"/>
    <row r="2378" s="11" customFormat="1" x14ac:dyDescent="0.3"/>
    <row r="2379" s="11" customFormat="1" x14ac:dyDescent="0.3"/>
    <row r="2380" s="11" customFormat="1" x14ac:dyDescent="0.3"/>
    <row r="2381" s="11" customFormat="1" x14ac:dyDescent="0.3"/>
    <row r="2382" s="11" customFormat="1" x14ac:dyDescent="0.3"/>
    <row r="2383" s="11" customFormat="1" x14ac:dyDescent="0.3"/>
    <row r="2384" s="11" customFormat="1" x14ac:dyDescent="0.3"/>
    <row r="2385" s="11" customFormat="1" x14ac:dyDescent="0.3"/>
    <row r="2386" s="11" customFormat="1" x14ac:dyDescent="0.3"/>
    <row r="2387" s="11" customFormat="1" x14ac:dyDescent="0.3"/>
    <row r="2388" s="11" customFormat="1" x14ac:dyDescent="0.3"/>
    <row r="2389" s="11" customFormat="1" x14ac:dyDescent="0.3"/>
    <row r="2390" s="11" customFormat="1" x14ac:dyDescent="0.3"/>
    <row r="2391" s="11" customFormat="1" x14ac:dyDescent="0.3"/>
    <row r="2392" s="11" customFormat="1" x14ac:dyDescent="0.3"/>
    <row r="2393" s="11" customFormat="1" x14ac:dyDescent="0.3"/>
    <row r="2394" s="11" customFormat="1" x14ac:dyDescent="0.3"/>
    <row r="2395" s="11" customFormat="1" x14ac:dyDescent="0.3"/>
    <row r="2396" s="11" customFormat="1" x14ac:dyDescent="0.3"/>
    <row r="2397" s="11" customFormat="1" x14ac:dyDescent="0.3"/>
    <row r="2398" s="11" customFormat="1" x14ac:dyDescent="0.3"/>
    <row r="2399" s="11" customFormat="1" x14ac:dyDescent="0.3"/>
    <row r="2400" s="11" customFormat="1" x14ac:dyDescent="0.3"/>
    <row r="2401" s="11" customFormat="1" x14ac:dyDescent="0.3"/>
    <row r="2402" s="11" customFormat="1" x14ac:dyDescent="0.3"/>
    <row r="2403" s="11" customFormat="1" x14ac:dyDescent="0.3"/>
    <row r="2404" s="11" customFormat="1" x14ac:dyDescent="0.3"/>
    <row r="2405" s="11" customFormat="1" x14ac:dyDescent="0.3"/>
    <row r="2406" s="11" customFormat="1" x14ac:dyDescent="0.3"/>
    <row r="2407" s="11" customFormat="1" x14ac:dyDescent="0.3"/>
    <row r="2408" s="11" customFormat="1" x14ac:dyDescent="0.3"/>
    <row r="2409" s="11" customFormat="1" x14ac:dyDescent="0.3"/>
    <row r="2410" s="11" customFormat="1" x14ac:dyDescent="0.3"/>
    <row r="2411" s="11" customFormat="1" x14ac:dyDescent="0.3"/>
    <row r="2412" s="11" customFormat="1" x14ac:dyDescent="0.3"/>
    <row r="2413" s="11" customFormat="1" x14ac:dyDescent="0.3"/>
    <row r="2414" s="11" customFormat="1" x14ac:dyDescent="0.3"/>
    <row r="2415" s="11" customFormat="1" x14ac:dyDescent="0.3"/>
    <row r="2416" s="11" customFormat="1" x14ac:dyDescent="0.3"/>
    <row r="2417" s="11" customFormat="1" x14ac:dyDescent="0.3"/>
    <row r="2418" s="11" customFormat="1" x14ac:dyDescent="0.3"/>
    <row r="2419" s="11" customFormat="1" x14ac:dyDescent="0.3"/>
    <row r="2420" s="11" customFormat="1" x14ac:dyDescent="0.3"/>
    <row r="2421" s="11" customFormat="1" x14ac:dyDescent="0.3"/>
    <row r="2422" s="11" customFormat="1" x14ac:dyDescent="0.3"/>
    <row r="2423" s="11" customFormat="1" x14ac:dyDescent="0.3"/>
    <row r="2424" s="11" customFormat="1" x14ac:dyDescent="0.3"/>
    <row r="2425" s="11" customFormat="1" x14ac:dyDescent="0.3"/>
    <row r="2426" s="11" customFormat="1" x14ac:dyDescent="0.3"/>
    <row r="2427" s="11" customFormat="1" x14ac:dyDescent="0.3"/>
    <row r="2428" s="11" customFormat="1" x14ac:dyDescent="0.3"/>
    <row r="2429" s="11" customFormat="1" x14ac:dyDescent="0.3"/>
    <row r="2430" s="11" customFormat="1" x14ac:dyDescent="0.3"/>
    <row r="2431" s="11" customFormat="1" x14ac:dyDescent="0.3"/>
    <row r="2432" s="11" customFormat="1" x14ac:dyDescent="0.3"/>
    <row r="2433" s="11" customFormat="1" x14ac:dyDescent="0.3"/>
    <row r="2434" s="11" customFormat="1" x14ac:dyDescent="0.3"/>
    <row r="2435" s="11" customFormat="1" x14ac:dyDescent="0.3"/>
    <row r="2436" s="11" customFormat="1" x14ac:dyDescent="0.3"/>
    <row r="2437" s="11" customFormat="1" x14ac:dyDescent="0.3"/>
    <row r="2438" s="11" customFormat="1" x14ac:dyDescent="0.3"/>
    <row r="2439" s="11" customFormat="1" x14ac:dyDescent="0.3"/>
    <row r="2440" s="11" customFormat="1" x14ac:dyDescent="0.3"/>
    <row r="2441" s="11" customFormat="1" x14ac:dyDescent="0.3"/>
    <row r="2442" s="11" customFormat="1" x14ac:dyDescent="0.3"/>
    <row r="2443" s="11" customFormat="1" x14ac:dyDescent="0.3"/>
    <row r="2444" s="11" customFormat="1" x14ac:dyDescent="0.3"/>
    <row r="2445" s="11" customFormat="1" x14ac:dyDescent="0.3"/>
    <row r="2446" s="11" customFormat="1" x14ac:dyDescent="0.3"/>
    <row r="2447" s="11" customFormat="1" x14ac:dyDescent="0.3"/>
    <row r="2448" s="11" customFormat="1" x14ac:dyDescent="0.3"/>
    <row r="2449" s="11" customFormat="1" x14ac:dyDescent="0.3"/>
    <row r="2450" s="11" customFormat="1" x14ac:dyDescent="0.3"/>
    <row r="2451" s="11" customFormat="1" x14ac:dyDescent="0.3"/>
    <row r="2452" s="11" customFormat="1" x14ac:dyDescent="0.3"/>
    <row r="2453" s="11" customFormat="1" x14ac:dyDescent="0.3"/>
    <row r="2454" s="11" customFormat="1" x14ac:dyDescent="0.3"/>
    <row r="2455" s="11" customFormat="1" x14ac:dyDescent="0.3"/>
    <row r="2456" s="11" customFormat="1" x14ac:dyDescent="0.3"/>
    <row r="2457" s="11" customFormat="1" x14ac:dyDescent="0.3"/>
    <row r="2458" s="11" customFormat="1" x14ac:dyDescent="0.3"/>
    <row r="2459" s="11" customFormat="1" x14ac:dyDescent="0.3"/>
    <row r="2460" s="11" customFormat="1" x14ac:dyDescent="0.3"/>
    <row r="2461" s="11" customFormat="1" x14ac:dyDescent="0.3"/>
    <row r="2462" s="11" customFormat="1" x14ac:dyDescent="0.3"/>
    <row r="2463" s="11" customFormat="1" x14ac:dyDescent="0.3"/>
    <row r="2464" s="11" customFormat="1" x14ac:dyDescent="0.3"/>
    <row r="2465" s="11" customFormat="1" x14ac:dyDescent="0.3"/>
    <row r="2466" s="11" customFormat="1" x14ac:dyDescent="0.3"/>
    <row r="2467" s="11" customFormat="1" x14ac:dyDescent="0.3"/>
    <row r="2468" s="11" customFormat="1" x14ac:dyDescent="0.3"/>
    <row r="2469" s="11" customFormat="1" x14ac:dyDescent="0.3"/>
    <row r="2470" s="11" customFormat="1" x14ac:dyDescent="0.3"/>
    <row r="2471" s="11" customFormat="1" x14ac:dyDescent="0.3"/>
    <row r="2472" s="11" customFormat="1" x14ac:dyDescent="0.3"/>
    <row r="2473" s="11" customFormat="1" x14ac:dyDescent="0.3"/>
    <row r="2474" s="11" customFormat="1" x14ac:dyDescent="0.3"/>
    <row r="2475" s="11" customFormat="1" x14ac:dyDescent="0.3"/>
    <row r="2476" s="11" customFormat="1" x14ac:dyDescent="0.3"/>
    <row r="2477" s="11" customFormat="1" x14ac:dyDescent="0.3"/>
    <row r="2478" s="11" customFormat="1" x14ac:dyDescent="0.3"/>
    <row r="2479" s="11" customFormat="1" x14ac:dyDescent="0.3"/>
    <row r="2480" s="11" customFormat="1" x14ac:dyDescent="0.3"/>
    <row r="2481" s="11" customFormat="1" x14ac:dyDescent="0.3"/>
    <row r="2482" s="11" customFormat="1" x14ac:dyDescent="0.3"/>
    <row r="2483" s="11" customFormat="1" x14ac:dyDescent="0.3"/>
    <row r="2484" s="11" customFormat="1" x14ac:dyDescent="0.3"/>
    <row r="2485" s="11" customFormat="1" x14ac:dyDescent="0.3"/>
    <row r="2486" s="11" customFormat="1" x14ac:dyDescent="0.3"/>
    <row r="2487" s="11" customFormat="1" x14ac:dyDescent="0.3"/>
    <row r="2488" s="11" customFormat="1" x14ac:dyDescent="0.3"/>
    <row r="2489" s="11" customFormat="1" x14ac:dyDescent="0.3"/>
    <row r="2490" s="11" customFormat="1" x14ac:dyDescent="0.3"/>
    <row r="2491" s="11" customFormat="1" x14ac:dyDescent="0.3"/>
    <row r="2492" s="11" customFormat="1" x14ac:dyDescent="0.3"/>
    <row r="2493" s="11" customFormat="1" x14ac:dyDescent="0.3"/>
    <row r="2494" s="11" customFormat="1" x14ac:dyDescent="0.3"/>
    <row r="2495" s="11" customFormat="1" x14ac:dyDescent="0.3"/>
    <row r="2496" s="11" customFormat="1" x14ac:dyDescent="0.3"/>
    <row r="2497" s="11" customFormat="1" x14ac:dyDescent="0.3"/>
    <row r="2498" s="11" customFormat="1" x14ac:dyDescent="0.3"/>
    <row r="2499" s="11" customFormat="1" x14ac:dyDescent="0.3"/>
    <row r="2500" s="11" customFormat="1" x14ac:dyDescent="0.3"/>
    <row r="2501" s="11" customFormat="1" x14ac:dyDescent="0.3"/>
    <row r="2502" s="11" customFormat="1" x14ac:dyDescent="0.3"/>
    <row r="2503" s="11" customFormat="1" x14ac:dyDescent="0.3"/>
    <row r="2504" s="11" customFormat="1" x14ac:dyDescent="0.3"/>
    <row r="2505" s="11" customFormat="1" x14ac:dyDescent="0.3"/>
    <row r="2506" s="11" customFormat="1" x14ac:dyDescent="0.3"/>
    <row r="2507" s="11" customFormat="1" x14ac:dyDescent="0.3"/>
    <row r="2508" s="11" customFormat="1" x14ac:dyDescent="0.3"/>
    <row r="2509" s="11" customFormat="1" x14ac:dyDescent="0.3"/>
    <row r="2510" s="11" customFormat="1" x14ac:dyDescent="0.3"/>
    <row r="2511" s="11" customFormat="1" x14ac:dyDescent="0.3"/>
    <row r="2512" s="11" customFormat="1" x14ac:dyDescent="0.3"/>
    <row r="2513" s="11" customFormat="1" x14ac:dyDescent="0.3"/>
    <row r="2514" s="11" customFormat="1" x14ac:dyDescent="0.3"/>
    <row r="2515" s="11" customFormat="1" x14ac:dyDescent="0.3"/>
    <row r="2516" s="11" customFormat="1" x14ac:dyDescent="0.3"/>
    <row r="2517" s="11" customFormat="1" x14ac:dyDescent="0.3"/>
    <row r="2518" s="11" customFormat="1" x14ac:dyDescent="0.3"/>
    <row r="2519" s="11" customFormat="1" x14ac:dyDescent="0.3"/>
    <row r="2520" s="11" customFormat="1" x14ac:dyDescent="0.3"/>
    <row r="2521" s="11" customFormat="1" x14ac:dyDescent="0.3"/>
    <row r="2522" s="11" customFormat="1" x14ac:dyDescent="0.3"/>
    <row r="2523" s="11" customFormat="1" x14ac:dyDescent="0.3"/>
    <row r="2524" s="11" customFormat="1" x14ac:dyDescent="0.3"/>
    <row r="2525" s="11" customFormat="1" x14ac:dyDescent="0.3"/>
    <row r="2526" s="11" customFormat="1" x14ac:dyDescent="0.3"/>
    <row r="2527" s="11" customFormat="1" x14ac:dyDescent="0.3"/>
    <row r="2528" s="11" customFormat="1" x14ac:dyDescent="0.3"/>
    <row r="2529" s="11" customFormat="1" x14ac:dyDescent="0.3"/>
    <row r="2530" s="11" customFormat="1" x14ac:dyDescent="0.3"/>
    <row r="2531" s="11" customFormat="1" x14ac:dyDescent="0.3"/>
    <row r="2532" s="11" customFormat="1" x14ac:dyDescent="0.3"/>
    <row r="2533" s="11" customFormat="1" x14ac:dyDescent="0.3"/>
    <row r="2534" s="11" customFormat="1" x14ac:dyDescent="0.3"/>
    <row r="2535" s="11" customFormat="1" x14ac:dyDescent="0.3"/>
    <row r="2536" s="11" customFormat="1" x14ac:dyDescent="0.3"/>
    <row r="2537" s="11" customFormat="1" x14ac:dyDescent="0.3"/>
    <row r="2538" s="11" customFormat="1" x14ac:dyDescent="0.3"/>
    <row r="2539" s="11" customFormat="1" x14ac:dyDescent="0.3"/>
    <row r="2540" s="11" customFormat="1" x14ac:dyDescent="0.3"/>
    <row r="2541" s="11" customFormat="1" x14ac:dyDescent="0.3"/>
    <row r="2542" s="11" customFormat="1" x14ac:dyDescent="0.3"/>
    <row r="2543" s="11" customFormat="1" x14ac:dyDescent="0.3"/>
    <row r="2544" s="11" customFormat="1" x14ac:dyDescent="0.3"/>
    <row r="2545" s="11" customFormat="1" x14ac:dyDescent="0.3"/>
    <row r="2546" s="11" customFormat="1" x14ac:dyDescent="0.3"/>
    <row r="2547" s="11" customFormat="1" x14ac:dyDescent="0.3"/>
    <row r="2548" s="11" customFormat="1" x14ac:dyDescent="0.3"/>
    <row r="2549" s="11" customFormat="1" x14ac:dyDescent="0.3"/>
    <row r="2550" s="11" customFormat="1" x14ac:dyDescent="0.3"/>
    <row r="2551" s="11" customFormat="1" x14ac:dyDescent="0.3"/>
    <row r="2552" s="11" customFormat="1" x14ac:dyDescent="0.3"/>
    <row r="2553" s="11" customFormat="1" x14ac:dyDescent="0.3"/>
    <row r="2554" s="11" customFormat="1" x14ac:dyDescent="0.3"/>
    <row r="2555" s="11" customFormat="1" x14ac:dyDescent="0.3"/>
    <row r="2556" s="11" customFormat="1" x14ac:dyDescent="0.3"/>
    <row r="2557" s="11" customFormat="1" x14ac:dyDescent="0.3"/>
    <row r="2558" s="11" customFormat="1" x14ac:dyDescent="0.3"/>
    <row r="2559" s="11" customFormat="1" x14ac:dyDescent="0.3"/>
    <row r="2560" s="11" customFormat="1" x14ac:dyDescent="0.3"/>
    <row r="2561" s="11" customFormat="1" x14ac:dyDescent="0.3"/>
    <row r="2562" s="11" customFormat="1" x14ac:dyDescent="0.3"/>
    <row r="2563" s="11" customFormat="1" x14ac:dyDescent="0.3"/>
    <row r="2564" s="11" customFormat="1" x14ac:dyDescent="0.3"/>
    <row r="2565" s="11" customFormat="1" x14ac:dyDescent="0.3"/>
    <row r="2566" s="11" customFormat="1" x14ac:dyDescent="0.3"/>
    <row r="2567" s="11" customFormat="1" x14ac:dyDescent="0.3"/>
    <row r="2568" s="11" customFormat="1" x14ac:dyDescent="0.3"/>
    <row r="2569" s="11" customFormat="1" x14ac:dyDescent="0.3"/>
    <row r="2570" s="11" customFormat="1" x14ac:dyDescent="0.3"/>
    <row r="2571" s="11" customFormat="1" x14ac:dyDescent="0.3"/>
    <row r="2572" s="11" customFormat="1" x14ac:dyDescent="0.3"/>
    <row r="2573" s="11" customFormat="1" x14ac:dyDescent="0.3"/>
    <row r="2574" s="11" customFormat="1" x14ac:dyDescent="0.3"/>
    <row r="2575" s="11" customFormat="1" x14ac:dyDescent="0.3"/>
    <row r="2576" s="11" customFormat="1" x14ac:dyDescent="0.3"/>
    <row r="2577" s="11" customFormat="1" x14ac:dyDescent="0.3"/>
    <row r="2578" s="11" customFormat="1" x14ac:dyDescent="0.3"/>
    <row r="2579" s="11" customFormat="1" x14ac:dyDescent="0.3"/>
    <row r="2580" s="11" customFormat="1" x14ac:dyDescent="0.3"/>
    <row r="2581" s="11" customFormat="1" x14ac:dyDescent="0.3"/>
    <row r="2582" s="11" customFormat="1" x14ac:dyDescent="0.3"/>
    <row r="2583" s="11" customFormat="1" x14ac:dyDescent="0.3"/>
    <row r="2584" s="11" customFormat="1" x14ac:dyDescent="0.3"/>
    <row r="2585" s="11" customFormat="1" x14ac:dyDescent="0.3"/>
    <row r="2586" s="11" customFormat="1" x14ac:dyDescent="0.3"/>
    <row r="2587" s="11" customFormat="1" x14ac:dyDescent="0.3"/>
    <row r="2588" s="11" customFormat="1" x14ac:dyDescent="0.3"/>
    <row r="2589" s="11" customFormat="1" x14ac:dyDescent="0.3"/>
    <row r="2590" s="11" customFormat="1" x14ac:dyDescent="0.3"/>
    <row r="2591" s="11" customFormat="1" x14ac:dyDescent="0.3"/>
    <row r="2592" s="11" customFormat="1" x14ac:dyDescent="0.3"/>
    <row r="2593" s="11" customFormat="1" x14ac:dyDescent="0.3"/>
    <row r="2594" s="11" customFormat="1" x14ac:dyDescent="0.3"/>
    <row r="2595" s="11" customFormat="1" x14ac:dyDescent="0.3"/>
    <row r="2596" s="11" customFormat="1" x14ac:dyDescent="0.3"/>
    <row r="2597" s="11" customFormat="1" x14ac:dyDescent="0.3"/>
    <row r="2598" s="11" customFormat="1" x14ac:dyDescent="0.3"/>
    <row r="2599" s="11" customFormat="1" x14ac:dyDescent="0.3"/>
    <row r="2600" s="11" customFormat="1" x14ac:dyDescent="0.3"/>
    <row r="2601" s="11" customFormat="1" x14ac:dyDescent="0.3"/>
    <row r="2602" s="11" customFormat="1" x14ac:dyDescent="0.3"/>
    <row r="2603" s="11" customFormat="1" x14ac:dyDescent="0.3"/>
    <row r="2604" s="11" customFormat="1" x14ac:dyDescent="0.3"/>
    <row r="2605" s="11" customFormat="1" x14ac:dyDescent="0.3"/>
    <row r="2606" s="11" customFormat="1" x14ac:dyDescent="0.3"/>
    <row r="2607" s="11" customFormat="1" x14ac:dyDescent="0.3"/>
    <row r="2608" s="11" customFormat="1" x14ac:dyDescent="0.3"/>
    <row r="2609" s="11" customFormat="1" x14ac:dyDescent="0.3"/>
    <row r="2610" s="11" customFormat="1" x14ac:dyDescent="0.3"/>
    <row r="2611" s="11" customFormat="1" x14ac:dyDescent="0.3"/>
    <row r="2612" s="11" customFormat="1" x14ac:dyDescent="0.3"/>
    <row r="2613" s="11" customFormat="1" x14ac:dyDescent="0.3"/>
    <row r="2614" s="11" customFormat="1" x14ac:dyDescent="0.3"/>
    <row r="2615" s="11" customFormat="1" x14ac:dyDescent="0.3"/>
    <row r="2616" s="11" customFormat="1" x14ac:dyDescent="0.3"/>
    <row r="2617" s="11" customFormat="1" x14ac:dyDescent="0.3"/>
    <row r="2618" s="11" customFormat="1" x14ac:dyDescent="0.3"/>
    <row r="2619" s="11" customFormat="1" x14ac:dyDescent="0.3"/>
    <row r="2620" s="11" customFormat="1" x14ac:dyDescent="0.3"/>
    <row r="2621" s="11" customFormat="1" x14ac:dyDescent="0.3"/>
    <row r="2622" s="11" customFormat="1" x14ac:dyDescent="0.3"/>
    <row r="2623" s="11" customFormat="1" x14ac:dyDescent="0.3"/>
    <row r="2624" s="11" customFormat="1" x14ac:dyDescent="0.3"/>
    <row r="2625" s="11" customFormat="1" x14ac:dyDescent="0.3"/>
    <row r="2626" s="11" customFormat="1" x14ac:dyDescent="0.3"/>
    <row r="2627" s="11" customFormat="1" x14ac:dyDescent="0.3"/>
    <row r="2628" s="11" customFormat="1" x14ac:dyDescent="0.3"/>
    <row r="2629" s="11" customFormat="1" x14ac:dyDescent="0.3"/>
    <row r="2630" s="11" customFormat="1" x14ac:dyDescent="0.3"/>
    <row r="2631" s="11" customFormat="1" x14ac:dyDescent="0.3"/>
    <row r="2632" s="11" customFormat="1" x14ac:dyDescent="0.3"/>
    <row r="2633" s="11" customFormat="1" x14ac:dyDescent="0.3"/>
    <row r="2634" s="11" customFormat="1" x14ac:dyDescent="0.3"/>
    <row r="2635" s="11" customFormat="1" x14ac:dyDescent="0.3"/>
    <row r="2636" s="11" customFormat="1" x14ac:dyDescent="0.3"/>
    <row r="2637" s="11" customFormat="1" x14ac:dyDescent="0.3"/>
    <row r="2638" s="11" customFormat="1" x14ac:dyDescent="0.3"/>
    <row r="2639" s="11" customFormat="1" x14ac:dyDescent="0.3"/>
    <row r="2640" s="11" customFormat="1" x14ac:dyDescent="0.3"/>
    <row r="2641" s="11" customFormat="1" x14ac:dyDescent="0.3"/>
    <row r="2642" s="11" customFormat="1" x14ac:dyDescent="0.3"/>
    <row r="2643" s="11" customFormat="1" x14ac:dyDescent="0.3"/>
    <row r="2644" s="11" customFormat="1" x14ac:dyDescent="0.3"/>
    <row r="2645" s="11" customFormat="1" x14ac:dyDescent="0.3"/>
    <row r="2646" s="11" customFormat="1" x14ac:dyDescent="0.3"/>
    <row r="2647" s="11" customFormat="1" x14ac:dyDescent="0.3"/>
    <row r="2648" s="11" customFormat="1" x14ac:dyDescent="0.3"/>
    <row r="2649" s="11" customFormat="1" x14ac:dyDescent="0.3"/>
    <row r="2650" s="11" customFormat="1" x14ac:dyDescent="0.3"/>
    <row r="2651" s="11" customFormat="1" x14ac:dyDescent="0.3"/>
    <row r="2652" s="11" customFormat="1" x14ac:dyDescent="0.3"/>
    <row r="2653" s="11" customFormat="1" x14ac:dyDescent="0.3"/>
    <row r="2654" s="11" customFormat="1" x14ac:dyDescent="0.3"/>
    <row r="2655" s="11" customFormat="1" x14ac:dyDescent="0.3"/>
    <row r="2656" s="11" customFormat="1" x14ac:dyDescent="0.3"/>
    <row r="2657" s="11" customFormat="1" x14ac:dyDescent="0.3"/>
    <row r="2658" s="11" customFormat="1" x14ac:dyDescent="0.3"/>
    <row r="2659" s="11" customFormat="1" x14ac:dyDescent="0.3"/>
    <row r="2660" s="11" customFormat="1" x14ac:dyDescent="0.3"/>
    <row r="2661" s="11" customFormat="1" x14ac:dyDescent="0.3"/>
    <row r="2662" s="11" customFormat="1" x14ac:dyDescent="0.3"/>
    <row r="2663" s="11" customFormat="1" x14ac:dyDescent="0.3"/>
    <row r="2664" s="11" customFormat="1" x14ac:dyDescent="0.3"/>
    <row r="2665" s="11" customFormat="1" x14ac:dyDescent="0.3"/>
    <row r="2666" s="11" customFormat="1" x14ac:dyDescent="0.3"/>
    <row r="2667" s="11" customFormat="1" x14ac:dyDescent="0.3"/>
    <row r="2668" s="11" customFormat="1" x14ac:dyDescent="0.3"/>
    <row r="2669" s="11" customFormat="1" x14ac:dyDescent="0.3"/>
    <row r="2670" s="11" customFormat="1" x14ac:dyDescent="0.3"/>
    <row r="2671" s="11" customFormat="1" x14ac:dyDescent="0.3"/>
    <row r="2672" s="11" customFormat="1" x14ac:dyDescent="0.3"/>
    <row r="2673" s="11" customFormat="1" x14ac:dyDescent="0.3"/>
    <row r="2674" s="11" customFormat="1" x14ac:dyDescent="0.3"/>
    <row r="2675" s="11" customFormat="1" x14ac:dyDescent="0.3"/>
    <row r="2676" s="11" customFormat="1" x14ac:dyDescent="0.3"/>
    <row r="2677" s="11" customFormat="1" x14ac:dyDescent="0.3"/>
    <row r="2678" s="11" customFormat="1" x14ac:dyDescent="0.3"/>
    <row r="2679" s="11" customFormat="1" x14ac:dyDescent="0.3"/>
    <row r="2680" s="11" customFormat="1" x14ac:dyDescent="0.3"/>
    <row r="2681" s="11" customFormat="1" x14ac:dyDescent="0.3"/>
    <row r="2682" s="11" customFormat="1" x14ac:dyDescent="0.3"/>
    <row r="2683" s="11" customFormat="1" x14ac:dyDescent="0.3"/>
    <row r="2684" s="11" customFormat="1" x14ac:dyDescent="0.3"/>
    <row r="2685" s="11" customFormat="1" x14ac:dyDescent="0.3"/>
    <row r="2686" s="11" customFormat="1" x14ac:dyDescent="0.3"/>
    <row r="2687" s="11" customFormat="1" x14ac:dyDescent="0.3"/>
    <row r="2688" s="11" customFormat="1" x14ac:dyDescent="0.3"/>
    <row r="2689" s="11" customFormat="1" x14ac:dyDescent="0.3"/>
    <row r="2690" s="11" customFormat="1" x14ac:dyDescent="0.3"/>
    <row r="2691" s="11" customFormat="1" x14ac:dyDescent="0.3"/>
    <row r="2692" s="11" customFormat="1" x14ac:dyDescent="0.3"/>
    <row r="2693" s="11" customFormat="1" x14ac:dyDescent="0.3"/>
    <row r="2694" s="11" customFormat="1" x14ac:dyDescent="0.3"/>
    <row r="2695" s="11" customFormat="1" x14ac:dyDescent="0.3"/>
    <row r="2696" s="11" customFormat="1" x14ac:dyDescent="0.3"/>
    <row r="2697" s="11" customFormat="1" x14ac:dyDescent="0.3"/>
    <row r="2698" s="11" customFormat="1" x14ac:dyDescent="0.3"/>
    <row r="2699" s="11" customFormat="1" x14ac:dyDescent="0.3"/>
    <row r="2700" s="11" customFormat="1" x14ac:dyDescent="0.3"/>
    <row r="2701" s="11" customFormat="1" x14ac:dyDescent="0.3"/>
    <row r="2702" s="11" customFormat="1" x14ac:dyDescent="0.3"/>
    <row r="2703" s="11" customFormat="1" x14ac:dyDescent="0.3"/>
    <row r="2704" s="11" customFormat="1" x14ac:dyDescent="0.3"/>
    <row r="2705" s="11" customFormat="1" x14ac:dyDescent="0.3"/>
    <row r="2706" s="11" customFormat="1" x14ac:dyDescent="0.3"/>
    <row r="2707" s="11" customFormat="1" x14ac:dyDescent="0.3"/>
    <row r="2708" s="11" customFormat="1" x14ac:dyDescent="0.3"/>
    <row r="2709" s="11" customFormat="1" x14ac:dyDescent="0.3"/>
    <row r="2710" s="11" customFormat="1" x14ac:dyDescent="0.3"/>
    <row r="2711" s="11" customFormat="1" x14ac:dyDescent="0.3"/>
    <row r="2712" s="11" customFormat="1" x14ac:dyDescent="0.3"/>
    <row r="2713" s="11" customFormat="1" x14ac:dyDescent="0.3"/>
    <row r="2714" s="11" customFormat="1" x14ac:dyDescent="0.3"/>
    <row r="2715" s="11" customFormat="1" x14ac:dyDescent="0.3"/>
    <row r="2716" s="11" customFormat="1" x14ac:dyDescent="0.3"/>
    <row r="2717" s="11" customFormat="1" x14ac:dyDescent="0.3"/>
    <row r="2718" s="11" customFormat="1" x14ac:dyDescent="0.3"/>
    <row r="2719" s="11" customFormat="1" x14ac:dyDescent="0.3"/>
    <row r="2720" s="11" customFormat="1" x14ac:dyDescent="0.3"/>
    <row r="2721" s="11" customFormat="1" x14ac:dyDescent="0.3"/>
    <row r="2722" s="11" customFormat="1" x14ac:dyDescent="0.3"/>
    <row r="2723" s="11" customFormat="1" x14ac:dyDescent="0.3"/>
    <row r="2724" s="11" customFormat="1" x14ac:dyDescent="0.3"/>
    <row r="2725" s="11" customFormat="1" x14ac:dyDescent="0.3"/>
    <row r="2726" s="11" customFormat="1" x14ac:dyDescent="0.3"/>
    <row r="2727" s="11" customFormat="1" x14ac:dyDescent="0.3"/>
    <row r="2728" s="11" customFormat="1" x14ac:dyDescent="0.3"/>
    <row r="2729" s="11" customFormat="1" x14ac:dyDescent="0.3"/>
    <row r="2730" s="11" customFormat="1" x14ac:dyDescent="0.3"/>
    <row r="2731" s="11" customFormat="1" x14ac:dyDescent="0.3"/>
    <row r="2732" s="11" customFormat="1" x14ac:dyDescent="0.3"/>
    <row r="2733" s="11" customFormat="1" x14ac:dyDescent="0.3"/>
    <row r="2734" s="11" customFormat="1" x14ac:dyDescent="0.3"/>
    <row r="2735" s="11" customFormat="1" x14ac:dyDescent="0.3"/>
    <row r="2736" s="11" customFormat="1" x14ac:dyDescent="0.3"/>
    <row r="2737" s="11" customFormat="1" x14ac:dyDescent="0.3"/>
    <row r="2738" s="11" customFormat="1" x14ac:dyDescent="0.3"/>
    <row r="2739" s="11" customFormat="1" x14ac:dyDescent="0.3"/>
    <row r="2740" s="11" customFormat="1" x14ac:dyDescent="0.3"/>
    <row r="2741" s="11" customFormat="1" x14ac:dyDescent="0.3"/>
    <row r="2742" s="11" customFormat="1" x14ac:dyDescent="0.3"/>
    <row r="2743" s="11" customFormat="1" x14ac:dyDescent="0.3"/>
    <row r="2744" s="11" customFormat="1" x14ac:dyDescent="0.3"/>
    <row r="2745" s="11" customFormat="1" x14ac:dyDescent="0.3"/>
    <row r="2746" s="11" customFormat="1" x14ac:dyDescent="0.3"/>
    <row r="2747" s="11" customFormat="1" x14ac:dyDescent="0.3"/>
    <row r="2748" s="11" customFormat="1" x14ac:dyDescent="0.3"/>
    <row r="2749" s="11" customFormat="1" x14ac:dyDescent="0.3"/>
    <row r="2750" s="11" customFormat="1" x14ac:dyDescent="0.3"/>
    <row r="2751" s="11" customFormat="1" x14ac:dyDescent="0.3"/>
    <row r="2752" s="11" customFormat="1" x14ac:dyDescent="0.3"/>
    <row r="2753" s="11" customFormat="1" x14ac:dyDescent="0.3"/>
    <row r="2754" s="11" customFormat="1" x14ac:dyDescent="0.3"/>
    <row r="2755" s="11" customFormat="1" x14ac:dyDescent="0.3"/>
    <row r="2756" s="11" customFormat="1" x14ac:dyDescent="0.3"/>
    <row r="2757" s="11" customFormat="1" x14ac:dyDescent="0.3"/>
    <row r="2758" s="11" customFormat="1" x14ac:dyDescent="0.3"/>
    <row r="2759" s="11" customFormat="1" x14ac:dyDescent="0.3"/>
    <row r="2760" s="11" customFormat="1" x14ac:dyDescent="0.3"/>
    <row r="2761" s="11" customFormat="1" x14ac:dyDescent="0.3"/>
    <row r="2762" s="11" customFormat="1" x14ac:dyDescent="0.3"/>
    <row r="2763" s="11" customFormat="1" x14ac:dyDescent="0.3"/>
    <row r="2764" s="11" customFormat="1" x14ac:dyDescent="0.3"/>
    <row r="2765" s="11" customFormat="1" x14ac:dyDescent="0.3"/>
    <row r="2766" s="11" customFormat="1" x14ac:dyDescent="0.3"/>
    <row r="2767" s="11" customFormat="1" x14ac:dyDescent="0.3"/>
    <row r="2768" s="11" customFormat="1" x14ac:dyDescent="0.3"/>
    <row r="2769" s="11" customFormat="1" x14ac:dyDescent="0.3"/>
    <row r="2770" s="11" customFormat="1" x14ac:dyDescent="0.3"/>
    <row r="2771" s="11" customFormat="1" x14ac:dyDescent="0.3"/>
    <row r="2772" s="11" customFormat="1" x14ac:dyDescent="0.3"/>
    <row r="2773" s="11" customFormat="1" x14ac:dyDescent="0.3"/>
    <row r="2774" s="11" customFormat="1" x14ac:dyDescent="0.3"/>
    <row r="2775" s="11" customFormat="1" x14ac:dyDescent="0.3"/>
    <row r="2776" s="11" customFormat="1" x14ac:dyDescent="0.3"/>
    <row r="2777" s="11" customFormat="1" x14ac:dyDescent="0.3"/>
    <row r="2778" s="11" customFormat="1" x14ac:dyDescent="0.3"/>
    <row r="2779" s="11" customFormat="1" x14ac:dyDescent="0.3"/>
    <row r="2780" s="11" customFormat="1" x14ac:dyDescent="0.3"/>
    <row r="2781" s="11" customFormat="1" x14ac:dyDescent="0.3"/>
    <row r="2782" s="11" customFormat="1" x14ac:dyDescent="0.3"/>
    <row r="2783" s="11" customFormat="1" x14ac:dyDescent="0.3"/>
    <row r="2784" s="11" customFormat="1" x14ac:dyDescent="0.3"/>
    <row r="2785" s="11" customFormat="1" x14ac:dyDescent="0.3"/>
    <row r="2786" s="11" customFormat="1" x14ac:dyDescent="0.3"/>
    <row r="2787" s="11" customFormat="1" x14ac:dyDescent="0.3"/>
    <row r="2788" s="11" customFormat="1" x14ac:dyDescent="0.3"/>
    <row r="2789" s="11" customFormat="1" x14ac:dyDescent="0.3"/>
    <row r="2790" s="11" customFormat="1" x14ac:dyDescent="0.3"/>
    <row r="2791" s="11" customFormat="1" x14ac:dyDescent="0.3"/>
    <row r="2792" s="11" customFormat="1" x14ac:dyDescent="0.3"/>
    <row r="2793" s="11" customFormat="1" x14ac:dyDescent="0.3"/>
    <row r="2794" s="11" customFormat="1" x14ac:dyDescent="0.3"/>
    <row r="2795" s="11" customFormat="1" x14ac:dyDescent="0.3"/>
    <row r="2796" s="11" customFormat="1" x14ac:dyDescent="0.3"/>
    <row r="2797" s="11" customFormat="1" x14ac:dyDescent="0.3"/>
    <row r="2798" s="11" customFormat="1" x14ac:dyDescent="0.3"/>
    <row r="2799" s="11" customFormat="1" x14ac:dyDescent="0.3"/>
    <row r="2800" s="11" customFormat="1" x14ac:dyDescent="0.3"/>
    <row r="2801" s="11" customFormat="1" x14ac:dyDescent="0.3"/>
    <row r="2802" s="11" customFormat="1" x14ac:dyDescent="0.3"/>
    <row r="2803" s="11" customFormat="1" x14ac:dyDescent="0.3"/>
    <row r="2804" s="11" customFormat="1" x14ac:dyDescent="0.3"/>
    <row r="2805" s="11" customFormat="1" x14ac:dyDescent="0.3"/>
    <row r="2806" s="11" customFormat="1" x14ac:dyDescent="0.3"/>
    <row r="2807" s="11" customFormat="1" x14ac:dyDescent="0.3"/>
    <row r="2808" s="11" customFormat="1" x14ac:dyDescent="0.3"/>
    <row r="2809" s="11" customFormat="1" x14ac:dyDescent="0.3"/>
    <row r="2810" s="11" customFormat="1" x14ac:dyDescent="0.3"/>
    <row r="2811" s="11" customFormat="1" x14ac:dyDescent="0.3"/>
    <row r="2812" s="11" customFormat="1" x14ac:dyDescent="0.3"/>
    <row r="2813" s="11" customFormat="1" x14ac:dyDescent="0.3"/>
    <row r="2814" s="11" customFormat="1" x14ac:dyDescent="0.3"/>
    <row r="2815" s="11" customFormat="1" x14ac:dyDescent="0.3"/>
    <row r="2816" s="11" customFormat="1" x14ac:dyDescent="0.3"/>
    <row r="2817" s="11" customFormat="1" x14ac:dyDescent="0.3"/>
    <row r="2818" s="11" customFormat="1" x14ac:dyDescent="0.3"/>
    <row r="2819" s="11" customFormat="1" x14ac:dyDescent="0.3"/>
    <row r="2820" s="11" customFormat="1" x14ac:dyDescent="0.3"/>
    <row r="2821" s="11" customFormat="1" x14ac:dyDescent="0.3"/>
    <row r="2822" s="11" customFormat="1" x14ac:dyDescent="0.3"/>
    <row r="2823" s="11" customFormat="1" x14ac:dyDescent="0.3"/>
    <row r="2824" s="11" customFormat="1" x14ac:dyDescent="0.3"/>
    <row r="2825" s="11" customFormat="1" x14ac:dyDescent="0.3"/>
    <row r="2826" s="11" customFormat="1" x14ac:dyDescent="0.3"/>
    <row r="2827" s="11" customFormat="1" x14ac:dyDescent="0.3"/>
    <row r="2828" s="11" customFormat="1" x14ac:dyDescent="0.3"/>
    <row r="2829" s="11" customFormat="1" x14ac:dyDescent="0.3"/>
    <row r="2830" s="11" customFormat="1" x14ac:dyDescent="0.3"/>
    <row r="2831" s="11" customFormat="1" x14ac:dyDescent="0.3"/>
    <row r="2832" s="11" customFormat="1" x14ac:dyDescent="0.3"/>
    <row r="2833" s="11" customFormat="1" x14ac:dyDescent="0.3"/>
    <row r="2834" s="11" customFormat="1" x14ac:dyDescent="0.3"/>
    <row r="2835" s="11" customFormat="1" x14ac:dyDescent="0.3"/>
    <row r="2836" s="11" customFormat="1" x14ac:dyDescent="0.3"/>
    <row r="2837" s="11" customFormat="1" x14ac:dyDescent="0.3"/>
    <row r="2838" s="11" customFormat="1" x14ac:dyDescent="0.3"/>
    <row r="2839" s="11" customFormat="1" x14ac:dyDescent="0.3"/>
    <row r="2840" s="11" customFormat="1" x14ac:dyDescent="0.3"/>
    <row r="2841" s="11" customFormat="1" x14ac:dyDescent="0.3"/>
    <row r="2842" s="11" customFormat="1" x14ac:dyDescent="0.3"/>
    <row r="2843" s="11" customFormat="1" x14ac:dyDescent="0.3"/>
    <row r="2844" s="11" customFormat="1" x14ac:dyDescent="0.3"/>
    <row r="2845" s="11" customFormat="1" x14ac:dyDescent="0.3"/>
    <row r="2846" s="11" customFormat="1" x14ac:dyDescent="0.3"/>
    <row r="2847" s="11" customFormat="1" x14ac:dyDescent="0.3"/>
    <row r="2848" s="11" customFormat="1" x14ac:dyDescent="0.3"/>
    <row r="2849" s="11" customFormat="1" x14ac:dyDescent="0.3"/>
    <row r="2850" s="11" customFormat="1" x14ac:dyDescent="0.3"/>
    <row r="2851" s="11" customFormat="1" x14ac:dyDescent="0.3"/>
    <row r="2852" s="11" customFormat="1" x14ac:dyDescent="0.3"/>
    <row r="2853" s="11" customFormat="1" x14ac:dyDescent="0.3"/>
    <row r="2854" s="11" customFormat="1" x14ac:dyDescent="0.3"/>
    <row r="2855" s="11" customFormat="1" x14ac:dyDescent="0.3"/>
    <row r="2856" s="11" customFormat="1" x14ac:dyDescent="0.3"/>
    <row r="2857" s="11" customFormat="1" x14ac:dyDescent="0.3"/>
    <row r="2858" s="11" customFormat="1" x14ac:dyDescent="0.3"/>
    <row r="2859" s="11" customFormat="1" x14ac:dyDescent="0.3"/>
    <row r="2860" s="11" customFormat="1" x14ac:dyDescent="0.3"/>
    <row r="2861" s="11" customFormat="1" x14ac:dyDescent="0.3"/>
    <row r="2862" s="11" customFormat="1" x14ac:dyDescent="0.3"/>
    <row r="2863" s="11" customFormat="1" x14ac:dyDescent="0.3"/>
    <row r="2864" s="11" customFormat="1" x14ac:dyDescent="0.3"/>
    <row r="2865" s="11" customFormat="1" x14ac:dyDescent="0.3"/>
    <row r="2866" s="11" customFormat="1" x14ac:dyDescent="0.3"/>
    <row r="2867" s="11" customFormat="1" x14ac:dyDescent="0.3"/>
    <row r="2868" s="11" customFormat="1" x14ac:dyDescent="0.3"/>
    <row r="2869" s="11" customFormat="1" x14ac:dyDescent="0.3"/>
    <row r="2870" s="11" customFormat="1" x14ac:dyDescent="0.3"/>
    <row r="2871" s="11" customFormat="1" x14ac:dyDescent="0.3"/>
    <row r="2872" s="11" customFormat="1" x14ac:dyDescent="0.3"/>
    <row r="2873" s="11" customFormat="1" x14ac:dyDescent="0.3"/>
    <row r="2874" s="11" customFormat="1" x14ac:dyDescent="0.3"/>
    <row r="2875" s="11" customFormat="1" x14ac:dyDescent="0.3"/>
    <row r="2876" s="11" customFormat="1" x14ac:dyDescent="0.3"/>
    <row r="2877" s="11" customFormat="1" x14ac:dyDescent="0.3"/>
    <row r="2878" s="11" customFormat="1" x14ac:dyDescent="0.3"/>
    <row r="2879" s="11" customFormat="1" x14ac:dyDescent="0.3"/>
    <row r="2880" s="11" customFormat="1" x14ac:dyDescent="0.3"/>
    <row r="2881" s="11" customFormat="1" x14ac:dyDescent="0.3"/>
    <row r="2882" s="11" customFormat="1" x14ac:dyDescent="0.3"/>
    <row r="2883" s="11" customFormat="1" x14ac:dyDescent="0.3"/>
    <row r="2884" s="11" customFormat="1" x14ac:dyDescent="0.3"/>
    <row r="2885" s="11" customFormat="1" x14ac:dyDescent="0.3"/>
    <row r="2886" s="11" customFormat="1" x14ac:dyDescent="0.3"/>
    <row r="2887" s="11" customFormat="1" x14ac:dyDescent="0.3"/>
    <row r="2888" s="11" customFormat="1" x14ac:dyDescent="0.3"/>
    <row r="2889" s="11" customFormat="1" x14ac:dyDescent="0.3"/>
    <row r="2890" s="11" customFormat="1" x14ac:dyDescent="0.3"/>
    <row r="2891" s="11" customFormat="1" x14ac:dyDescent="0.3"/>
    <row r="2892" s="11" customFormat="1" x14ac:dyDescent="0.3"/>
    <row r="2893" s="11" customFormat="1" x14ac:dyDescent="0.3"/>
    <row r="2894" s="11" customFormat="1" x14ac:dyDescent="0.3"/>
    <row r="2895" s="11" customFormat="1" x14ac:dyDescent="0.3"/>
    <row r="2896" s="11" customFormat="1" x14ac:dyDescent="0.3"/>
    <row r="2897" s="11" customFormat="1" x14ac:dyDescent="0.3"/>
    <row r="2898" s="11" customFormat="1" x14ac:dyDescent="0.3"/>
    <row r="2899" s="11" customFormat="1" x14ac:dyDescent="0.3"/>
    <row r="2900" s="11" customFormat="1" x14ac:dyDescent="0.3"/>
    <row r="2901" s="11" customFormat="1" x14ac:dyDescent="0.3"/>
    <row r="2902" s="11" customFormat="1" x14ac:dyDescent="0.3"/>
    <row r="2903" s="11" customFormat="1" x14ac:dyDescent="0.3"/>
    <row r="2904" s="11" customFormat="1" x14ac:dyDescent="0.3"/>
    <row r="2905" s="11" customFormat="1" x14ac:dyDescent="0.3"/>
    <row r="2906" s="11" customFormat="1" x14ac:dyDescent="0.3"/>
    <row r="2907" s="11" customFormat="1" x14ac:dyDescent="0.3"/>
    <row r="2908" s="11" customFormat="1" x14ac:dyDescent="0.3"/>
    <row r="2909" s="11" customFormat="1" x14ac:dyDescent="0.3"/>
    <row r="2910" s="11" customFormat="1" x14ac:dyDescent="0.3"/>
    <row r="2911" s="11" customFormat="1" x14ac:dyDescent="0.3"/>
    <row r="2912" s="11" customFormat="1" x14ac:dyDescent="0.3"/>
    <row r="2913" s="11" customFormat="1" x14ac:dyDescent="0.3"/>
    <row r="2914" s="11" customFormat="1" x14ac:dyDescent="0.3"/>
    <row r="2915" s="11" customFormat="1" x14ac:dyDescent="0.3"/>
    <row r="2916" s="11" customFormat="1" x14ac:dyDescent="0.3"/>
    <row r="2917" s="11" customFormat="1" x14ac:dyDescent="0.3"/>
    <row r="2918" s="11" customFormat="1" x14ac:dyDescent="0.3"/>
    <row r="2919" s="11" customFormat="1" x14ac:dyDescent="0.3"/>
    <row r="2920" s="11" customFormat="1" x14ac:dyDescent="0.3"/>
    <row r="2921" s="11" customFormat="1" x14ac:dyDescent="0.3"/>
    <row r="2922" s="11" customFormat="1" x14ac:dyDescent="0.3"/>
    <row r="2923" s="11" customFormat="1" x14ac:dyDescent="0.3"/>
    <row r="2924" s="11" customFormat="1" x14ac:dyDescent="0.3"/>
    <row r="2925" s="11" customFormat="1" x14ac:dyDescent="0.3"/>
    <row r="2926" s="11" customFormat="1" x14ac:dyDescent="0.3"/>
    <row r="2927" s="11" customFormat="1" x14ac:dyDescent="0.3"/>
    <row r="2928" s="11" customFormat="1" x14ac:dyDescent="0.3"/>
    <row r="2929" s="11" customFormat="1" x14ac:dyDescent="0.3"/>
    <row r="2930" s="11" customFormat="1" x14ac:dyDescent="0.3"/>
    <row r="2931" s="11" customFormat="1" x14ac:dyDescent="0.3"/>
    <row r="2932" s="11" customFormat="1" x14ac:dyDescent="0.3"/>
    <row r="2933" s="11" customFormat="1" x14ac:dyDescent="0.3"/>
    <row r="2934" s="11" customFormat="1" x14ac:dyDescent="0.3"/>
    <row r="2935" s="11" customFormat="1" x14ac:dyDescent="0.3"/>
    <row r="2936" s="11" customFormat="1" x14ac:dyDescent="0.3"/>
    <row r="2937" s="11" customFormat="1" x14ac:dyDescent="0.3"/>
    <row r="2938" s="11" customFormat="1" x14ac:dyDescent="0.3"/>
    <row r="2939" s="11" customFormat="1" x14ac:dyDescent="0.3"/>
    <row r="2940" s="11" customFormat="1" x14ac:dyDescent="0.3"/>
    <row r="2941" s="11" customFormat="1" x14ac:dyDescent="0.3"/>
    <row r="2942" s="11" customFormat="1" x14ac:dyDescent="0.3"/>
    <row r="2943" s="11" customFormat="1" x14ac:dyDescent="0.3"/>
    <row r="2944" s="11" customFormat="1" x14ac:dyDescent="0.3"/>
    <row r="2945" s="11" customFormat="1" x14ac:dyDescent="0.3"/>
    <row r="2946" s="11" customFormat="1" x14ac:dyDescent="0.3"/>
    <row r="2947" s="11" customFormat="1" x14ac:dyDescent="0.3"/>
    <row r="2948" s="11" customFormat="1" x14ac:dyDescent="0.3"/>
    <row r="2949" s="11" customFormat="1" x14ac:dyDescent="0.3"/>
    <row r="2950" s="11" customFormat="1" x14ac:dyDescent="0.3"/>
    <row r="2951" s="11" customFormat="1" x14ac:dyDescent="0.3"/>
    <row r="2952" s="11" customFormat="1" x14ac:dyDescent="0.3"/>
    <row r="2953" s="11" customFormat="1" x14ac:dyDescent="0.3"/>
    <row r="2954" s="11" customFormat="1" x14ac:dyDescent="0.3"/>
    <row r="2955" s="11" customFormat="1" x14ac:dyDescent="0.3"/>
    <row r="2956" s="11" customFormat="1" x14ac:dyDescent="0.3"/>
    <row r="2957" s="11" customFormat="1" x14ac:dyDescent="0.3"/>
    <row r="2958" s="11" customFormat="1" x14ac:dyDescent="0.3"/>
    <row r="2959" s="11" customFormat="1" x14ac:dyDescent="0.3"/>
    <row r="2960" s="11" customFormat="1" x14ac:dyDescent="0.3"/>
    <row r="2961" s="11" customFormat="1" x14ac:dyDescent="0.3"/>
    <row r="2962" s="11" customFormat="1" x14ac:dyDescent="0.3"/>
    <row r="2963" s="11" customFormat="1" x14ac:dyDescent="0.3"/>
    <row r="2964" s="11" customFormat="1" x14ac:dyDescent="0.3"/>
    <row r="2965" s="11" customFormat="1" x14ac:dyDescent="0.3"/>
    <row r="2966" s="11" customFormat="1" x14ac:dyDescent="0.3"/>
    <row r="2967" s="11" customFormat="1" x14ac:dyDescent="0.3"/>
    <row r="2968" s="11" customFormat="1" x14ac:dyDescent="0.3"/>
    <row r="2969" s="11" customFormat="1" x14ac:dyDescent="0.3"/>
    <row r="2970" s="11" customFormat="1" x14ac:dyDescent="0.3"/>
    <row r="2971" s="11" customFormat="1" x14ac:dyDescent="0.3"/>
    <row r="2972" s="11" customFormat="1" x14ac:dyDescent="0.3"/>
    <row r="2973" s="11" customFormat="1" x14ac:dyDescent="0.3"/>
    <row r="2974" s="11" customFormat="1" x14ac:dyDescent="0.3"/>
    <row r="2975" s="11" customFormat="1" x14ac:dyDescent="0.3"/>
    <row r="2976" s="11" customFormat="1" x14ac:dyDescent="0.3"/>
    <row r="2977" s="11" customFormat="1" x14ac:dyDescent="0.3"/>
    <row r="2978" s="11" customFormat="1" x14ac:dyDescent="0.3"/>
    <row r="2979" s="11" customFormat="1" x14ac:dyDescent="0.3"/>
    <row r="2980" s="11" customFormat="1" x14ac:dyDescent="0.3"/>
    <row r="2981" s="11" customFormat="1" x14ac:dyDescent="0.3"/>
    <row r="2982" s="11" customFormat="1" x14ac:dyDescent="0.3"/>
    <row r="2983" s="11" customFormat="1" x14ac:dyDescent="0.3"/>
    <row r="2984" s="11" customFormat="1" x14ac:dyDescent="0.3"/>
    <row r="2985" s="11" customFormat="1" x14ac:dyDescent="0.3"/>
    <row r="2986" s="11" customFormat="1" x14ac:dyDescent="0.3"/>
    <row r="2987" s="11" customFormat="1" x14ac:dyDescent="0.3"/>
    <row r="2988" s="11" customFormat="1" x14ac:dyDescent="0.3"/>
    <row r="2989" s="11" customFormat="1" x14ac:dyDescent="0.3"/>
    <row r="2990" s="11" customFormat="1" x14ac:dyDescent="0.3"/>
    <row r="2991" s="11" customFormat="1" x14ac:dyDescent="0.3"/>
    <row r="2992" s="11" customFormat="1" x14ac:dyDescent="0.3"/>
    <row r="2993" s="11" customFormat="1" x14ac:dyDescent="0.3"/>
    <row r="2994" s="11" customFormat="1" x14ac:dyDescent="0.3"/>
    <row r="2995" s="11" customFormat="1" x14ac:dyDescent="0.3"/>
    <row r="2996" s="11" customFormat="1" x14ac:dyDescent="0.3"/>
    <row r="2997" s="11" customFormat="1" x14ac:dyDescent="0.3"/>
    <row r="2998" s="11" customFormat="1" x14ac:dyDescent="0.3"/>
    <row r="2999" s="11" customFormat="1" x14ac:dyDescent="0.3"/>
    <row r="3000" s="11" customFormat="1" x14ac:dyDescent="0.3"/>
    <row r="3001" s="11" customFormat="1" x14ac:dyDescent="0.3"/>
    <row r="3002" s="11" customFormat="1" x14ac:dyDescent="0.3"/>
    <row r="3003" s="11" customFormat="1" x14ac:dyDescent="0.3"/>
    <row r="3004" s="11" customFormat="1" x14ac:dyDescent="0.3"/>
    <row r="3005" s="11" customFormat="1" x14ac:dyDescent="0.3"/>
    <row r="3006" s="11" customFormat="1" x14ac:dyDescent="0.3"/>
    <row r="3007" s="11" customFormat="1" x14ac:dyDescent="0.3"/>
    <row r="3008" s="11" customFormat="1" x14ac:dyDescent="0.3"/>
    <row r="3009" s="11" customFormat="1" x14ac:dyDescent="0.3"/>
    <row r="3010" s="11" customFormat="1" x14ac:dyDescent="0.3"/>
    <row r="3011" s="11" customFormat="1" x14ac:dyDescent="0.3"/>
    <row r="3012" s="11" customFormat="1" x14ac:dyDescent="0.3"/>
    <row r="3013" s="11" customFormat="1" x14ac:dyDescent="0.3"/>
    <row r="3014" s="11" customFormat="1" x14ac:dyDescent="0.3"/>
    <row r="3015" s="11" customFormat="1" x14ac:dyDescent="0.3"/>
    <row r="3016" s="11" customFormat="1" x14ac:dyDescent="0.3"/>
    <row r="3017" s="11" customFormat="1" x14ac:dyDescent="0.3"/>
    <row r="3018" s="11" customFormat="1" x14ac:dyDescent="0.3"/>
    <row r="3019" s="11" customFormat="1" x14ac:dyDescent="0.3"/>
    <row r="3020" s="11" customFormat="1" x14ac:dyDescent="0.3"/>
    <row r="3021" s="11" customFormat="1" x14ac:dyDescent="0.3"/>
    <row r="3022" s="11" customFormat="1" x14ac:dyDescent="0.3"/>
    <row r="3023" s="11" customFormat="1" x14ac:dyDescent="0.3"/>
    <row r="3024" s="11" customFormat="1" x14ac:dyDescent="0.3"/>
    <row r="3025" s="11" customFormat="1" x14ac:dyDescent="0.3"/>
    <row r="3026" s="11" customFormat="1" x14ac:dyDescent="0.3"/>
    <row r="3027" s="11" customFormat="1" x14ac:dyDescent="0.3"/>
    <row r="3028" s="11" customFormat="1" x14ac:dyDescent="0.3"/>
    <row r="3029" s="11" customFormat="1" x14ac:dyDescent="0.3"/>
    <row r="3030" s="11" customFormat="1" x14ac:dyDescent="0.3"/>
    <row r="3031" s="11" customFormat="1" x14ac:dyDescent="0.3"/>
    <row r="3032" s="11" customFormat="1" x14ac:dyDescent="0.3"/>
    <row r="3033" s="11" customFormat="1" x14ac:dyDescent="0.3"/>
    <row r="3034" s="11" customFormat="1" x14ac:dyDescent="0.3"/>
    <row r="3035" s="11" customFormat="1" x14ac:dyDescent="0.3"/>
    <row r="3036" s="11" customFormat="1" x14ac:dyDescent="0.3"/>
    <row r="3037" s="11" customFormat="1" x14ac:dyDescent="0.3"/>
    <row r="3038" s="11" customFormat="1" x14ac:dyDescent="0.3"/>
    <row r="3039" s="11" customFormat="1" x14ac:dyDescent="0.3"/>
    <row r="3040" s="11" customFormat="1" x14ac:dyDescent="0.3"/>
    <row r="3041" s="11" customFormat="1" x14ac:dyDescent="0.3"/>
    <row r="3042" s="11" customFormat="1" x14ac:dyDescent="0.3"/>
    <row r="3043" s="11" customFormat="1" x14ac:dyDescent="0.3"/>
    <row r="3044" s="11" customFormat="1" x14ac:dyDescent="0.3"/>
    <row r="3045" s="11" customFormat="1" x14ac:dyDescent="0.3"/>
    <row r="3046" s="11" customFormat="1" x14ac:dyDescent="0.3"/>
    <row r="3047" s="11" customFormat="1" x14ac:dyDescent="0.3"/>
    <row r="3048" s="11" customFormat="1" x14ac:dyDescent="0.3"/>
    <row r="3049" s="11" customFormat="1" x14ac:dyDescent="0.3"/>
    <row r="3050" s="11" customFormat="1" x14ac:dyDescent="0.3"/>
    <row r="3051" s="11" customFormat="1" x14ac:dyDescent="0.3"/>
    <row r="3052" s="11" customFormat="1" x14ac:dyDescent="0.3"/>
    <row r="3053" s="11" customFormat="1" x14ac:dyDescent="0.3"/>
    <row r="3054" s="11" customFormat="1" x14ac:dyDescent="0.3"/>
    <row r="3055" s="11" customFormat="1" x14ac:dyDescent="0.3"/>
    <row r="3056" s="11" customFormat="1" x14ac:dyDescent="0.3"/>
    <row r="3057" s="11" customFormat="1" x14ac:dyDescent="0.3"/>
    <row r="3058" s="11" customFormat="1" x14ac:dyDescent="0.3"/>
    <row r="3059" s="11" customFormat="1" x14ac:dyDescent="0.3"/>
    <row r="3060" s="11" customFormat="1" x14ac:dyDescent="0.3"/>
    <row r="3061" s="11" customFormat="1" x14ac:dyDescent="0.3"/>
    <row r="3062" s="11" customFormat="1" x14ac:dyDescent="0.3"/>
    <row r="3063" s="11" customFormat="1" x14ac:dyDescent="0.3"/>
    <row r="3064" s="11" customFormat="1" x14ac:dyDescent="0.3"/>
    <row r="3065" s="11" customFormat="1" x14ac:dyDescent="0.3"/>
    <row r="3066" s="11" customFormat="1" x14ac:dyDescent="0.3"/>
    <row r="3067" s="11" customFormat="1" x14ac:dyDescent="0.3"/>
    <row r="3068" s="11" customFormat="1" x14ac:dyDescent="0.3"/>
    <row r="3069" s="11" customFormat="1" x14ac:dyDescent="0.3"/>
    <row r="3070" s="11" customFormat="1" x14ac:dyDescent="0.3"/>
    <row r="3071" s="11" customFormat="1" x14ac:dyDescent="0.3"/>
    <row r="3072" s="11" customFormat="1" x14ac:dyDescent="0.3"/>
    <row r="3073" s="11" customFormat="1" x14ac:dyDescent="0.3"/>
    <row r="3074" s="11" customFormat="1" x14ac:dyDescent="0.3"/>
    <row r="3075" s="11" customFormat="1" x14ac:dyDescent="0.3"/>
    <row r="3076" s="11" customFormat="1" x14ac:dyDescent="0.3"/>
    <row r="3077" s="11" customFormat="1" x14ac:dyDescent="0.3"/>
    <row r="3078" s="11" customFormat="1" x14ac:dyDescent="0.3"/>
    <row r="3079" s="11" customFormat="1" x14ac:dyDescent="0.3"/>
    <row r="3080" s="11" customFormat="1" x14ac:dyDescent="0.3"/>
    <row r="3081" s="11" customFormat="1" x14ac:dyDescent="0.3"/>
    <row r="3082" s="11" customFormat="1" x14ac:dyDescent="0.3"/>
    <row r="3083" s="11" customFormat="1" x14ac:dyDescent="0.3"/>
    <row r="3084" s="11" customFormat="1" x14ac:dyDescent="0.3"/>
    <row r="3085" s="11" customFormat="1" x14ac:dyDescent="0.3"/>
    <row r="3086" s="11" customFormat="1" x14ac:dyDescent="0.3"/>
    <row r="3087" s="11" customFormat="1" x14ac:dyDescent="0.3"/>
    <row r="3088" s="11" customFormat="1" x14ac:dyDescent="0.3"/>
    <row r="3089" s="11" customFormat="1" x14ac:dyDescent="0.3"/>
    <row r="3090" s="11" customFormat="1" x14ac:dyDescent="0.3"/>
    <row r="3091" s="11" customFormat="1" x14ac:dyDescent="0.3"/>
    <row r="3092" s="11" customFormat="1" x14ac:dyDescent="0.3"/>
    <row r="3093" s="11" customFormat="1" x14ac:dyDescent="0.3"/>
    <row r="3094" s="11" customFormat="1" x14ac:dyDescent="0.3"/>
    <row r="3095" s="11" customFormat="1" x14ac:dyDescent="0.3"/>
    <row r="3096" s="11" customFormat="1" x14ac:dyDescent="0.3"/>
    <row r="3097" s="11" customFormat="1" x14ac:dyDescent="0.3"/>
    <row r="3098" s="11" customFormat="1" x14ac:dyDescent="0.3"/>
    <row r="3099" s="11" customFormat="1" x14ac:dyDescent="0.3"/>
    <row r="3100" s="11" customFormat="1" x14ac:dyDescent="0.3"/>
    <row r="3101" s="11" customFormat="1" x14ac:dyDescent="0.3"/>
    <row r="3102" s="11" customFormat="1" x14ac:dyDescent="0.3"/>
    <row r="3103" s="11" customFormat="1" x14ac:dyDescent="0.3"/>
    <row r="3104" s="11" customFormat="1" x14ac:dyDescent="0.3"/>
    <row r="3105" s="11" customFormat="1" x14ac:dyDescent="0.3"/>
    <row r="3106" s="11" customFormat="1" x14ac:dyDescent="0.3"/>
    <row r="3107" s="11" customFormat="1" x14ac:dyDescent="0.3"/>
    <row r="3108" s="11" customFormat="1" x14ac:dyDescent="0.3"/>
    <row r="3109" s="11" customFormat="1" x14ac:dyDescent="0.3"/>
    <row r="3110" s="11" customFormat="1" x14ac:dyDescent="0.3"/>
    <row r="3111" s="11" customFormat="1" x14ac:dyDescent="0.3"/>
    <row r="3112" s="11" customFormat="1" x14ac:dyDescent="0.3"/>
    <row r="3113" s="11" customFormat="1" x14ac:dyDescent="0.3"/>
    <row r="3114" s="11" customFormat="1" x14ac:dyDescent="0.3"/>
    <row r="3115" s="11" customFormat="1" x14ac:dyDescent="0.3"/>
    <row r="3116" s="11" customFormat="1" x14ac:dyDescent="0.3"/>
    <row r="3117" s="11" customFormat="1" x14ac:dyDescent="0.3"/>
    <row r="3118" s="11" customFormat="1" x14ac:dyDescent="0.3"/>
    <row r="3119" s="11" customFormat="1" x14ac:dyDescent="0.3"/>
    <row r="3120" s="11" customFormat="1" x14ac:dyDescent="0.3"/>
    <row r="3121" s="11" customFormat="1" x14ac:dyDescent="0.3"/>
    <row r="3122" s="11" customFormat="1" x14ac:dyDescent="0.3"/>
    <row r="3123" s="11" customFormat="1" x14ac:dyDescent="0.3"/>
    <row r="3124" s="11" customFormat="1" x14ac:dyDescent="0.3"/>
    <row r="3125" s="11" customFormat="1" x14ac:dyDescent="0.3"/>
    <row r="3126" s="11" customFormat="1" x14ac:dyDescent="0.3"/>
    <row r="3127" s="11" customFormat="1" x14ac:dyDescent="0.3"/>
    <row r="3128" s="11" customFormat="1" x14ac:dyDescent="0.3"/>
    <row r="3129" s="11" customFormat="1" x14ac:dyDescent="0.3"/>
    <row r="3130" s="11" customFormat="1" x14ac:dyDescent="0.3"/>
    <row r="3131" s="11" customFormat="1" x14ac:dyDescent="0.3"/>
    <row r="3132" s="11" customFormat="1" x14ac:dyDescent="0.3"/>
    <row r="3133" s="11" customFormat="1" x14ac:dyDescent="0.3"/>
    <row r="3134" s="11" customFormat="1" x14ac:dyDescent="0.3"/>
    <row r="3135" s="11" customFormat="1" x14ac:dyDescent="0.3"/>
    <row r="3136" s="11" customFormat="1" x14ac:dyDescent="0.3"/>
    <row r="3137" s="11" customFormat="1" x14ac:dyDescent="0.3"/>
    <row r="3138" s="11" customFormat="1" x14ac:dyDescent="0.3"/>
    <row r="3139" s="11" customFormat="1" x14ac:dyDescent="0.3"/>
    <row r="3140" s="11" customFormat="1" x14ac:dyDescent="0.3"/>
    <row r="3141" s="11" customFormat="1" x14ac:dyDescent="0.3"/>
    <row r="3142" s="11" customFormat="1" x14ac:dyDescent="0.3"/>
    <row r="3143" s="11" customFormat="1" x14ac:dyDescent="0.3"/>
    <row r="3144" s="11" customFormat="1" x14ac:dyDescent="0.3"/>
    <row r="3145" s="11" customFormat="1" x14ac:dyDescent="0.3"/>
    <row r="3146" s="11" customFormat="1" x14ac:dyDescent="0.3"/>
    <row r="3147" s="11" customFormat="1" x14ac:dyDescent="0.3"/>
    <row r="3148" s="11" customFormat="1" x14ac:dyDescent="0.3"/>
    <row r="3149" s="11" customFormat="1" x14ac:dyDescent="0.3"/>
    <row r="3150" s="11" customFormat="1" x14ac:dyDescent="0.3"/>
    <row r="3151" s="11" customFormat="1" x14ac:dyDescent="0.3"/>
    <row r="3152" s="11" customFormat="1" x14ac:dyDescent="0.3"/>
    <row r="3153" s="11" customFormat="1" x14ac:dyDescent="0.3"/>
    <row r="3154" s="11" customFormat="1" x14ac:dyDescent="0.3"/>
    <row r="3155" s="11" customFormat="1" x14ac:dyDescent="0.3"/>
    <row r="3156" s="11" customFormat="1" x14ac:dyDescent="0.3"/>
    <row r="3157" s="11" customFormat="1" x14ac:dyDescent="0.3"/>
    <row r="3158" s="11" customFormat="1" x14ac:dyDescent="0.3"/>
    <row r="3159" s="11" customFormat="1" x14ac:dyDescent="0.3"/>
    <row r="3160" s="11" customFormat="1" x14ac:dyDescent="0.3"/>
    <row r="3161" s="11" customFormat="1" x14ac:dyDescent="0.3"/>
    <row r="3162" s="11" customFormat="1" x14ac:dyDescent="0.3"/>
    <row r="3163" s="11" customFormat="1" x14ac:dyDescent="0.3"/>
    <row r="3164" s="11" customFormat="1" x14ac:dyDescent="0.3"/>
    <row r="3165" s="11" customFormat="1" x14ac:dyDescent="0.3"/>
    <row r="3166" s="11" customFormat="1" x14ac:dyDescent="0.3"/>
    <row r="3167" s="11" customFormat="1" x14ac:dyDescent="0.3"/>
    <row r="3168" s="11" customFormat="1" x14ac:dyDescent="0.3"/>
    <row r="3169" s="11" customFormat="1" x14ac:dyDescent="0.3"/>
    <row r="3170" s="11" customFormat="1" x14ac:dyDescent="0.3"/>
    <row r="3171" s="11" customFormat="1" x14ac:dyDescent="0.3"/>
    <row r="3172" s="11" customFormat="1" x14ac:dyDescent="0.3"/>
    <row r="3173" s="11" customFormat="1" x14ac:dyDescent="0.3"/>
    <row r="3174" s="11" customFormat="1" x14ac:dyDescent="0.3"/>
    <row r="3175" s="11" customFormat="1" x14ac:dyDescent="0.3"/>
    <row r="3176" s="11" customFormat="1" x14ac:dyDescent="0.3"/>
    <row r="3177" s="11" customFormat="1" x14ac:dyDescent="0.3"/>
    <row r="3178" s="11" customFormat="1" x14ac:dyDescent="0.3"/>
    <row r="3179" s="11" customFormat="1" x14ac:dyDescent="0.3"/>
    <row r="3180" s="11" customFormat="1" x14ac:dyDescent="0.3"/>
    <row r="3181" s="11" customFormat="1" x14ac:dyDescent="0.3"/>
    <row r="3182" s="11" customFormat="1" x14ac:dyDescent="0.3"/>
    <row r="3183" s="11" customFormat="1" x14ac:dyDescent="0.3"/>
    <row r="3184" s="11" customFormat="1" x14ac:dyDescent="0.3"/>
    <row r="3185" s="11" customFormat="1" x14ac:dyDescent="0.3"/>
    <row r="3186" s="11" customFormat="1" x14ac:dyDescent="0.3"/>
    <row r="3187" s="11" customFormat="1" x14ac:dyDescent="0.3"/>
    <row r="3188" s="11" customFormat="1" x14ac:dyDescent="0.3"/>
    <row r="3189" s="11" customFormat="1" x14ac:dyDescent="0.3"/>
    <row r="3190" s="11" customFormat="1" x14ac:dyDescent="0.3"/>
    <row r="3191" s="11" customFormat="1" x14ac:dyDescent="0.3"/>
    <row r="3192" s="11" customFormat="1" x14ac:dyDescent="0.3"/>
    <row r="3193" s="11" customFormat="1" x14ac:dyDescent="0.3"/>
    <row r="3194" s="11" customFormat="1" x14ac:dyDescent="0.3"/>
    <row r="3195" s="11" customFormat="1" x14ac:dyDescent="0.3"/>
    <row r="3196" s="11" customFormat="1" x14ac:dyDescent="0.3"/>
    <row r="3197" s="11" customFormat="1" x14ac:dyDescent="0.3"/>
    <row r="3198" s="11" customFormat="1" x14ac:dyDescent="0.3"/>
    <row r="3199" s="11" customFormat="1" x14ac:dyDescent="0.3"/>
    <row r="3200" s="11" customFormat="1" x14ac:dyDescent="0.3"/>
    <row r="3201" s="11" customFormat="1" x14ac:dyDescent="0.3"/>
    <row r="3202" s="11" customFormat="1" x14ac:dyDescent="0.3"/>
    <row r="3203" s="11" customFormat="1" x14ac:dyDescent="0.3"/>
    <row r="3204" s="11" customFormat="1" x14ac:dyDescent="0.3"/>
    <row r="3205" s="11" customFormat="1" x14ac:dyDescent="0.3"/>
    <row r="3206" s="11" customFormat="1" x14ac:dyDescent="0.3"/>
    <row r="3207" s="11" customFormat="1" x14ac:dyDescent="0.3"/>
    <row r="3208" s="11" customFormat="1" x14ac:dyDescent="0.3"/>
    <row r="3209" s="11" customFormat="1" x14ac:dyDescent="0.3"/>
    <row r="3210" s="11" customFormat="1" x14ac:dyDescent="0.3"/>
    <row r="3211" s="11" customFormat="1" x14ac:dyDescent="0.3"/>
    <row r="3212" s="11" customFormat="1" x14ac:dyDescent="0.3"/>
    <row r="3213" s="11" customFormat="1" x14ac:dyDescent="0.3"/>
    <row r="3214" s="11" customFormat="1" x14ac:dyDescent="0.3"/>
    <row r="3215" s="11" customFormat="1" x14ac:dyDescent="0.3"/>
    <row r="3216" s="11" customFormat="1" x14ac:dyDescent="0.3"/>
    <row r="3217" s="11" customFormat="1" x14ac:dyDescent="0.3"/>
    <row r="3218" s="11" customFormat="1" x14ac:dyDescent="0.3"/>
    <row r="3219" s="11" customFormat="1" x14ac:dyDescent="0.3"/>
    <row r="3220" s="11" customFormat="1" x14ac:dyDescent="0.3"/>
    <row r="3221" s="11" customFormat="1" x14ac:dyDescent="0.3"/>
    <row r="3222" s="11" customFormat="1" x14ac:dyDescent="0.3"/>
    <row r="3223" s="11" customFormat="1" x14ac:dyDescent="0.3"/>
    <row r="3224" s="11" customFormat="1" x14ac:dyDescent="0.3"/>
    <row r="3225" s="11" customFormat="1" x14ac:dyDescent="0.3"/>
    <row r="3226" s="11" customFormat="1" x14ac:dyDescent="0.3"/>
    <row r="3227" s="11" customFormat="1" x14ac:dyDescent="0.3"/>
    <row r="3228" s="11" customFormat="1" x14ac:dyDescent="0.3"/>
    <row r="3229" s="11" customFormat="1" x14ac:dyDescent="0.3"/>
    <row r="3230" s="11" customFormat="1" x14ac:dyDescent="0.3"/>
    <row r="3231" s="11" customFormat="1" x14ac:dyDescent="0.3"/>
    <row r="3232" s="11" customFormat="1" x14ac:dyDescent="0.3"/>
    <row r="3233" s="11" customFormat="1" x14ac:dyDescent="0.3"/>
    <row r="3234" s="11" customFormat="1" x14ac:dyDescent="0.3"/>
    <row r="3235" s="11" customFormat="1" x14ac:dyDescent="0.3"/>
    <row r="3236" s="11" customFormat="1" x14ac:dyDescent="0.3"/>
    <row r="3237" s="11" customFormat="1" x14ac:dyDescent="0.3"/>
    <row r="3238" s="11" customFormat="1" x14ac:dyDescent="0.3"/>
    <row r="3239" s="11" customFormat="1" x14ac:dyDescent="0.3"/>
    <row r="3240" s="11" customFormat="1" x14ac:dyDescent="0.3"/>
    <row r="3241" s="11" customFormat="1" x14ac:dyDescent="0.3"/>
    <row r="3242" s="11" customFormat="1" x14ac:dyDescent="0.3"/>
    <row r="3243" s="11" customFormat="1" x14ac:dyDescent="0.3"/>
    <row r="3244" s="11" customFormat="1" x14ac:dyDescent="0.3"/>
    <row r="3245" s="11" customFormat="1" x14ac:dyDescent="0.3"/>
    <row r="3246" s="11" customFormat="1" x14ac:dyDescent="0.3"/>
    <row r="3247" s="11" customFormat="1" x14ac:dyDescent="0.3"/>
    <row r="3248" s="11" customFormat="1" x14ac:dyDescent="0.3"/>
    <row r="3249" s="11" customFormat="1" x14ac:dyDescent="0.3"/>
    <row r="3250" s="11" customFormat="1" x14ac:dyDescent="0.3"/>
    <row r="3251" s="11" customFormat="1" x14ac:dyDescent="0.3"/>
    <row r="3252" s="11" customFormat="1" x14ac:dyDescent="0.3"/>
    <row r="3253" s="11" customFormat="1" x14ac:dyDescent="0.3"/>
    <row r="3254" s="11" customFormat="1" x14ac:dyDescent="0.3"/>
    <row r="3255" s="11" customFormat="1" x14ac:dyDescent="0.3"/>
    <row r="3256" s="11" customFormat="1" x14ac:dyDescent="0.3"/>
    <row r="3257" s="11" customFormat="1" x14ac:dyDescent="0.3"/>
    <row r="3258" s="11" customFormat="1" x14ac:dyDescent="0.3"/>
    <row r="3259" s="11" customFormat="1" x14ac:dyDescent="0.3"/>
    <row r="3260" s="11" customFormat="1" x14ac:dyDescent="0.3"/>
    <row r="3261" s="11" customFormat="1" x14ac:dyDescent="0.3"/>
    <row r="3262" s="11" customFormat="1" x14ac:dyDescent="0.3"/>
    <row r="3263" s="11" customFormat="1" x14ac:dyDescent="0.3"/>
    <row r="3264" s="11" customFormat="1" x14ac:dyDescent="0.3"/>
    <row r="3265" s="11" customFormat="1" x14ac:dyDescent="0.3"/>
    <row r="3266" s="11" customFormat="1" x14ac:dyDescent="0.3"/>
    <row r="3267" s="11" customFormat="1" x14ac:dyDescent="0.3"/>
    <row r="3268" s="11" customFormat="1" x14ac:dyDescent="0.3"/>
    <row r="3269" s="11" customFormat="1" x14ac:dyDescent="0.3"/>
    <row r="3270" s="11" customFormat="1" x14ac:dyDescent="0.3"/>
    <row r="3271" s="11" customFormat="1" x14ac:dyDescent="0.3"/>
    <row r="3272" s="11" customFormat="1" x14ac:dyDescent="0.3"/>
    <row r="3273" s="11" customFormat="1" x14ac:dyDescent="0.3"/>
    <row r="3274" s="11" customFormat="1" x14ac:dyDescent="0.3"/>
    <row r="3275" s="11" customFormat="1" x14ac:dyDescent="0.3"/>
    <row r="3276" s="11" customFormat="1" x14ac:dyDescent="0.3"/>
    <row r="3277" s="11" customFormat="1" x14ac:dyDescent="0.3"/>
    <row r="3278" s="11" customFormat="1" x14ac:dyDescent="0.3"/>
    <row r="3279" s="11" customFormat="1" x14ac:dyDescent="0.3"/>
    <row r="3280" s="11" customFormat="1" x14ac:dyDescent="0.3"/>
    <row r="3281" s="11" customFormat="1" x14ac:dyDescent="0.3"/>
    <row r="3282" s="11" customFormat="1" x14ac:dyDescent="0.3"/>
    <row r="3283" s="11" customFormat="1" x14ac:dyDescent="0.3"/>
    <row r="3284" s="11" customFormat="1" x14ac:dyDescent="0.3"/>
    <row r="3285" s="11" customFormat="1" x14ac:dyDescent="0.3"/>
    <row r="3286" s="11" customFormat="1" x14ac:dyDescent="0.3"/>
    <row r="3287" s="11" customFormat="1" x14ac:dyDescent="0.3"/>
    <row r="3288" s="11" customFormat="1" x14ac:dyDescent="0.3"/>
    <row r="3289" s="11" customFormat="1" x14ac:dyDescent="0.3"/>
    <row r="3290" s="11" customFormat="1" x14ac:dyDescent="0.3"/>
    <row r="3291" s="11" customFormat="1" x14ac:dyDescent="0.3"/>
    <row r="3292" s="11" customFormat="1" x14ac:dyDescent="0.3"/>
    <row r="3293" s="11" customFormat="1" x14ac:dyDescent="0.3"/>
    <row r="3294" s="11" customFormat="1" x14ac:dyDescent="0.3"/>
    <row r="3295" s="11" customFormat="1" x14ac:dyDescent="0.3"/>
    <row r="3296" s="11" customFormat="1" x14ac:dyDescent="0.3"/>
    <row r="3297" s="11" customFormat="1" x14ac:dyDescent="0.3"/>
    <row r="3298" s="11" customFormat="1" x14ac:dyDescent="0.3"/>
    <row r="3299" s="11" customFormat="1" x14ac:dyDescent="0.3"/>
    <row r="3300" s="11" customFormat="1" x14ac:dyDescent="0.3"/>
    <row r="3301" s="11" customFormat="1" x14ac:dyDescent="0.3"/>
    <row r="3302" s="11" customFormat="1" x14ac:dyDescent="0.3"/>
    <row r="3303" s="11" customFormat="1" x14ac:dyDescent="0.3"/>
    <row r="3304" s="11" customFormat="1" x14ac:dyDescent="0.3"/>
    <row r="3305" s="11" customFormat="1" x14ac:dyDescent="0.3"/>
    <row r="3306" s="11" customFormat="1" x14ac:dyDescent="0.3"/>
    <row r="3307" s="11" customFormat="1" x14ac:dyDescent="0.3"/>
    <row r="3308" s="11" customFormat="1" x14ac:dyDescent="0.3"/>
    <row r="3309" s="11" customFormat="1" x14ac:dyDescent="0.3"/>
    <row r="3310" s="11" customFormat="1" x14ac:dyDescent="0.3"/>
    <row r="3311" s="11" customFormat="1" x14ac:dyDescent="0.3"/>
    <row r="3312" s="11" customFormat="1" x14ac:dyDescent="0.3"/>
    <row r="3313" s="11" customFormat="1" x14ac:dyDescent="0.3"/>
    <row r="3314" s="11" customFormat="1" x14ac:dyDescent="0.3"/>
    <row r="3315" s="11" customFormat="1" x14ac:dyDescent="0.3"/>
    <row r="3316" s="11" customFormat="1" x14ac:dyDescent="0.3"/>
    <row r="3317" s="11" customFormat="1" x14ac:dyDescent="0.3"/>
    <row r="3318" s="11" customFormat="1" x14ac:dyDescent="0.3"/>
    <row r="3319" s="11" customFormat="1" x14ac:dyDescent="0.3"/>
    <row r="3320" s="11" customFormat="1" x14ac:dyDescent="0.3"/>
    <row r="3321" s="11" customFormat="1" x14ac:dyDescent="0.3"/>
    <row r="3322" s="11" customFormat="1" x14ac:dyDescent="0.3"/>
    <row r="3323" s="11" customFormat="1" x14ac:dyDescent="0.3"/>
    <row r="3324" s="11" customFormat="1" x14ac:dyDescent="0.3"/>
    <row r="3325" s="11" customFormat="1" x14ac:dyDescent="0.3"/>
    <row r="3326" s="11" customFormat="1" x14ac:dyDescent="0.3"/>
    <row r="3327" s="11" customFormat="1" x14ac:dyDescent="0.3"/>
    <row r="3328" s="11" customFormat="1" x14ac:dyDescent="0.3"/>
    <row r="3329" s="11" customFormat="1" x14ac:dyDescent="0.3"/>
    <row r="3330" s="11" customFormat="1" x14ac:dyDescent="0.3"/>
    <row r="3331" s="11" customFormat="1" x14ac:dyDescent="0.3"/>
    <row r="3332" s="11" customFormat="1" x14ac:dyDescent="0.3"/>
    <row r="3333" s="11" customFormat="1" x14ac:dyDescent="0.3"/>
    <row r="3334" s="11" customFormat="1" x14ac:dyDescent="0.3"/>
    <row r="3335" s="11" customFormat="1" x14ac:dyDescent="0.3"/>
    <row r="3336" s="11" customFormat="1" x14ac:dyDescent="0.3"/>
    <row r="3337" s="11" customFormat="1" x14ac:dyDescent="0.3"/>
    <row r="3338" s="11" customFormat="1" x14ac:dyDescent="0.3"/>
    <row r="3339" s="11" customFormat="1" x14ac:dyDescent="0.3"/>
    <row r="3340" s="11" customFormat="1" x14ac:dyDescent="0.3"/>
    <row r="3341" s="11" customFormat="1" x14ac:dyDescent="0.3"/>
    <row r="3342" s="11" customFormat="1" x14ac:dyDescent="0.3"/>
    <row r="3343" s="11" customFormat="1" x14ac:dyDescent="0.3"/>
    <row r="3344" s="11" customFormat="1" x14ac:dyDescent="0.3"/>
    <row r="3345" s="11" customFormat="1" x14ac:dyDescent="0.3"/>
    <row r="3346" s="11" customFormat="1" x14ac:dyDescent="0.3"/>
    <row r="3347" s="11" customFormat="1" x14ac:dyDescent="0.3"/>
    <row r="3348" s="11" customFormat="1" x14ac:dyDescent="0.3"/>
    <row r="3349" s="11" customFormat="1" x14ac:dyDescent="0.3"/>
    <row r="3350" s="11" customFormat="1" x14ac:dyDescent="0.3"/>
    <row r="3351" s="11" customFormat="1" x14ac:dyDescent="0.3"/>
    <row r="3352" s="11" customFormat="1" x14ac:dyDescent="0.3"/>
    <row r="3353" s="11" customFormat="1" x14ac:dyDescent="0.3"/>
    <row r="3354" s="11" customFormat="1" x14ac:dyDescent="0.3"/>
    <row r="3355" s="11" customFormat="1" x14ac:dyDescent="0.3"/>
    <row r="3356" s="11" customFormat="1" x14ac:dyDescent="0.3"/>
    <row r="3357" s="11" customFormat="1" x14ac:dyDescent="0.3"/>
    <row r="3358" s="11" customFormat="1" x14ac:dyDescent="0.3"/>
    <row r="3359" s="11" customFormat="1" x14ac:dyDescent="0.3"/>
    <row r="3360" s="11" customFormat="1" x14ac:dyDescent="0.3"/>
    <row r="3361" s="11" customFormat="1" x14ac:dyDescent="0.3"/>
    <row r="3362" s="11" customFormat="1" x14ac:dyDescent="0.3"/>
    <row r="3363" s="11" customFormat="1" x14ac:dyDescent="0.3"/>
    <row r="3364" s="11" customFormat="1" x14ac:dyDescent="0.3"/>
    <row r="3365" s="11" customFormat="1" x14ac:dyDescent="0.3"/>
    <row r="3366" s="11" customFormat="1" x14ac:dyDescent="0.3"/>
    <row r="3367" s="11" customFormat="1" x14ac:dyDescent="0.3"/>
    <row r="3368" s="11" customFormat="1" x14ac:dyDescent="0.3"/>
    <row r="3369" s="11" customFormat="1" x14ac:dyDescent="0.3"/>
    <row r="3370" s="11" customFormat="1" x14ac:dyDescent="0.3"/>
    <row r="3371" s="11" customFormat="1" x14ac:dyDescent="0.3"/>
    <row r="3372" s="11" customFormat="1" x14ac:dyDescent="0.3"/>
    <row r="3373" s="11" customFormat="1" x14ac:dyDescent="0.3"/>
    <row r="3374" s="11" customFormat="1" x14ac:dyDescent="0.3"/>
    <row r="3375" s="11" customFormat="1" x14ac:dyDescent="0.3"/>
    <row r="3376" s="11" customFormat="1" x14ac:dyDescent="0.3"/>
    <row r="3377" s="11" customFormat="1" x14ac:dyDescent="0.3"/>
    <row r="3378" s="11" customFormat="1" x14ac:dyDescent="0.3"/>
    <row r="3379" s="11" customFormat="1" x14ac:dyDescent="0.3"/>
    <row r="3380" s="11" customFormat="1" x14ac:dyDescent="0.3"/>
    <row r="3381" s="11" customFormat="1" x14ac:dyDescent="0.3"/>
    <row r="3382" s="11" customFormat="1" x14ac:dyDescent="0.3"/>
    <row r="3383" s="11" customFormat="1" x14ac:dyDescent="0.3"/>
    <row r="3384" s="11" customFormat="1" x14ac:dyDescent="0.3"/>
    <row r="3385" s="11" customFormat="1" x14ac:dyDescent="0.3"/>
    <row r="3386" s="11" customFormat="1" x14ac:dyDescent="0.3"/>
    <row r="3387" s="11" customFormat="1" x14ac:dyDescent="0.3"/>
    <row r="3388" s="11" customFormat="1" x14ac:dyDescent="0.3"/>
    <row r="3389" s="11" customFormat="1" x14ac:dyDescent="0.3"/>
    <row r="3390" s="11" customFormat="1" x14ac:dyDescent="0.3"/>
    <row r="3391" s="11" customFormat="1" x14ac:dyDescent="0.3"/>
    <row r="3392" s="11" customFormat="1" x14ac:dyDescent="0.3"/>
    <row r="3393" s="11" customFormat="1" x14ac:dyDescent="0.3"/>
    <row r="3394" s="11" customFormat="1" x14ac:dyDescent="0.3"/>
    <row r="3395" s="11" customFormat="1" x14ac:dyDescent="0.3"/>
    <row r="3396" s="11" customFormat="1" x14ac:dyDescent="0.3"/>
    <row r="3397" s="11" customFormat="1" x14ac:dyDescent="0.3"/>
    <row r="3398" s="11" customFormat="1" x14ac:dyDescent="0.3"/>
    <row r="3399" s="11" customFormat="1" x14ac:dyDescent="0.3"/>
    <row r="3400" s="11" customFormat="1" x14ac:dyDescent="0.3"/>
    <row r="3401" s="11" customFormat="1" x14ac:dyDescent="0.3"/>
    <row r="3402" s="11" customFormat="1" x14ac:dyDescent="0.3"/>
    <row r="3403" s="11" customFormat="1" x14ac:dyDescent="0.3"/>
    <row r="3404" s="11" customFormat="1" x14ac:dyDescent="0.3"/>
    <row r="3405" s="11" customFormat="1" x14ac:dyDescent="0.3"/>
    <row r="3406" s="11" customFormat="1" x14ac:dyDescent="0.3"/>
    <row r="3407" s="11" customFormat="1" x14ac:dyDescent="0.3"/>
    <row r="3408" s="11" customFormat="1" x14ac:dyDescent="0.3"/>
    <row r="3409" s="11" customFormat="1" x14ac:dyDescent="0.3"/>
    <row r="3410" s="11" customFormat="1" x14ac:dyDescent="0.3"/>
    <row r="3411" s="11" customFormat="1" x14ac:dyDescent="0.3"/>
    <row r="3412" s="11" customFormat="1" x14ac:dyDescent="0.3"/>
    <row r="3413" s="11" customFormat="1" x14ac:dyDescent="0.3"/>
    <row r="3414" s="11" customFormat="1" x14ac:dyDescent="0.3"/>
    <row r="3415" s="11" customFormat="1" x14ac:dyDescent="0.3"/>
    <row r="3416" s="11" customFormat="1" x14ac:dyDescent="0.3"/>
    <row r="3417" s="11" customFormat="1" x14ac:dyDescent="0.3"/>
    <row r="3418" s="11" customFormat="1" x14ac:dyDescent="0.3"/>
    <row r="3419" s="11" customFormat="1" x14ac:dyDescent="0.3"/>
    <row r="3420" s="11" customFormat="1" x14ac:dyDescent="0.3"/>
    <row r="3421" s="11" customFormat="1" x14ac:dyDescent="0.3"/>
    <row r="3422" s="11" customFormat="1" x14ac:dyDescent="0.3"/>
    <row r="3423" s="11" customFormat="1" x14ac:dyDescent="0.3"/>
    <row r="3424" s="11" customFormat="1" x14ac:dyDescent="0.3"/>
    <row r="3425" s="11" customFormat="1" x14ac:dyDescent="0.3"/>
    <row r="3426" s="11" customFormat="1" x14ac:dyDescent="0.3"/>
    <row r="3427" s="11" customFormat="1" x14ac:dyDescent="0.3"/>
    <row r="3428" s="11" customFormat="1" x14ac:dyDescent="0.3"/>
    <row r="3429" s="11" customFormat="1" x14ac:dyDescent="0.3"/>
    <row r="3430" s="11" customFormat="1" x14ac:dyDescent="0.3"/>
    <row r="3431" s="11" customFormat="1" x14ac:dyDescent="0.3"/>
    <row r="3432" s="11" customFormat="1" x14ac:dyDescent="0.3"/>
    <row r="3433" s="11" customFormat="1" x14ac:dyDescent="0.3"/>
    <row r="3434" s="11" customFormat="1" x14ac:dyDescent="0.3"/>
    <row r="3435" s="11" customFormat="1" x14ac:dyDescent="0.3"/>
    <row r="3436" s="11" customFormat="1" x14ac:dyDescent="0.3"/>
    <row r="3437" s="11" customFormat="1" x14ac:dyDescent="0.3"/>
    <row r="3438" s="11" customFormat="1" x14ac:dyDescent="0.3"/>
    <row r="3439" s="11" customFormat="1" x14ac:dyDescent="0.3"/>
    <row r="3440" s="11" customFormat="1" x14ac:dyDescent="0.3"/>
    <row r="3441" s="11" customFormat="1" x14ac:dyDescent="0.3"/>
    <row r="3442" s="11" customFormat="1" x14ac:dyDescent="0.3"/>
    <row r="3443" s="11" customFormat="1" x14ac:dyDescent="0.3"/>
    <row r="3444" s="11" customFormat="1" x14ac:dyDescent="0.3"/>
    <row r="3445" s="11" customFormat="1" x14ac:dyDescent="0.3"/>
    <row r="3446" s="11" customFormat="1" x14ac:dyDescent="0.3"/>
    <row r="3447" s="11" customFormat="1" x14ac:dyDescent="0.3"/>
    <row r="3448" s="11" customFormat="1" x14ac:dyDescent="0.3"/>
    <row r="3449" s="11" customFormat="1" x14ac:dyDescent="0.3"/>
    <row r="3450" s="11" customFormat="1" x14ac:dyDescent="0.3"/>
    <row r="3451" s="11" customFormat="1" x14ac:dyDescent="0.3"/>
    <row r="3452" s="11" customFormat="1" x14ac:dyDescent="0.3"/>
    <row r="3453" s="11" customFormat="1" x14ac:dyDescent="0.3"/>
    <row r="3454" s="11" customFormat="1" x14ac:dyDescent="0.3"/>
    <row r="3455" s="11" customFormat="1" x14ac:dyDescent="0.3"/>
    <row r="3456" s="11" customFormat="1" x14ac:dyDescent="0.3"/>
    <row r="3457" s="11" customFormat="1" x14ac:dyDescent="0.3"/>
    <row r="3458" s="11" customFormat="1" x14ac:dyDescent="0.3"/>
    <row r="3459" s="11" customFormat="1" x14ac:dyDescent="0.3"/>
    <row r="3460" s="11" customFormat="1" x14ac:dyDescent="0.3"/>
    <row r="3461" s="11" customFormat="1" x14ac:dyDescent="0.3"/>
    <row r="3462" s="11" customFormat="1" x14ac:dyDescent="0.3"/>
    <row r="3463" s="11" customFormat="1" x14ac:dyDescent="0.3"/>
    <row r="3464" s="11" customFormat="1" x14ac:dyDescent="0.3"/>
    <row r="3465" s="11" customFormat="1" x14ac:dyDescent="0.3"/>
    <row r="3466" s="11" customFormat="1" x14ac:dyDescent="0.3"/>
    <row r="3467" s="11" customFormat="1" x14ac:dyDescent="0.3"/>
    <row r="3468" s="11" customFormat="1" x14ac:dyDescent="0.3"/>
    <row r="3469" s="11" customFormat="1" x14ac:dyDescent="0.3"/>
    <row r="3470" s="11" customFormat="1" x14ac:dyDescent="0.3"/>
    <row r="3471" s="11" customFormat="1" x14ac:dyDescent="0.3"/>
    <row r="3472" s="11" customFormat="1" x14ac:dyDescent="0.3"/>
    <row r="3473" s="11" customFormat="1" x14ac:dyDescent="0.3"/>
    <row r="3474" s="11" customFormat="1" x14ac:dyDescent="0.3"/>
    <row r="3475" s="11" customFormat="1" x14ac:dyDescent="0.3"/>
    <row r="3476" s="11" customFormat="1" x14ac:dyDescent="0.3"/>
    <row r="3477" s="11" customFormat="1" x14ac:dyDescent="0.3"/>
    <row r="3478" s="11" customFormat="1" x14ac:dyDescent="0.3"/>
    <row r="3479" s="11" customFormat="1" x14ac:dyDescent="0.3"/>
    <row r="3480" s="11" customFormat="1" x14ac:dyDescent="0.3"/>
    <row r="3481" s="11" customFormat="1" x14ac:dyDescent="0.3"/>
    <row r="3482" s="11" customFormat="1" x14ac:dyDescent="0.3"/>
    <row r="3483" s="11" customFormat="1" x14ac:dyDescent="0.3"/>
    <row r="3484" s="11" customFormat="1" x14ac:dyDescent="0.3"/>
    <row r="3485" s="11" customFormat="1" x14ac:dyDescent="0.3"/>
    <row r="3486" s="11" customFormat="1" x14ac:dyDescent="0.3"/>
    <row r="3487" s="11" customFormat="1" x14ac:dyDescent="0.3"/>
    <row r="3488" s="11" customFormat="1" x14ac:dyDescent="0.3"/>
    <row r="3489" s="11" customFormat="1" x14ac:dyDescent="0.3"/>
    <row r="3490" s="11" customFormat="1" x14ac:dyDescent="0.3"/>
    <row r="3491" s="11" customFormat="1" x14ac:dyDescent="0.3"/>
    <row r="3492" s="11" customFormat="1" x14ac:dyDescent="0.3"/>
    <row r="3493" s="11" customFormat="1" x14ac:dyDescent="0.3"/>
    <row r="3494" s="11" customFormat="1" x14ac:dyDescent="0.3"/>
    <row r="3495" s="11" customFormat="1" x14ac:dyDescent="0.3"/>
    <row r="3496" s="11" customFormat="1" x14ac:dyDescent="0.3"/>
    <row r="3497" s="11" customFormat="1" x14ac:dyDescent="0.3"/>
    <row r="3498" s="11" customFormat="1" x14ac:dyDescent="0.3"/>
    <row r="3499" s="11" customFormat="1" x14ac:dyDescent="0.3"/>
    <row r="3500" s="11" customFormat="1" x14ac:dyDescent="0.3"/>
    <row r="3501" s="11" customFormat="1" x14ac:dyDescent="0.3"/>
    <row r="3502" s="11" customFormat="1" x14ac:dyDescent="0.3"/>
    <row r="3503" s="11" customFormat="1" x14ac:dyDescent="0.3"/>
    <row r="3504" s="11" customFormat="1" x14ac:dyDescent="0.3"/>
    <row r="3505" s="11" customFormat="1" x14ac:dyDescent="0.3"/>
    <row r="3506" s="11" customFormat="1" x14ac:dyDescent="0.3"/>
    <row r="3507" s="11" customFormat="1" x14ac:dyDescent="0.3"/>
    <row r="3508" s="11" customFormat="1" x14ac:dyDescent="0.3"/>
    <row r="3509" s="11" customFormat="1" x14ac:dyDescent="0.3"/>
    <row r="3510" s="11" customFormat="1" x14ac:dyDescent="0.3"/>
    <row r="3511" s="11" customFormat="1" x14ac:dyDescent="0.3"/>
    <row r="3512" s="11" customFormat="1" x14ac:dyDescent="0.3"/>
    <row r="3513" s="11" customFormat="1" x14ac:dyDescent="0.3"/>
    <row r="3514" s="11" customFormat="1" x14ac:dyDescent="0.3"/>
    <row r="3515" s="11" customFormat="1" x14ac:dyDescent="0.3"/>
    <row r="3516" s="11" customFormat="1" x14ac:dyDescent="0.3"/>
    <row r="3517" s="11" customFormat="1" x14ac:dyDescent="0.3"/>
    <row r="3518" s="11" customFormat="1" x14ac:dyDescent="0.3"/>
    <row r="3519" s="11" customFormat="1" x14ac:dyDescent="0.3"/>
    <row r="3520" s="11" customFormat="1" x14ac:dyDescent="0.3"/>
    <row r="3521" s="11" customFormat="1" x14ac:dyDescent="0.3"/>
    <row r="3522" s="11" customFormat="1" x14ac:dyDescent="0.3"/>
    <row r="3523" s="11" customFormat="1" x14ac:dyDescent="0.3"/>
    <row r="3524" s="11" customFormat="1" x14ac:dyDescent="0.3"/>
    <row r="3525" s="11" customFormat="1" x14ac:dyDescent="0.3"/>
    <row r="3526" s="11" customFormat="1" x14ac:dyDescent="0.3"/>
    <row r="3527" s="11" customFormat="1" x14ac:dyDescent="0.3"/>
    <row r="3528" s="11" customFormat="1" x14ac:dyDescent="0.3"/>
    <row r="3529" s="11" customFormat="1" x14ac:dyDescent="0.3"/>
    <row r="3530" s="11" customFormat="1" x14ac:dyDescent="0.3"/>
    <row r="3531" s="11" customFormat="1" x14ac:dyDescent="0.3"/>
    <row r="3532" s="11" customFormat="1" x14ac:dyDescent="0.3"/>
    <row r="3533" s="11" customFormat="1" x14ac:dyDescent="0.3"/>
    <row r="3534" s="11" customFormat="1" x14ac:dyDescent="0.3"/>
    <row r="3535" s="11" customFormat="1" x14ac:dyDescent="0.3"/>
    <row r="3536" s="11" customFormat="1" x14ac:dyDescent="0.3"/>
    <row r="3537" s="11" customFormat="1" x14ac:dyDescent="0.3"/>
    <row r="3538" s="11" customFormat="1" x14ac:dyDescent="0.3"/>
    <row r="3539" s="11" customFormat="1" x14ac:dyDescent="0.3"/>
    <row r="3540" s="11" customFormat="1" x14ac:dyDescent="0.3"/>
    <row r="3541" s="11" customFormat="1" x14ac:dyDescent="0.3"/>
    <row r="3542" s="11" customFormat="1" x14ac:dyDescent="0.3"/>
    <row r="3543" s="11" customFormat="1" x14ac:dyDescent="0.3"/>
    <row r="3544" s="11" customFormat="1" x14ac:dyDescent="0.3"/>
    <row r="3545" s="11" customFormat="1" x14ac:dyDescent="0.3"/>
    <row r="3546" s="11" customFormat="1" x14ac:dyDescent="0.3"/>
    <row r="3547" s="11" customFormat="1" x14ac:dyDescent="0.3"/>
    <row r="3548" s="11" customFormat="1" x14ac:dyDescent="0.3"/>
    <row r="3549" s="11" customFormat="1" x14ac:dyDescent="0.3"/>
    <row r="3550" s="11" customFormat="1" x14ac:dyDescent="0.3"/>
    <row r="3551" s="11" customFormat="1" x14ac:dyDescent="0.3"/>
    <row r="3552" s="11" customFormat="1" x14ac:dyDescent="0.3"/>
    <row r="3553" s="11" customFormat="1" x14ac:dyDescent="0.3"/>
    <row r="3554" s="11" customFormat="1" x14ac:dyDescent="0.3"/>
    <row r="3555" s="11" customFormat="1" x14ac:dyDescent="0.3"/>
    <row r="3556" s="11" customFormat="1" x14ac:dyDescent="0.3"/>
    <row r="3557" s="11" customFormat="1" x14ac:dyDescent="0.3"/>
    <row r="3558" s="11" customFormat="1" x14ac:dyDescent="0.3"/>
    <row r="3559" s="11" customFormat="1" x14ac:dyDescent="0.3"/>
    <row r="3560" s="11" customFormat="1" x14ac:dyDescent="0.3"/>
    <row r="3561" s="11" customFormat="1" x14ac:dyDescent="0.3"/>
    <row r="3562" s="11" customFormat="1" x14ac:dyDescent="0.3"/>
    <row r="3563" s="11" customFormat="1" x14ac:dyDescent="0.3"/>
    <row r="3564" s="11" customFormat="1" x14ac:dyDescent="0.3"/>
    <row r="3565" s="11" customFormat="1" x14ac:dyDescent="0.3"/>
    <row r="3566" s="11" customFormat="1" x14ac:dyDescent="0.3"/>
    <row r="3567" s="11" customFormat="1" x14ac:dyDescent="0.3"/>
    <row r="3568" s="11" customFormat="1" x14ac:dyDescent="0.3"/>
    <row r="3569" s="11" customFormat="1" x14ac:dyDescent="0.3"/>
    <row r="3570" s="11" customFormat="1" x14ac:dyDescent="0.3"/>
    <row r="3571" s="11" customFormat="1" x14ac:dyDescent="0.3"/>
    <row r="3572" s="11" customFormat="1" x14ac:dyDescent="0.3"/>
    <row r="3573" s="11" customFormat="1" x14ac:dyDescent="0.3"/>
    <row r="3574" s="11" customFormat="1" x14ac:dyDescent="0.3"/>
    <row r="3575" s="11" customFormat="1" x14ac:dyDescent="0.3"/>
    <row r="3576" s="11" customFormat="1" x14ac:dyDescent="0.3"/>
    <row r="3577" s="11" customFormat="1" x14ac:dyDescent="0.3"/>
    <row r="3578" s="11" customFormat="1" x14ac:dyDescent="0.3"/>
    <row r="3579" s="11" customFormat="1" x14ac:dyDescent="0.3"/>
    <row r="3580" s="11" customFormat="1" x14ac:dyDescent="0.3"/>
    <row r="3581" s="11" customFormat="1" x14ac:dyDescent="0.3"/>
    <row r="3582" s="11" customFormat="1" x14ac:dyDescent="0.3"/>
    <row r="3583" s="11" customFormat="1" x14ac:dyDescent="0.3"/>
    <row r="3584" s="11" customFormat="1" x14ac:dyDescent="0.3"/>
    <row r="3585" s="11" customFormat="1" x14ac:dyDescent="0.3"/>
    <row r="3586" s="11" customFormat="1" x14ac:dyDescent="0.3"/>
    <row r="3587" s="11" customFormat="1" x14ac:dyDescent="0.3"/>
    <row r="3588" s="11" customFormat="1" x14ac:dyDescent="0.3"/>
    <row r="3589" s="11" customFormat="1" x14ac:dyDescent="0.3"/>
    <row r="3590" s="11" customFormat="1" x14ac:dyDescent="0.3"/>
    <row r="3591" s="11" customFormat="1" x14ac:dyDescent="0.3"/>
    <row r="3592" s="11" customFormat="1" x14ac:dyDescent="0.3"/>
    <row r="3593" s="11" customFormat="1" x14ac:dyDescent="0.3"/>
    <row r="3594" s="11" customFormat="1" x14ac:dyDescent="0.3"/>
    <row r="3595" s="11" customFormat="1" x14ac:dyDescent="0.3"/>
    <row r="3596" s="11" customFormat="1" x14ac:dyDescent="0.3"/>
    <row r="3597" s="11" customFormat="1" x14ac:dyDescent="0.3"/>
    <row r="3598" s="11" customFormat="1" x14ac:dyDescent="0.3"/>
    <row r="3599" s="11" customFormat="1" x14ac:dyDescent="0.3"/>
    <row r="3600" s="11" customFormat="1" x14ac:dyDescent="0.3"/>
    <row r="3601" s="11" customFormat="1" x14ac:dyDescent="0.3"/>
    <row r="3602" s="11" customFormat="1" x14ac:dyDescent="0.3"/>
    <row r="3603" s="11" customFormat="1" x14ac:dyDescent="0.3"/>
    <row r="3604" s="11" customFormat="1" x14ac:dyDescent="0.3"/>
    <row r="3605" s="11" customFormat="1" x14ac:dyDescent="0.3"/>
    <row r="3606" s="11" customFormat="1" x14ac:dyDescent="0.3"/>
    <row r="3607" s="11" customFormat="1" x14ac:dyDescent="0.3"/>
    <row r="3608" s="11" customFormat="1" x14ac:dyDescent="0.3"/>
    <row r="3609" s="11" customFormat="1" x14ac:dyDescent="0.3"/>
    <row r="3610" s="11" customFormat="1" x14ac:dyDescent="0.3"/>
    <row r="3611" s="11" customFormat="1" x14ac:dyDescent="0.3"/>
    <row r="3612" s="11" customFormat="1" x14ac:dyDescent="0.3"/>
    <row r="3613" s="11" customFormat="1" x14ac:dyDescent="0.3"/>
    <row r="3614" s="11" customFormat="1" x14ac:dyDescent="0.3"/>
    <row r="3615" s="11" customFormat="1" x14ac:dyDescent="0.3"/>
    <row r="3616" s="11" customFormat="1" x14ac:dyDescent="0.3"/>
    <row r="3617" s="11" customFormat="1" x14ac:dyDescent="0.3"/>
    <row r="3618" s="11" customFormat="1" x14ac:dyDescent="0.3"/>
    <row r="3619" s="11" customFormat="1" x14ac:dyDescent="0.3"/>
    <row r="3620" s="11" customFormat="1" x14ac:dyDescent="0.3"/>
    <row r="3621" s="11" customFormat="1" x14ac:dyDescent="0.3"/>
    <row r="3622" s="11" customFormat="1" x14ac:dyDescent="0.3"/>
    <row r="3623" s="11" customFormat="1" x14ac:dyDescent="0.3"/>
    <row r="3624" s="11" customFormat="1" x14ac:dyDescent="0.3"/>
    <row r="3625" s="11" customFormat="1" x14ac:dyDescent="0.3"/>
    <row r="3626" s="11" customFormat="1" x14ac:dyDescent="0.3"/>
    <row r="3627" s="11" customFormat="1" x14ac:dyDescent="0.3"/>
    <row r="3628" s="11" customFormat="1" x14ac:dyDescent="0.3"/>
    <row r="3629" s="11" customFormat="1" x14ac:dyDescent="0.3"/>
    <row r="3630" s="11" customFormat="1" x14ac:dyDescent="0.3"/>
    <row r="3631" s="11" customFormat="1" x14ac:dyDescent="0.3"/>
    <row r="3632" s="11" customFormat="1" x14ac:dyDescent="0.3"/>
    <row r="3633" s="11" customFormat="1" x14ac:dyDescent="0.3"/>
    <row r="3634" s="11" customFormat="1" x14ac:dyDescent="0.3"/>
    <row r="3635" s="11" customFormat="1" x14ac:dyDescent="0.3"/>
    <row r="3636" s="11" customFormat="1" x14ac:dyDescent="0.3"/>
    <row r="3637" s="11" customFormat="1" x14ac:dyDescent="0.3"/>
    <row r="3638" s="11" customFormat="1" x14ac:dyDescent="0.3"/>
    <row r="3639" s="11" customFormat="1" x14ac:dyDescent="0.3"/>
    <row r="3640" s="11" customFormat="1" x14ac:dyDescent="0.3"/>
    <row r="3641" s="11" customFormat="1" x14ac:dyDescent="0.3"/>
    <row r="3642" s="11" customFormat="1" x14ac:dyDescent="0.3"/>
    <row r="3643" s="11" customFormat="1" x14ac:dyDescent="0.3"/>
    <row r="3644" s="11" customFormat="1" x14ac:dyDescent="0.3"/>
    <row r="3645" s="11" customFormat="1" x14ac:dyDescent="0.3"/>
    <row r="3646" s="11" customFormat="1" x14ac:dyDescent="0.3"/>
    <row r="3647" s="11" customFormat="1" x14ac:dyDescent="0.3"/>
    <row r="3648" s="11" customFormat="1" x14ac:dyDescent="0.3"/>
    <row r="3649" s="11" customFormat="1" x14ac:dyDescent="0.3"/>
    <row r="3650" s="11" customFormat="1" x14ac:dyDescent="0.3"/>
    <row r="3651" s="11" customFormat="1" x14ac:dyDescent="0.3"/>
    <row r="3652" s="11" customFormat="1" x14ac:dyDescent="0.3"/>
    <row r="3653" s="11" customFormat="1" x14ac:dyDescent="0.3"/>
    <row r="3654" s="11" customFormat="1" x14ac:dyDescent="0.3"/>
    <row r="3655" s="11" customFormat="1" x14ac:dyDescent="0.3"/>
    <row r="3656" s="11" customFormat="1" x14ac:dyDescent="0.3"/>
    <row r="3657" s="11" customFormat="1" x14ac:dyDescent="0.3"/>
    <row r="3658" s="11" customFormat="1" x14ac:dyDescent="0.3"/>
    <row r="3659" s="11" customFormat="1" x14ac:dyDescent="0.3"/>
    <row r="3660" s="11" customFormat="1" x14ac:dyDescent="0.3"/>
    <row r="3661" s="11" customFormat="1" x14ac:dyDescent="0.3"/>
    <row r="3662" s="11" customFormat="1" x14ac:dyDescent="0.3"/>
    <row r="3663" s="11" customFormat="1" x14ac:dyDescent="0.3"/>
    <row r="3664" s="11" customFormat="1" x14ac:dyDescent="0.3"/>
    <row r="3665" s="11" customFormat="1" x14ac:dyDescent="0.3"/>
    <row r="3666" s="11" customFormat="1" x14ac:dyDescent="0.3"/>
    <row r="3667" s="11" customFormat="1" x14ac:dyDescent="0.3"/>
    <row r="3668" s="11" customFormat="1" x14ac:dyDescent="0.3"/>
    <row r="3669" s="11" customFormat="1" x14ac:dyDescent="0.3"/>
    <row r="3670" s="11" customFormat="1" x14ac:dyDescent="0.3"/>
    <row r="3671" s="11" customFormat="1" x14ac:dyDescent="0.3"/>
    <row r="3672" s="11" customFormat="1" x14ac:dyDescent="0.3"/>
    <row r="3673" s="11" customFormat="1" x14ac:dyDescent="0.3"/>
    <row r="3674" s="11" customFormat="1" x14ac:dyDescent="0.3"/>
    <row r="3675" s="11" customFormat="1" x14ac:dyDescent="0.3"/>
    <row r="3676" s="11" customFormat="1" x14ac:dyDescent="0.3"/>
    <row r="3677" s="11" customFormat="1" x14ac:dyDescent="0.3"/>
    <row r="3678" s="11" customFormat="1" x14ac:dyDescent="0.3"/>
    <row r="3679" s="11" customFormat="1" x14ac:dyDescent="0.3"/>
    <row r="3680" s="11" customFormat="1" x14ac:dyDescent="0.3"/>
    <row r="3681" s="11" customFormat="1" x14ac:dyDescent="0.3"/>
    <row r="3682" s="11" customFormat="1" x14ac:dyDescent="0.3"/>
    <row r="3683" s="11" customFormat="1" x14ac:dyDescent="0.3"/>
    <row r="3684" s="11" customFormat="1" x14ac:dyDescent="0.3"/>
    <row r="3685" s="11" customFormat="1" x14ac:dyDescent="0.3"/>
    <row r="3686" s="11" customFormat="1" x14ac:dyDescent="0.3"/>
    <row r="3687" s="11" customFormat="1" x14ac:dyDescent="0.3"/>
    <row r="3688" s="11" customFormat="1" x14ac:dyDescent="0.3"/>
    <row r="3689" s="11" customFormat="1" x14ac:dyDescent="0.3"/>
    <row r="3690" s="11" customFormat="1" x14ac:dyDescent="0.3"/>
    <row r="3691" s="11" customFormat="1" x14ac:dyDescent="0.3"/>
    <row r="3692" s="11" customFormat="1" x14ac:dyDescent="0.3"/>
    <row r="3693" s="11" customFormat="1" x14ac:dyDescent="0.3"/>
    <row r="3694" s="11" customFormat="1" x14ac:dyDescent="0.3"/>
    <row r="3695" s="11" customFormat="1" x14ac:dyDescent="0.3"/>
    <row r="3696" s="11" customFormat="1" x14ac:dyDescent="0.3"/>
    <row r="3697" s="11" customFormat="1" x14ac:dyDescent="0.3"/>
    <row r="3698" s="11" customFormat="1" x14ac:dyDescent="0.3"/>
    <row r="3699" s="11" customFormat="1" x14ac:dyDescent="0.3"/>
    <row r="3700" s="11" customFormat="1" x14ac:dyDescent="0.3"/>
    <row r="3701" s="11" customFormat="1" x14ac:dyDescent="0.3"/>
    <row r="3702" s="11" customFormat="1" x14ac:dyDescent="0.3"/>
    <row r="3703" s="11" customFormat="1" x14ac:dyDescent="0.3"/>
    <row r="3704" s="11" customFormat="1" x14ac:dyDescent="0.3"/>
    <row r="3705" s="11" customFormat="1" x14ac:dyDescent="0.3"/>
    <row r="3706" s="11" customFormat="1" x14ac:dyDescent="0.3"/>
    <row r="3707" s="11" customFormat="1" x14ac:dyDescent="0.3"/>
    <row r="3708" s="11" customFormat="1" x14ac:dyDescent="0.3"/>
    <row r="3709" s="11" customFormat="1" x14ac:dyDescent="0.3"/>
    <row r="3710" s="11" customFormat="1" x14ac:dyDescent="0.3"/>
    <row r="3711" s="11" customFormat="1" x14ac:dyDescent="0.3"/>
    <row r="3712" s="11" customFormat="1" x14ac:dyDescent="0.3"/>
    <row r="3713" s="11" customFormat="1" x14ac:dyDescent="0.3"/>
    <row r="3714" s="11" customFormat="1" x14ac:dyDescent="0.3"/>
    <row r="3715" s="11" customFormat="1" x14ac:dyDescent="0.3"/>
    <row r="3716" s="11" customFormat="1" x14ac:dyDescent="0.3"/>
    <row r="3717" s="11" customFormat="1" x14ac:dyDescent="0.3"/>
    <row r="3718" s="11" customFormat="1" x14ac:dyDescent="0.3"/>
    <row r="3719" s="11" customFormat="1" x14ac:dyDescent="0.3"/>
    <row r="3720" s="11" customFormat="1" x14ac:dyDescent="0.3"/>
    <row r="3721" s="11" customFormat="1" x14ac:dyDescent="0.3"/>
    <row r="3722" s="11" customFormat="1" x14ac:dyDescent="0.3"/>
    <row r="3723" s="11" customFormat="1" x14ac:dyDescent="0.3"/>
    <row r="3724" s="11" customFormat="1" x14ac:dyDescent="0.3"/>
    <row r="3725" s="11" customFormat="1" x14ac:dyDescent="0.3"/>
    <row r="3726" s="11" customFormat="1" x14ac:dyDescent="0.3"/>
    <row r="3727" s="11" customFormat="1" x14ac:dyDescent="0.3"/>
    <row r="3728" s="11" customFormat="1" x14ac:dyDescent="0.3"/>
    <row r="3729" s="11" customFormat="1" x14ac:dyDescent="0.3"/>
    <row r="3730" s="11" customFormat="1" x14ac:dyDescent="0.3"/>
    <row r="3731" s="11" customFormat="1" x14ac:dyDescent="0.3"/>
    <row r="3732" s="11" customFormat="1" x14ac:dyDescent="0.3"/>
    <row r="3733" s="11" customFormat="1" x14ac:dyDescent="0.3"/>
    <row r="3734" s="11" customFormat="1" x14ac:dyDescent="0.3"/>
    <row r="3735" s="11" customFormat="1" x14ac:dyDescent="0.3"/>
    <row r="3736" s="11" customFormat="1" x14ac:dyDescent="0.3"/>
    <row r="3737" s="11" customFormat="1" x14ac:dyDescent="0.3"/>
    <row r="3738" s="11" customFormat="1" x14ac:dyDescent="0.3"/>
    <row r="3739" s="11" customFormat="1" x14ac:dyDescent="0.3"/>
    <row r="3740" s="11" customFormat="1" x14ac:dyDescent="0.3"/>
    <row r="3741" s="11" customFormat="1" x14ac:dyDescent="0.3"/>
    <row r="3742" s="11" customFormat="1" x14ac:dyDescent="0.3"/>
    <row r="3743" s="11" customFormat="1" x14ac:dyDescent="0.3"/>
    <row r="3744" s="11" customFormat="1" x14ac:dyDescent="0.3"/>
    <row r="3745" s="11" customFormat="1" x14ac:dyDescent="0.3"/>
    <row r="3746" s="11" customFormat="1" x14ac:dyDescent="0.3"/>
    <row r="3747" s="11" customFormat="1" x14ac:dyDescent="0.3"/>
    <row r="3748" s="11" customFormat="1" x14ac:dyDescent="0.3"/>
    <row r="3749" s="11" customFormat="1" x14ac:dyDescent="0.3"/>
    <row r="3750" s="11" customFormat="1" x14ac:dyDescent="0.3"/>
    <row r="3751" s="11" customFormat="1" x14ac:dyDescent="0.3"/>
    <row r="3752" s="11" customFormat="1" x14ac:dyDescent="0.3"/>
    <row r="3753" s="11" customFormat="1" x14ac:dyDescent="0.3"/>
    <row r="3754" s="11" customFormat="1" x14ac:dyDescent="0.3"/>
    <row r="3755" s="11" customFormat="1" x14ac:dyDescent="0.3"/>
    <row r="3756" s="11" customFormat="1" x14ac:dyDescent="0.3"/>
    <row r="3757" s="11" customFormat="1" x14ac:dyDescent="0.3"/>
    <row r="3758" s="11" customFormat="1" x14ac:dyDescent="0.3"/>
    <row r="3759" s="11" customFormat="1" x14ac:dyDescent="0.3"/>
    <row r="3760" s="11" customFormat="1" x14ac:dyDescent="0.3"/>
    <row r="3761" s="11" customFormat="1" x14ac:dyDescent="0.3"/>
    <row r="3762" s="11" customFormat="1" x14ac:dyDescent="0.3"/>
    <row r="3763" s="11" customFormat="1" x14ac:dyDescent="0.3"/>
    <row r="3764" s="11" customFormat="1" x14ac:dyDescent="0.3"/>
    <row r="3765" s="11" customFormat="1" x14ac:dyDescent="0.3"/>
    <row r="3766" s="11" customFormat="1" x14ac:dyDescent="0.3"/>
    <row r="3767" s="11" customFormat="1" x14ac:dyDescent="0.3"/>
    <row r="3768" s="11" customFormat="1" x14ac:dyDescent="0.3"/>
    <row r="3769" s="11" customFormat="1" x14ac:dyDescent="0.3"/>
    <row r="3770" s="11" customFormat="1" x14ac:dyDescent="0.3"/>
    <row r="3771" s="11" customFormat="1" x14ac:dyDescent="0.3"/>
    <row r="3772" s="11" customFormat="1" x14ac:dyDescent="0.3"/>
    <row r="3773" s="11" customFormat="1" x14ac:dyDescent="0.3"/>
    <row r="3774" s="11" customFormat="1" x14ac:dyDescent="0.3"/>
    <row r="3775" s="11" customFormat="1" x14ac:dyDescent="0.3"/>
    <row r="3776" s="11" customFormat="1" x14ac:dyDescent="0.3"/>
    <row r="3777" s="11" customFormat="1" x14ac:dyDescent="0.3"/>
    <row r="3778" s="11" customFormat="1" x14ac:dyDescent="0.3"/>
    <row r="3779" s="11" customFormat="1" x14ac:dyDescent="0.3"/>
    <row r="3780" s="11" customFormat="1" x14ac:dyDescent="0.3"/>
    <row r="3781" s="11" customFormat="1" x14ac:dyDescent="0.3"/>
    <row r="3782" s="11" customFormat="1" x14ac:dyDescent="0.3"/>
    <row r="3783" s="11" customFormat="1" x14ac:dyDescent="0.3"/>
    <row r="3784" s="11" customFormat="1" x14ac:dyDescent="0.3"/>
    <row r="3785" s="11" customFormat="1" x14ac:dyDescent="0.3"/>
    <row r="3786" s="11" customFormat="1" x14ac:dyDescent="0.3"/>
    <row r="3787" s="11" customFormat="1" x14ac:dyDescent="0.3"/>
    <row r="3788" s="11" customFormat="1" x14ac:dyDescent="0.3"/>
    <row r="3789" s="11" customFormat="1" x14ac:dyDescent="0.3"/>
    <row r="3790" s="11" customFormat="1" x14ac:dyDescent="0.3"/>
    <row r="3791" s="11" customFormat="1" x14ac:dyDescent="0.3"/>
    <row r="3792" s="11" customFormat="1" x14ac:dyDescent="0.3"/>
    <row r="3793" s="11" customFormat="1" x14ac:dyDescent="0.3"/>
    <row r="3794" s="11" customFormat="1" x14ac:dyDescent="0.3"/>
    <row r="3795" s="11" customFormat="1" x14ac:dyDescent="0.3"/>
    <row r="3796" s="11" customFormat="1" x14ac:dyDescent="0.3"/>
    <row r="3797" s="11" customFormat="1" x14ac:dyDescent="0.3"/>
    <row r="3798" s="11" customFormat="1" x14ac:dyDescent="0.3"/>
    <row r="3799" s="11" customFormat="1" x14ac:dyDescent="0.3"/>
    <row r="3800" s="11" customFormat="1" x14ac:dyDescent="0.3"/>
    <row r="3801" s="11" customFormat="1" x14ac:dyDescent="0.3"/>
    <row r="3802" s="11" customFormat="1" x14ac:dyDescent="0.3"/>
    <row r="3803" s="11" customFormat="1" x14ac:dyDescent="0.3"/>
    <row r="3804" s="11" customFormat="1" x14ac:dyDescent="0.3"/>
    <row r="3805" s="11" customFormat="1" x14ac:dyDescent="0.3"/>
    <row r="3806" s="11" customFormat="1" x14ac:dyDescent="0.3"/>
    <row r="3807" s="11" customFormat="1" x14ac:dyDescent="0.3"/>
    <row r="3808" s="11" customFormat="1" x14ac:dyDescent="0.3"/>
    <row r="3809" s="11" customFormat="1" x14ac:dyDescent="0.3"/>
    <row r="3810" s="11" customFormat="1" x14ac:dyDescent="0.3"/>
    <row r="3811" s="11" customFormat="1" x14ac:dyDescent="0.3"/>
    <row r="3812" s="11" customFormat="1" x14ac:dyDescent="0.3"/>
    <row r="3813" s="11" customFormat="1" x14ac:dyDescent="0.3"/>
    <row r="3814" s="11" customFormat="1" x14ac:dyDescent="0.3"/>
    <row r="3815" s="11" customFormat="1" x14ac:dyDescent="0.3"/>
    <row r="3816" s="11" customFormat="1" x14ac:dyDescent="0.3"/>
    <row r="3817" s="11" customFormat="1" x14ac:dyDescent="0.3"/>
    <row r="3818" s="11" customFormat="1" x14ac:dyDescent="0.3"/>
    <row r="3819" s="11" customFormat="1" x14ac:dyDescent="0.3"/>
    <row r="3820" s="11" customFormat="1" x14ac:dyDescent="0.3"/>
    <row r="3821" s="11" customFormat="1" x14ac:dyDescent="0.3"/>
    <row r="3822" s="11" customFormat="1" x14ac:dyDescent="0.3"/>
    <row r="3823" s="11" customFormat="1" x14ac:dyDescent="0.3"/>
    <row r="3824" s="11" customFormat="1" x14ac:dyDescent="0.3"/>
    <row r="3825" s="11" customFormat="1" x14ac:dyDescent="0.3"/>
    <row r="3826" s="11" customFormat="1" x14ac:dyDescent="0.3"/>
    <row r="3827" s="11" customFormat="1" x14ac:dyDescent="0.3"/>
    <row r="3828" s="11" customFormat="1" x14ac:dyDescent="0.3"/>
    <row r="3829" s="11" customFormat="1" x14ac:dyDescent="0.3"/>
    <row r="3830" s="11" customFormat="1" x14ac:dyDescent="0.3"/>
    <row r="3831" s="11" customFormat="1" x14ac:dyDescent="0.3"/>
    <row r="3832" s="11" customFormat="1" x14ac:dyDescent="0.3"/>
    <row r="3833" s="11" customFormat="1" x14ac:dyDescent="0.3"/>
    <row r="3834" s="11" customFormat="1" x14ac:dyDescent="0.3"/>
    <row r="3835" s="11" customFormat="1" x14ac:dyDescent="0.3"/>
    <row r="3836" s="11" customFormat="1" x14ac:dyDescent="0.3"/>
    <row r="3837" s="11" customFormat="1" x14ac:dyDescent="0.3"/>
    <row r="3838" s="11" customFormat="1" x14ac:dyDescent="0.3"/>
    <row r="3839" s="11" customFormat="1" x14ac:dyDescent="0.3"/>
    <row r="3840" s="11" customFormat="1" x14ac:dyDescent="0.3"/>
    <row r="3841" s="11" customFormat="1" x14ac:dyDescent="0.3"/>
    <row r="3842" s="11" customFormat="1" x14ac:dyDescent="0.3"/>
    <row r="3843" s="11" customFormat="1" x14ac:dyDescent="0.3"/>
    <row r="3844" s="11" customFormat="1" x14ac:dyDescent="0.3"/>
    <row r="3845" s="11" customFormat="1" x14ac:dyDescent="0.3"/>
    <row r="3846" s="11" customFormat="1" x14ac:dyDescent="0.3"/>
    <row r="3847" s="11" customFormat="1" x14ac:dyDescent="0.3"/>
    <row r="3848" s="11" customFormat="1" x14ac:dyDescent="0.3"/>
    <row r="3849" s="11" customFormat="1" x14ac:dyDescent="0.3"/>
    <row r="3850" s="11" customFormat="1" x14ac:dyDescent="0.3"/>
    <row r="3851" s="11" customFormat="1" x14ac:dyDescent="0.3"/>
    <row r="3852" s="11" customFormat="1" x14ac:dyDescent="0.3"/>
    <row r="3853" s="11" customFormat="1" x14ac:dyDescent="0.3"/>
    <row r="3854" s="11" customFormat="1" x14ac:dyDescent="0.3"/>
    <row r="3855" s="11" customFormat="1" x14ac:dyDescent="0.3"/>
    <row r="3856" s="11" customFormat="1" x14ac:dyDescent="0.3"/>
    <row r="3857" s="11" customFormat="1" x14ac:dyDescent="0.3"/>
    <row r="3858" s="11" customFormat="1" x14ac:dyDescent="0.3"/>
    <row r="3859" s="11" customFormat="1" x14ac:dyDescent="0.3"/>
    <row r="3860" s="11" customFormat="1" x14ac:dyDescent="0.3"/>
    <row r="3861" s="11" customFormat="1" x14ac:dyDescent="0.3"/>
    <row r="3862" s="11" customFormat="1" x14ac:dyDescent="0.3"/>
    <row r="3863" s="11" customFormat="1" x14ac:dyDescent="0.3"/>
    <row r="3864" s="11" customFormat="1" x14ac:dyDescent="0.3"/>
    <row r="3865" s="11" customFormat="1" x14ac:dyDescent="0.3"/>
    <row r="3866" s="11" customFormat="1" x14ac:dyDescent="0.3"/>
    <row r="3867" s="11" customFormat="1" x14ac:dyDescent="0.3"/>
    <row r="3868" s="11" customFormat="1" x14ac:dyDescent="0.3"/>
    <row r="3869" s="11" customFormat="1" x14ac:dyDescent="0.3"/>
    <row r="3870" s="11" customFormat="1" x14ac:dyDescent="0.3"/>
    <row r="3871" s="11" customFormat="1" x14ac:dyDescent="0.3"/>
    <row r="3872" s="11" customFormat="1" x14ac:dyDescent="0.3"/>
    <row r="3873" s="11" customFormat="1" x14ac:dyDescent="0.3"/>
    <row r="3874" s="11" customFormat="1" x14ac:dyDescent="0.3"/>
    <row r="3875" s="11" customFormat="1" x14ac:dyDescent="0.3"/>
    <row r="3876" s="11" customFormat="1" x14ac:dyDescent="0.3"/>
    <row r="3877" s="11" customFormat="1" x14ac:dyDescent="0.3"/>
    <row r="3878" s="11" customFormat="1" x14ac:dyDescent="0.3"/>
    <row r="3879" s="11" customFormat="1" x14ac:dyDescent="0.3"/>
    <row r="3880" s="11" customFormat="1" x14ac:dyDescent="0.3"/>
    <row r="3881" s="11" customFormat="1" x14ac:dyDescent="0.3"/>
    <row r="3882" s="11" customFormat="1" x14ac:dyDescent="0.3"/>
    <row r="3883" s="11" customFormat="1" x14ac:dyDescent="0.3"/>
    <row r="3884" s="11" customFormat="1" x14ac:dyDescent="0.3"/>
    <row r="3885" s="11" customFormat="1" x14ac:dyDescent="0.3"/>
    <row r="3886" s="11" customFormat="1" x14ac:dyDescent="0.3"/>
    <row r="3887" s="11" customFormat="1" x14ac:dyDescent="0.3"/>
    <row r="3888" s="11" customFormat="1" x14ac:dyDescent="0.3"/>
    <row r="3889" s="11" customFormat="1" x14ac:dyDescent="0.3"/>
    <row r="3890" s="11" customFormat="1" x14ac:dyDescent="0.3"/>
    <row r="3891" s="11" customFormat="1" x14ac:dyDescent="0.3"/>
    <row r="3892" s="11" customFormat="1" x14ac:dyDescent="0.3"/>
    <row r="3893" s="11" customFormat="1" x14ac:dyDescent="0.3"/>
    <row r="3894" s="11" customFormat="1" x14ac:dyDescent="0.3"/>
    <row r="3895" s="11" customFormat="1" x14ac:dyDescent="0.3"/>
    <row r="3896" s="11" customFormat="1" x14ac:dyDescent="0.3"/>
    <row r="3897" s="11" customFormat="1" x14ac:dyDescent="0.3"/>
    <row r="3898" s="11" customFormat="1" x14ac:dyDescent="0.3"/>
    <row r="3899" s="11" customFormat="1" x14ac:dyDescent="0.3"/>
    <row r="3900" s="11" customFormat="1" x14ac:dyDescent="0.3"/>
    <row r="3901" s="11" customFormat="1" x14ac:dyDescent="0.3"/>
    <row r="3902" s="11" customFormat="1" x14ac:dyDescent="0.3"/>
    <row r="3903" s="11" customFormat="1" x14ac:dyDescent="0.3"/>
    <row r="3904" s="11" customFormat="1" x14ac:dyDescent="0.3"/>
    <row r="3905" s="11" customFormat="1" x14ac:dyDescent="0.3"/>
    <row r="3906" s="11" customFormat="1" x14ac:dyDescent="0.3"/>
    <row r="3907" s="11" customFormat="1" x14ac:dyDescent="0.3"/>
    <row r="3908" s="11" customFormat="1" x14ac:dyDescent="0.3"/>
    <row r="3909" s="11" customFormat="1" x14ac:dyDescent="0.3"/>
    <row r="3910" s="11" customFormat="1" x14ac:dyDescent="0.3"/>
    <row r="3911" s="11" customFormat="1" x14ac:dyDescent="0.3"/>
    <row r="3912" s="11" customFormat="1" x14ac:dyDescent="0.3"/>
    <row r="3913" s="11" customFormat="1" x14ac:dyDescent="0.3"/>
    <row r="3914" s="11" customFormat="1" x14ac:dyDescent="0.3"/>
    <row r="3915" s="11" customFormat="1" x14ac:dyDescent="0.3"/>
    <row r="3916" s="11" customFormat="1" x14ac:dyDescent="0.3"/>
    <row r="3917" s="11" customFormat="1" x14ac:dyDescent="0.3"/>
    <row r="3918" s="11" customFormat="1" x14ac:dyDescent="0.3"/>
    <row r="3919" s="11" customFormat="1" x14ac:dyDescent="0.3"/>
    <row r="3920" s="11" customFormat="1" x14ac:dyDescent="0.3"/>
    <row r="3921" s="11" customFormat="1" x14ac:dyDescent="0.3"/>
    <row r="3922" s="11" customFormat="1" x14ac:dyDescent="0.3"/>
    <row r="3923" s="11" customFormat="1" x14ac:dyDescent="0.3"/>
    <row r="3924" s="11" customFormat="1" x14ac:dyDescent="0.3"/>
    <row r="3925" s="11" customFormat="1" x14ac:dyDescent="0.3"/>
    <row r="3926" s="11" customFormat="1" x14ac:dyDescent="0.3"/>
    <row r="3927" s="11" customFormat="1" x14ac:dyDescent="0.3"/>
    <row r="3928" s="11" customFormat="1" x14ac:dyDescent="0.3"/>
    <row r="3929" s="11" customFormat="1" x14ac:dyDescent="0.3"/>
    <row r="3930" s="11" customFormat="1" x14ac:dyDescent="0.3"/>
    <row r="3931" s="11" customFormat="1" x14ac:dyDescent="0.3"/>
    <row r="3932" s="11" customFormat="1" x14ac:dyDescent="0.3"/>
    <row r="3933" s="11" customFormat="1" x14ac:dyDescent="0.3"/>
    <row r="3934" s="11" customFormat="1" x14ac:dyDescent="0.3"/>
    <row r="3935" s="11" customFormat="1" x14ac:dyDescent="0.3"/>
    <row r="3936" s="11" customFormat="1" x14ac:dyDescent="0.3"/>
    <row r="3937" s="11" customFormat="1" x14ac:dyDescent="0.3"/>
    <row r="3938" s="11" customFormat="1" x14ac:dyDescent="0.3"/>
    <row r="3939" s="11" customFormat="1" x14ac:dyDescent="0.3"/>
    <row r="3940" s="11" customFormat="1" x14ac:dyDescent="0.3"/>
    <row r="3941" s="11" customFormat="1" x14ac:dyDescent="0.3"/>
    <row r="3942" s="11" customFormat="1" x14ac:dyDescent="0.3"/>
    <row r="3943" s="11" customFormat="1" x14ac:dyDescent="0.3"/>
    <row r="3944" s="11" customFormat="1" x14ac:dyDescent="0.3"/>
    <row r="3945" s="11" customFormat="1" x14ac:dyDescent="0.3"/>
    <row r="3946" s="11" customFormat="1" x14ac:dyDescent="0.3"/>
    <row r="3947" s="11" customFormat="1" x14ac:dyDescent="0.3"/>
    <row r="3948" s="11" customFormat="1" x14ac:dyDescent="0.3"/>
    <row r="3949" s="11" customFormat="1" x14ac:dyDescent="0.3"/>
    <row r="3950" s="11" customFormat="1" x14ac:dyDescent="0.3"/>
    <row r="3951" s="11" customFormat="1" x14ac:dyDescent="0.3"/>
    <row r="3952" s="11" customFormat="1" x14ac:dyDescent="0.3"/>
    <row r="3953" s="11" customFormat="1" x14ac:dyDescent="0.3"/>
    <row r="3954" s="11" customFormat="1" x14ac:dyDescent="0.3"/>
    <row r="3955" s="11" customFormat="1" x14ac:dyDescent="0.3"/>
    <row r="3956" s="11" customFormat="1" x14ac:dyDescent="0.3"/>
    <row r="3957" s="11" customFormat="1" x14ac:dyDescent="0.3"/>
    <row r="3958" s="11" customFormat="1" x14ac:dyDescent="0.3"/>
    <row r="3959" s="11" customFormat="1" x14ac:dyDescent="0.3"/>
    <row r="3960" s="11" customFormat="1" x14ac:dyDescent="0.3"/>
    <row r="3961" s="11" customFormat="1" x14ac:dyDescent="0.3"/>
    <row r="3962" s="11" customFormat="1" x14ac:dyDescent="0.3"/>
    <row r="3963" s="11" customFormat="1" x14ac:dyDescent="0.3"/>
    <row r="3964" s="11" customFormat="1" x14ac:dyDescent="0.3"/>
    <row r="3965" s="11" customFormat="1" x14ac:dyDescent="0.3"/>
    <row r="3966" s="11" customFormat="1" x14ac:dyDescent="0.3"/>
    <row r="3967" s="11" customFormat="1" x14ac:dyDescent="0.3"/>
    <row r="3968" s="11" customFormat="1" x14ac:dyDescent="0.3"/>
    <row r="3969" s="11" customFormat="1" x14ac:dyDescent="0.3"/>
    <row r="3970" s="11" customFormat="1" x14ac:dyDescent="0.3"/>
    <row r="3971" s="11" customFormat="1" x14ac:dyDescent="0.3"/>
    <row r="3972" s="11" customFormat="1" x14ac:dyDescent="0.3"/>
    <row r="3973" s="11" customFormat="1" x14ac:dyDescent="0.3"/>
    <row r="3974" s="11" customFormat="1" x14ac:dyDescent="0.3"/>
    <row r="3975" s="11" customFormat="1" x14ac:dyDescent="0.3"/>
    <row r="3976" s="11" customFormat="1" x14ac:dyDescent="0.3"/>
    <row r="3977" s="11" customFormat="1" x14ac:dyDescent="0.3"/>
    <row r="3978" s="11" customFormat="1" x14ac:dyDescent="0.3"/>
    <row r="3979" s="11" customFormat="1" x14ac:dyDescent="0.3"/>
    <row r="3980" s="11" customFormat="1" x14ac:dyDescent="0.3"/>
    <row r="3981" s="11" customFormat="1" x14ac:dyDescent="0.3"/>
    <row r="3982" s="11" customFormat="1" x14ac:dyDescent="0.3"/>
    <row r="3983" s="11" customFormat="1" x14ac:dyDescent="0.3"/>
    <row r="3984" s="11" customFormat="1" x14ac:dyDescent="0.3"/>
    <row r="3985" s="11" customFormat="1" x14ac:dyDescent="0.3"/>
    <row r="3986" s="11" customFormat="1" x14ac:dyDescent="0.3"/>
    <row r="3987" s="11" customFormat="1" x14ac:dyDescent="0.3"/>
    <row r="3988" s="11" customFormat="1" x14ac:dyDescent="0.3"/>
    <row r="3989" s="11" customFormat="1" x14ac:dyDescent="0.3"/>
    <row r="3990" s="11" customFormat="1" x14ac:dyDescent="0.3"/>
    <row r="3991" s="11" customFormat="1" x14ac:dyDescent="0.3"/>
    <row r="3992" s="11" customFormat="1" x14ac:dyDescent="0.3"/>
    <row r="3993" s="11" customFormat="1" x14ac:dyDescent="0.3"/>
    <row r="3994" s="11" customFormat="1" x14ac:dyDescent="0.3"/>
    <row r="3995" s="11" customFormat="1" x14ac:dyDescent="0.3"/>
    <row r="3996" s="11" customFormat="1" x14ac:dyDescent="0.3"/>
    <row r="3997" s="11" customFormat="1" x14ac:dyDescent="0.3"/>
    <row r="3998" s="11" customFormat="1" x14ac:dyDescent="0.3"/>
    <row r="3999" s="11" customFormat="1" x14ac:dyDescent="0.3"/>
    <row r="4000" s="11" customFormat="1" x14ac:dyDescent="0.3"/>
    <row r="4001" s="11" customFormat="1" x14ac:dyDescent="0.3"/>
    <row r="4002" s="11" customFormat="1" x14ac:dyDescent="0.3"/>
    <row r="4003" s="11" customFormat="1" x14ac:dyDescent="0.3"/>
    <row r="4004" s="11" customFormat="1" x14ac:dyDescent="0.3"/>
    <row r="4005" s="11" customFormat="1" x14ac:dyDescent="0.3"/>
    <row r="4006" s="11" customFormat="1" x14ac:dyDescent="0.3"/>
    <row r="4007" s="11" customFormat="1" x14ac:dyDescent="0.3"/>
    <row r="4008" s="11" customFormat="1" x14ac:dyDescent="0.3"/>
    <row r="4009" s="11" customFormat="1" x14ac:dyDescent="0.3"/>
    <row r="4010" s="11" customFormat="1" x14ac:dyDescent="0.3"/>
    <row r="4011" s="11" customFormat="1" x14ac:dyDescent="0.3"/>
    <row r="4012" s="11" customFormat="1" x14ac:dyDescent="0.3"/>
    <row r="4013" s="11" customFormat="1" x14ac:dyDescent="0.3"/>
    <row r="4014" s="11" customFormat="1" x14ac:dyDescent="0.3"/>
    <row r="4015" s="11" customFormat="1" x14ac:dyDescent="0.3"/>
    <row r="4016" s="11" customFormat="1" x14ac:dyDescent="0.3"/>
    <row r="4017" s="11" customFormat="1" x14ac:dyDescent="0.3"/>
    <row r="4018" s="11" customFormat="1" x14ac:dyDescent="0.3"/>
    <row r="4019" s="11" customFormat="1" x14ac:dyDescent="0.3"/>
    <row r="4020" s="11" customFormat="1" x14ac:dyDescent="0.3"/>
    <row r="4021" s="11" customFormat="1" x14ac:dyDescent="0.3"/>
    <row r="4022" s="11" customFormat="1" x14ac:dyDescent="0.3"/>
    <row r="4023" s="11" customFormat="1" x14ac:dyDescent="0.3"/>
    <row r="4024" s="11" customFormat="1" x14ac:dyDescent="0.3"/>
    <row r="4025" s="11" customFormat="1" x14ac:dyDescent="0.3"/>
    <row r="4026" s="11" customFormat="1" x14ac:dyDescent="0.3"/>
    <row r="4027" s="11" customFormat="1" x14ac:dyDescent="0.3"/>
    <row r="4028" s="11" customFormat="1" x14ac:dyDescent="0.3"/>
    <row r="4029" s="11" customFormat="1" x14ac:dyDescent="0.3"/>
    <row r="4030" s="11" customFormat="1" x14ac:dyDescent="0.3"/>
    <row r="4031" s="11" customFormat="1" x14ac:dyDescent="0.3"/>
    <row r="4032" s="11" customFormat="1" x14ac:dyDescent="0.3"/>
    <row r="4033" s="11" customFormat="1" x14ac:dyDescent="0.3"/>
    <row r="4034" s="11" customFormat="1" x14ac:dyDescent="0.3"/>
    <row r="4035" s="11" customFormat="1" x14ac:dyDescent="0.3"/>
    <row r="4036" s="11" customFormat="1" x14ac:dyDescent="0.3"/>
    <row r="4037" s="11" customFormat="1" x14ac:dyDescent="0.3"/>
    <row r="4038" s="11" customFormat="1" x14ac:dyDescent="0.3"/>
    <row r="4039" s="11" customFormat="1" x14ac:dyDescent="0.3"/>
    <row r="4040" s="11" customFormat="1" x14ac:dyDescent="0.3"/>
    <row r="4041" s="11" customFormat="1" x14ac:dyDescent="0.3"/>
    <row r="4042" s="11" customFormat="1" x14ac:dyDescent="0.3"/>
    <row r="4043" s="11" customFormat="1" x14ac:dyDescent="0.3"/>
    <row r="4044" s="11" customFormat="1" x14ac:dyDescent="0.3"/>
    <row r="4045" s="11" customFormat="1" x14ac:dyDescent="0.3"/>
    <row r="4046" s="11" customFormat="1" x14ac:dyDescent="0.3"/>
    <row r="4047" s="11" customFormat="1" x14ac:dyDescent="0.3"/>
    <row r="4048" s="11" customFormat="1" x14ac:dyDescent="0.3"/>
    <row r="4049" s="11" customFormat="1" x14ac:dyDescent="0.3"/>
    <row r="4050" s="11" customFormat="1" x14ac:dyDescent="0.3"/>
    <row r="4051" s="11" customFormat="1" x14ac:dyDescent="0.3"/>
    <row r="4052" s="11" customFormat="1" x14ac:dyDescent="0.3"/>
    <row r="4053" s="11" customFormat="1" x14ac:dyDescent="0.3"/>
    <row r="4054" s="11" customFormat="1" x14ac:dyDescent="0.3"/>
    <row r="4055" s="11" customFormat="1" x14ac:dyDescent="0.3"/>
    <row r="4056" s="11" customFormat="1" x14ac:dyDescent="0.3"/>
    <row r="4057" s="11" customFormat="1" x14ac:dyDescent="0.3"/>
    <row r="4058" s="11" customFormat="1" x14ac:dyDescent="0.3"/>
    <row r="4059" s="11" customFormat="1" x14ac:dyDescent="0.3"/>
    <row r="4060" s="11" customFormat="1" x14ac:dyDescent="0.3"/>
    <row r="4061" s="11" customFormat="1" x14ac:dyDescent="0.3"/>
    <row r="4062" s="11" customFormat="1" x14ac:dyDescent="0.3"/>
    <row r="4063" s="11" customFormat="1" x14ac:dyDescent="0.3"/>
    <row r="4064" s="11" customFormat="1" x14ac:dyDescent="0.3"/>
    <row r="4065" s="11" customFormat="1" x14ac:dyDescent="0.3"/>
    <row r="4066" s="11" customFormat="1" x14ac:dyDescent="0.3"/>
    <row r="4067" s="11" customFormat="1" x14ac:dyDescent="0.3"/>
    <row r="4068" s="11" customFormat="1" x14ac:dyDescent="0.3"/>
    <row r="4069" s="11" customFormat="1" x14ac:dyDescent="0.3"/>
    <row r="4070" s="11" customFormat="1" x14ac:dyDescent="0.3"/>
    <row r="4071" s="11" customFormat="1" x14ac:dyDescent="0.3"/>
    <row r="4072" s="11" customFormat="1" x14ac:dyDescent="0.3"/>
    <row r="4073" s="11" customFormat="1" x14ac:dyDescent="0.3"/>
    <row r="4074" s="11" customFormat="1" x14ac:dyDescent="0.3"/>
    <row r="4075" s="11" customFormat="1" x14ac:dyDescent="0.3"/>
    <row r="4076" s="11" customFormat="1" x14ac:dyDescent="0.3"/>
    <row r="4077" s="11" customFormat="1" x14ac:dyDescent="0.3"/>
    <row r="4078" s="11" customFormat="1" x14ac:dyDescent="0.3"/>
    <row r="4079" s="11" customFormat="1" x14ac:dyDescent="0.3"/>
    <row r="4080" s="11" customFormat="1" x14ac:dyDescent="0.3"/>
    <row r="4081" s="11" customFormat="1" x14ac:dyDescent="0.3"/>
    <row r="4082" s="11" customFormat="1" x14ac:dyDescent="0.3"/>
    <row r="4083" s="11" customFormat="1" x14ac:dyDescent="0.3"/>
    <row r="4084" s="11" customFormat="1" x14ac:dyDescent="0.3"/>
    <row r="4085" s="11" customFormat="1" x14ac:dyDescent="0.3"/>
    <row r="4086" s="11" customFormat="1" x14ac:dyDescent="0.3"/>
    <row r="4087" s="11" customFormat="1" x14ac:dyDescent="0.3"/>
    <row r="4088" s="11" customFormat="1" x14ac:dyDescent="0.3"/>
    <row r="4089" s="11" customFormat="1" x14ac:dyDescent="0.3"/>
    <row r="4090" s="11" customFormat="1" x14ac:dyDescent="0.3"/>
    <row r="4091" s="11" customFormat="1" x14ac:dyDescent="0.3"/>
    <row r="4092" s="11" customFormat="1" x14ac:dyDescent="0.3"/>
    <row r="4093" s="11" customFormat="1" x14ac:dyDescent="0.3"/>
    <row r="4094" s="11" customFormat="1" x14ac:dyDescent="0.3"/>
    <row r="4095" s="11" customFormat="1" x14ac:dyDescent="0.3"/>
    <row r="4096" s="11" customFormat="1" x14ac:dyDescent="0.3"/>
    <row r="4097" s="11" customFormat="1" x14ac:dyDescent="0.3"/>
    <row r="4098" s="11" customFormat="1" x14ac:dyDescent="0.3"/>
    <row r="4099" s="11" customFormat="1" x14ac:dyDescent="0.3"/>
    <row r="4100" s="11" customFormat="1" x14ac:dyDescent="0.3"/>
    <row r="4101" s="11" customFormat="1" x14ac:dyDescent="0.3"/>
    <row r="4102" s="11" customFormat="1" x14ac:dyDescent="0.3"/>
    <row r="4103" s="11" customFormat="1" x14ac:dyDescent="0.3"/>
    <row r="4104" s="11" customFormat="1" x14ac:dyDescent="0.3"/>
    <row r="4105" s="11" customFormat="1" x14ac:dyDescent="0.3"/>
    <row r="4106" s="11" customFormat="1" x14ac:dyDescent="0.3"/>
    <row r="4107" s="11" customFormat="1" x14ac:dyDescent="0.3"/>
    <row r="4108" s="11" customFormat="1" x14ac:dyDescent="0.3"/>
    <row r="4109" s="11" customFormat="1" x14ac:dyDescent="0.3"/>
    <row r="4110" s="11" customFormat="1" x14ac:dyDescent="0.3"/>
    <row r="4111" s="11" customFormat="1" x14ac:dyDescent="0.3"/>
    <row r="4112" s="11" customFormat="1" x14ac:dyDescent="0.3"/>
    <row r="4113" s="11" customFormat="1" x14ac:dyDescent="0.3"/>
    <row r="4114" s="11" customFormat="1" x14ac:dyDescent="0.3"/>
    <row r="4115" s="11" customFormat="1" x14ac:dyDescent="0.3"/>
    <row r="4116" s="11" customFormat="1" x14ac:dyDescent="0.3"/>
    <row r="4117" s="11" customFormat="1" x14ac:dyDescent="0.3"/>
    <row r="4118" s="11" customFormat="1" x14ac:dyDescent="0.3"/>
    <row r="4119" s="11" customFormat="1" x14ac:dyDescent="0.3"/>
    <row r="4120" s="11" customFormat="1" x14ac:dyDescent="0.3"/>
    <row r="4121" s="11" customFormat="1" x14ac:dyDescent="0.3"/>
    <row r="4122" s="11" customFormat="1" x14ac:dyDescent="0.3"/>
    <row r="4123" s="11" customFormat="1" x14ac:dyDescent="0.3"/>
    <row r="4124" s="11" customFormat="1" x14ac:dyDescent="0.3"/>
    <row r="4125" s="11" customFormat="1" x14ac:dyDescent="0.3"/>
    <row r="4126" s="11" customFormat="1" x14ac:dyDescent="0.3"/>
    <row r="4127" s="11" customFormat="1" x14ac:dyDescent="0.3"/>
    <row r="4128" s="11" customFormat="1" x14ac:dyDescent="0.3"/>
    <row r="4129" s="11" customFormat="1" x14ac:dyDescent="0.3"/>
    <row r="4130" s="11" customFormat="1" x14ac:dyDescent="0.3"/>
    <row r="4131" s="11" customFormat="1" x14ac:dyDescent="0.3"/>
    <row r="4132" s="11" customFormat="1" x14ac:dyDescent="0.3"/>
    <row r="4133" s="11" customFormat="1" x14ac:dyDescent="0.3"/>
    <row r="4134" s="11" customFormat="1" x14ac:dyDescent="0.3"/>
    <row r="4135" s="11" customFormat="1" x14ac:dyDescent="0.3"/>
    <row r="4136" s="11" customFormat="1" x14ac:dyDescent="0.3"/>
    <row r="4137" s="11" customFormat="1" x14ac:dyDescent="0.3"/>
    <row r="4138" s="11" customFormat="1" x14ac:dyDescent="0.3"/>
    <row r="4139" s="11" customFormat="1" x14ac:dyDescent="0.3"/>
    <row r="4140" s="11" customFormat="1" x14ac:dyDescent="0.3"/>
    <row r="4141" s="11" customFormat="1" x14ac:dyDescent="0.3"/>
    <row r="4142" s="11" customFormat="1" x14ac:dyDescent="0.3"/>
    <row r="4143" s="11" customFormat="1" x14ac:dyDescent="0.3"/>
    <row r="4144" s="11" customFormat="1" x14ac:dyDescent="0.3"/>
    <row r="4145" s="11" customFormat="1" x14ac:dyDescent="0.3"/>
    <row r="4146" s="11" customFormat="1" x14ac:dyDescent="0.3"/>
    <row r="4147" s="11" customFormat="1" x14ac:dyDescent="0.3"/>
    <row r="4148" s="11" customFormat="1" x14ac:dyDescent="0.3"/>
    <row r="4149" s="11" customFormat="1" x14ac:dyDescent="0.3"/>
    <row r="4150" s="11" customFormat="1" x14ac:dyDescent="0.3"/>
    <row r="4151" s="11" customFormat="1" x14ac:dyDescent="0.3"/>
    <row r="4152" s="11" customFormat="1" x14ac:dyDescent="0.3"/>
    <row r="4153" s="11" customFormat="1" x14ac:dyDescent="0.3"/>
    <row r="4154" s="11" customFormat="1" x14ac:dyDescent="0.3"/>
    <row r="4155" s="11" customFormat="1" x14ac:dyDescent="0.3"/>
    <row r="4156" s="11" customFormat="1" x14ac:dyDescent="0.3"/>
    <row r="4157" s="11" customFormat="1" x14ac:dyDescent="0.3"/>
    <row r="4158" s="11" customFormat="1" x14ac:dyDescent="0.3"/>
    <row r="4159" s="11" customFormat="1" x14ac:dyDescent="0.3"/>
    <row r="4160" s="11" customFormat="1" x14ac:dyDescent="0.3"/>
    <row r="4161" s="11" customFormat="1" x14ac:dyDescent="0.3"/>
    <row r="4162" s="11" customFormat="1" x14ac:dyDescent="0.3"/>
    <row r="4163" s="11" customFormat="1" x14ac:dyDescent="0.3"/>
    <row r="4164" s="11" customFormat="1" x14ac:dyDescent="0.3"/>
    <row r="4165" s="11" customFormat="1" x14ac:dyDescent="0.3"/>
    <row r="4166" s="11" customFormat="1" x14ac:dyDescent="0.3"/>
    <row r="4167" s="11" customFormat="1" x14ac:dyDescent="0.3"/>
    <row r="4168" s="11" customFormat="1" x14ac:dyDescent="0.3"/>
    <row r="4169" s="11" customFormat="1" x14ac:dyDescent="0.3"/>
    <row r="4170" s="11" customFormat="1" x14ac:dyDescent="0.3"/>
    <row r="4171" s="11" customFormat="1" x14ac:dyDescent="0.3"/>
    <row r="4172" s="11" customFormat="1" x14ac:dyDescent="0.3"/>
    <row r="4173" s="11" customFormat="1" x14ac:dyDescent="0.3"/>
    <row r="4174" s="11" customFormat="1" x14ac:dyDescent="0.3"/>
    <row r="4175" s="11" customFormat="1" x14ac:dyDescent="0.3"/>
    <row r="4176" s="11" customFormat="1" x14ac:dyDescent="0.3"/>
    <row r="4177" s="11" customFormat="1" x14ac:dyDescent="0.3"/>
    <row r="4178" s="11" customFormat="1" x14ac:dyDescent="0.3"/>
    <row r="4179" s="11" customFormat="1" x14ac:dyDescent="0.3"/>
    <row r="4180" s="11" customFormat="1" x14ac:dyDescent="0.3"/>
    <row r="4181" s="11" customFormat="1" x14ac:dyDescent="0.3"/>
    <row r="4182" s="11" customFormat="1" x14ac:dyDescent="0.3"/>
    <row r="4183" s="11" customFormat="1" x14ac:dyDescent="0.3"/>
    <row r="4184" s="11" customFormat="1" x14ac:dyDescent="0.3"/>
    <row r="4185" s="11" customFormat="1" x14ac:dyDescent="0.3"/>
    <row r="4186" s="11" customFormat="1" x14ac:dyDescent="0.3"/>
    <row r="4187" s="11" customFormat="1" x14ac:dyDescent="0.3"/>
    <row r="4188" s="11" customFormat="1" x14ac:dyDescent="0.3"/>
    <row r="4189" s="11" customFormat="1" x14ac:dyDescent="0.3"/>
    <row r="4190" s="11" customFormat="1" x14ac:dyDescent="0.3"/>
    <row r="4191" s="11" customFormat="1" x14ac:dyDescent="0.3"/>
    <row r="4192" s="11" customFormat="1" x14ac:dyDescent="0.3"/>
    <row r="4193" s="11" customFormat="1" x14ac:dyDescent="0.3"/>
    <row r="4194" s="11" customFormat="1" x14ac:dyDescent="0.3"/>
    <row r="4195" s="11" customFormat="1" x14ac:dyDescent="0.3"/>
    <row r="4196" s="11" customFormat="1" x14ac:dyDescent="0.3"/>
    <row r="4197" s="11" customFormat="1" x14ac:dyDescent="0.3"/>
    <row r="4198" s="11" customFormat="1" x14ac:dyDescent="0.3"/>
    <row r="4199" s="11" customFormat="1" x14ac:dyDescent="0.3"/>
    <row r="4200" s="11" customFormat="1" x14ac:dyDescent="0.3"/>
    <row r="4201" s="11" customFormat="1" x14ac:dyDescent="0.3"/>
    <row r="4202" s="11" customFormat="1" x14ac:dyDescent="0.3"/>
    <row r="4203" s="11" customFormat="1" x14ac:dyDescent="0.3"/>
    <row r="4204" s="11" customFormat="1" x14ac:dyDescent="0.3"/>
    <row r="4205" s="11" customFormat="1" x14ac:dyDescent="0.3"/>
    <row r="4206" s="11" customFormat="1" x14ac:dyDescent="0.3"/>
    <row r="4207" s="11" customFormat="1" x14ac:dyDescent="0.3"/>
    <row r="4208" s="11" customFormat="1" x14ac:dyDescent="0.3"/>
    <row r="4209" s="11" customFormat="1" x14ac:dyDescent="0.3"/>
    <row r="4210" s="11" customFormat="1" x14ac:dyDescent="0.3"/>
    <row r="4211" s="11" customFormat="1" x14ac:dyDescent="0.3"/>
    <row r="4212" s="11" customFormat="1" x14ac:dyDescent="0.3"/>
    <row r="4213" s="11" customFormat="1" x14ac:dyDescent="0.3"/>
    <row r="4214" s="11" customFormat="1" x14ac:dyDescent="0.3"/>
    <row r="4215" s="11" customFormat="1" x14ac:dyDescent="0.3"/>
    <row r="4216" s="11" customFormat="1" x14ac:dyDescent="0.3"/>
    <row r="4217" s="11" customFormat="1" x14ac:dyDescent="0.3"/>
    <row r="4218" s="11" customFormat="1" x14ac:dyDescent="0.3"/>
    <row r="4219" s="11" customFormat="1" x14ac:dyDescent="0.3"/>
    <row r="4220" s="11" customFormat="1" x14ac:dyDescent="0.3"/>
    <row r="4221" s="11" customFormat="1" x14ac:dyDescent="0.3"/>
    <row r="4222" s="11" customFormat="1" x14ac:dyDescent="0.3"/>
    <row r="4223" s="11" customFormat="1" x14ac:dyDescent="0.3"/>
    <row r="4224" s="11" customFormat="1" x14ac:dyDescent="0.3"/>
    <row r="4225" s="11" customFormat="1" x14ac:dyDescent="0.3"/>
    <row r="4226" s="11" customFormat="1" x14ac:dyDescent="0.3"/>
    <row r="4227" s="11" customFormat="1" x14ac:dyDescent="0.3"/>
    <row r="4228" s="11" customFormat="1" x14ac:dyDescent="0.3"/>
    <row r="4229" s="11" customFormat="1" x14ac:dyDescent="0.3"/>
    <row r="4230" s="11" customFormat="1" x14ac:dyDescent="0.3"/>
    <row r="4231" s="11" customFormat="1" x14ac:dyDescent="0.3"/>
    <row r="4232" s="11" customFormat="1" x14ac:dyDescent="0.3"/>
    <row r="4233" s="11" customFormat="1" x14ac:dyDescent="0.3"/>
    <row r="4234" s="11" customFormat="1" x14ac:dyDescent="0.3"/>
    <row r="4235" s="11" customFormat="1" x14ac:dyDescent="0.3"/>
    <row r="4236" s="11" customFormat="1" x14ac:dyDescent="0.3"/>
    <row r="4237" s="11" customFormat="1" x14ac:dyDescent="0.3"/>
    <row r="4238" s="11" customFormat="1" x14ac:dyDescent="0.3"/>
    <row r="4239" s="11" customFormat="1" x14ac:dyDescent="0.3"/>
    <row r="4240" s="11" customFormat="1" x14ac:dyDescent="0.3"/>
    <row r="4241" s="11" customFormat="1" x14ac:dyDescent="0.3"/>
    <row r="4242" s="11" customFormat="1" x14ac:dyDescent="0.3"/>
    <row r="4243" s="11" customFormat="1" x14ac:dyDescent="0.3"/>
    <row r="4244" s="11" customFormat="1" x14ac:dyDescent="0.3"/>
    <row r="4245" s="11" customFormat="1" x14ac:dyDescent="0.3"/>
    <row r="4246" s="11" customFormat="1" x14ac:dyDescent="0.3"/>
    <row r="4247" s="11" customFormat="1" x14ac:dyDescent="0.3"/>
    <row r="4248" s="11" customFormat="1" x14ac:dyDescent="0.3"/>
    <row r="4249" s="11" customFormat="1" x14ac:dyDescent="0.3"/>
    <row r="4250" s="11" customFormat="1" x14ac:dyDescent="0.3"/>
    <row r="4251" s="11" customFormat="1" x14ac:dyDescent="0.3"/>
    <row r="4252" s="11" customFormat="1" x14ac:dyDescent="0.3"/>
    <row r="4253" s="11" customFormat="1" x14ac:dyDescent="0.3"/>
    <row r="4254" s="11" customFormat="1" x14ac:dyDescent="0.3"/>
    <row r="4255" s="11" customFormat="1" x14ac:dyDescent="0.3"/>
    <row r="4256" s="11" customFormat="1" x14ac:dyDescent="0.3"/>
    <row r="4257" s="11" customFormat="1" x14ac:dyDescent="0.3"/>
    <row r="4258" s="11" customFormat="1" x14ac:dyDescent="0.3"/>
    <row r="4259" s="11" customFormat="1" x14ac:dyDescent="0.3"/>
    <row r="4260" s="11" customFormat="1" x14ac:dyDescent="0.3"/>
    <row r="4261" s="11" customFormat="1" x14ac:dyDescent="0.3"/>
    <row r="4262" s="11" customFormat="1" x14ac:dyDescent="0.3"/>
    <row r="4263" s="11" customFormat="1" x14ac:dyDescent="0.3"/>
    <row r="4264" s="11" customFormat="1" x14ac:dyDescent="0.3"/>
    <row r="4265" s="11" customFormat="1" x14ac:dyDescent="0.3"/>
    <row r="4266" s="11" customFormat="1" x14ac:dyDescent="0.3"/>
    <row r="4267" s="11" customFormat="1" x14ac:dyDescent="0.3"/>
    <row r="4268" s="11" customFormat="1" x14ac:dyDescent="0.3"/>
    <row r="4269" s="11" customFormat="1" x14ac:dyDescent="0.3"/>
    <row r="4270" s="11" customFormat="1" x14ac:dyDescent="0.3"/>
    <row r="4271" s="11" customFormat="1" x14ac:dyDescent="0.3"/>
    <row r="4272" s="11" customFormat="1" x14ac:dyDescent="0.3"/>
    <row r="4273" s="11" customFormat="1" x14ac:dyDescent="0.3"/>
    <row r="4274" s="11" customFormat="1" x14ac:dyDescent="0.3"/>
    <row r="4275" s="11" customFormat="1" x14ac:dyDescent="0.3"/>
    <row r="4276" s="11" customFormat="1" x14ac:dyDescent="0.3"/>
    <row r="4277" s="11" customFormat="1" x14ac:dyDescent="0.3"/>
    <row r="4278" s="11" customFormat="1" x14ac:dyDescent="0.3"/>
    <row r="4279" s="11" customFormat="1" x14ac:dyDescent="0.3"/>
    <row r="4280" s="11" customFormat="1" x14ac:dyDescent="0.3"/>
    <row r="4281" s="11" customFormat="1" x14ac:dyDescent="0.3"/>
    <row r="4282" s="11" customFormat="1" x14ac:dyDescent="0.3"/>
    <row r="4283" s="11" customFormat="1" x14ac:dyDescent="0.3"/>
    <row r="4284" s="11" customFormat="1" x14ac:dyDescent="0.3"/>
    <row r="4285" s="11" customFormat="1" x14ac:dyDescent="0.3"/>
    <row r="4286" s="11" customFormat="1" x14ac:dyDescent="0.3"/>
    <row r="4287" s="11" customFormat="1" x14ac:dyDescent="0.3"/>
    <row r="4288" s="11" customFormat="1" x14ac:dyDescent="0.3"/>
    <row r="4289" s="11" customFormat="1" x14ac:dyDescent="0.3"/>
    <row r="4290" s="11" customFormat="1" x14ac:dyDescent="0.3"/>
    <row r="4291" s="11" customFormat="1" x14ac:dyDescent="0.3"/>
    <row r="4292" s="11" customFormat="1" x14ac:dyDescent="0.3"/>
    <row r="4293" s="11" customFormat="1" x14ac:dyDescent="0.3"/>
    <row r="4294" s="11" customFormat="1" x14ac:dyDescent="0.3"/>
    <row r="4295" s="11" customFormat="1" x14ac:dyDescent="0.3"/>
    <row r="4296" s="11" customFormat="1" x14ac:dyDescent="0.3"/>
    <row r="4297" s="11" customFormat="1" x14ac:dyDescent="0.3"/>
    <row r="4298" s="11" customFormat="1" x14ac:dyDescent="0.3"/>
    <row r="4299" s="11" customFormat="1" x14ac:dyDescent="0.3"/>
    <row r="4300" s="11" customFormat="1" x14ac:dyDescent="0.3"/>
    <row r="4301" s="11" customFormat="1" x14ac:dyDescent="0.3"/>
    <row r="4302" s="11" customFormat="1" x14ac:dyDescent="0.3"/>
    <row r="4303" s="11" customFormat="1" x14ac:dyDescent="0.3"/>
    <row r="4304" s="11" customFormat="1" x14ac:dyDescent="0.3"/>
    <row r="4305" s="11" customFormat="1" x14ac:dyDescent="0.3"/>
    <row r="4306" s="11" customFormat="1" x14ac:dyDescent="0.3"/>
    <row r="4307" s="11" customFormat="1" x14ac:dyDescent="0.3"/>
    <row r="4308" s="11" customFormat="1" x14ac:dyDescent="0.3"/>
    <row r="4309" s="11" customFormat="1" x14ac:dyDescent="0.3"/>
    <row r="4310" s="11" customFormat="1" x14ac:dyDescent="0.3"/>
    <row r="4311" s="11" customFormat="1" x14ac:dyDescent="0.3"/>
    <row r="4312" s="11" customFormat="1" x14ac:dyDescent="0.3"/>
    <row r="4313" s="11" customFormat="1" x14ac:dyDescent="0.3"/>
    <row r="4314" s="11" customFormat="1" x14ac:dyDescent="0.3"/>
    <row r="4315" s="11" customFormat="1" x14ac:dyDescent="0.3"/>
    <row r="4316" s="11" customFormat="1" x14ac:dyDescent="0.3"/>
    <row r="4317" s="11" customFormat="1" x14ac:dyDescent="0.3"/>
    <row r="4318" s="11" customFormat="1" x14ac:dyDescent="0.3"/>
    <row r="4319" s="11" customFormat="1" x14ac:dyDescent="0.3"/>
    <row r="4320" s="11" customFormat="1" x14ac:dyDescent="0.3"/>
    <row r="4321" s="11" customFormat="1" x14ac:dyDescent="0.3"/>
    <row r="4322" s="11" customFormat="1" x14ac:dyDescent="0.3"/>
    <row r="4323" s="11" customFormat="1" x14ac:dyDescent="0.3"/>
    <row r="4324" s="11" customFormat="1" x14ac:dyDescent="0.3"/>
    <row r="4325" s="11" customFormat="1" x14ac:dyDescent="0.3"/>
    <row r="4326" s="11" customFormat="1" x14ac:dyDescent="0.3"/>
    <row r="4327" s="11" customFormat="1" x14ac:dyDescent="0.3"/>
    <row r="4328" s="11" customFormat="1" x14ac:dyDescent="0.3"/>
    <row r="4329" s="11" customFormat="1" x14ac:dyDescent="0.3"/>
    <row r="4330" s="11" customFormat="1" x14ac:dyDescent="0.3"/>
    <row r="4331" s="11" customFormat="1" x14ac:dyDescent="0.3"/>
    <row r="4332" s="11" customFormat="1" x14ac:dyDescent="0.3"/>
    <row r="4333" s="11" customFormat="1" x14ac:dyDescent="0.3"/>
    <row r="4334" s="11" customFormat="1" x14ac:dyDescent="0.3"/>
    <row r="4335" s="11" customFormat="1" x14ac:dyDescent="0.3"/>
    <row r="4336" s="11" customFormat="1" x14ac:dyDescent="0.3"/>
    <row r="4337" s="11" customFormat="1" x14ac:dyDescent="0.3"/>
    <row r="4338" s="11" customFormat="1" x14ac:dyDescent="0.3"/>
    <row r="4339" s="11" customFormat="1" x14ac:dyDescent="0.3"/>
    <row r="4340" s="11" customFormat="1" x14ac:dyDescent="0.3"/>
    <row r="4341" s="11" customFormat="1" x14ac:dyDescent="0.3"/>
    <row r="4342" s="11" customFormat="1" x14ac:dyDescent="0.3"/>
    <row r="4343" s="11" customFormat="1" x14ac:dyDescent="0.3"/>
    <row r="4344" s="11" customFormat="1" x14ac:dyDescent="0.3"/>
    <row r="4345" s="11" customFormat="1" x14ac:dyDescent="0.3"/>
    <row r="4346" s="11" customFormat="1" x14ac:dyDescent="0.3"/>
    <row r="4347" s="11" customFormat="1" x14ac:dyDescent="0.3"/>
    <row r="4348" s="11" customFormat="1" x14ac:dyDescent="0.3"/>
    <row r="4349" s="11" customFormat="1" x14ac:dyDescent="0.3"/>
    <row r="4350" s="11" customFormat="1" x14ac:dyDescent="0.3"/>
    <row r="4351" s="11" customFormat="1" x14ac:dyDescent="0.3"/>
    <row r="4352" s="11" customFormat="1" x14ac:dyDescent="0.3"/>
    <row r="4353" s="11" customFormat="1" x14ac:dyDescent="0.3"/>
    <row r="4354" s="11" customFormat="1" x14ac:dyDescent="0.3"/>
    <row r="4355" s="11" customFormat="1" x14ac:dyDescent="0.3"/>
    <row r="4356" s="11" customFormat="1" x14ac:dyDescent="0.3"/>
    <row r="4357" s="11" customFormat="1" x14ac:dyDescent="0.3"/>
    <row r="4358" s="11" customFormat="1" x14ac:dyDescent="0.3"/>
    <row r="4359" s="11" customFormat="1" x14ac:dyDescent="0.3"/>
    <row r="4360" s="11" customFormat="1" x14ac:dyDescent="0.3"/>
    <row r="4361" s="11" customFormat="1" x14ac:dyDescent="0.3"/>
    <row r="4362" s="11" customFormat="1" x14ac:dyDescent="0.3"/>
    <row r="4363" s="11" customFormat="1" x14ac:dyDescent="0.3"/>
    <row r="4364" s="11" customFormat="1" x14ac:dyDescent="0.3"/>
    <row r="4365" s="11" customFormat="1" x14ac:dyDescent="0.3"/>
    <row r="4366" s="11" customFormat="1" x14ac:dyDescent="0.3"/>
    <row r="4367" s="11" customFormat="1" x14ac:dyDescent="0.3"/>
    <row r="4368" s="11" customFormat="1" x14ac:dyDescent="0.3"/>
    <row r="4369" s="11" customFormat="1" x14ac:dyDescent="0.3"/>
    <row r="4370" s="11" customFormat="1" x14ac:dyDescent="0.3"/>
    <row r="4371" s="11" customFormat="1" x14ac:dyDescent="0.3"/>
    <row r="4372" s="11" customFormat="1" x14ac:dyDescent="0.3"/>
    <row r="4373" s="11" customFormat="1" x14ac:dyDescent="0.3"/>
    <row r="4374" s="11" customFormat="1" x14ac:dyDescent="0.3"/>
    <row r="4375" s="11" customFormat="1" x14ac:dyDescent="0.3"/>
    <row r="4376" s="11" customFormat="1" x14ac:dyDescent="0.3"/>
    <row r="4377" s="11" customFormat="1" x14ac:dyDescent="0.3"/>
    <row r="4378" s="11" customFormat="1" x14ac:dyDescent="0.3"/>
    <row r="4379" s="11" customFormat="1" x14ac:dyDescent="0.3"/>
    <row r="4380" s="11" customFormat="1" x14ac:dyDescent="0.3"/>
    <row r="4381" s="11" customFormat="1" x14ac:dyDescent="0.3"/>
    <row r="4382" s="11" customFormat="1" x14ac:dyDescent="0.3"/>
    <row r="4383" s="11" customFormat="1" x14ac:dyDescent="0.3"/>
    <row r="4384" s="11" customFormat="1" x14ac:dyDescent="0.3"/>
    <row r="4385" s="11" customFormat="1" x14ac:dyDescent="0.3"/>
    <row r="4386" s="11" customFormat="1" x14ac:dyDescent="0.3"/>
    <row r="4387" s="11" customFormat="1" x14ac:dyDescent="0.3"/>
    <row r="4388" s="11" customFormat="1" x14ac:dyDescent="0.3"/>
    <row r="4389" s="11" customFormat="1" x14ac:dyDescent="0.3"/>
    <row r="4390" s="11" customFormat="1" x14ac:dyDescent="0.3"/>
    <row r="4391" s="11" customFormat="1" x14ac:dyDescent="0.3"/>
    <row r="4392" s="11" customFormat="1" x14ac:dyDescent="0.3"/>
    <row r="4393" s="11" customFormat="1" x14ac:dyDescent="0.3"/>
    <row r="4394" s="11" customFormat="1" x14ac:dyDescent="0.3"/>
    <row r="4395" s="11" customFormat="1" x14ac:dyDescent="0.3"/>
    <row r="4396" s="11" customFormat="1" x14ac:dyDescent="0.3"/>
    <row r="4397" s="11" customFormat="1" x14ac:dyDescent="0.3"/>
    <row r="4398" s="11" customFormat="1" x14ac:dyDescent="0.3"/>
    <row r="4399" s="11" customFormat="1" x14ac:dyDescent="0.3"/>
    <row r="4400" s="11" customFormat="1" x14ac:dyDescent="0.3"/>
    <row r="4401" s="11" customFormat="1" x14ac:dyDescent="0.3"/>
    <row r="4402" s="11" customFormat="1" x14ac:dyDescent="0.3"/>
    <row r="4403" s="11" customFormat="1" x14ac:dyDescent="0.3"/>
    <row r="4404" s="11" customFormat="1" x14ac:dyDescent="0.3"/>
    <row r="4405" s="11" customFormat="1" x14ac:dyDescent="0.3"/>
    <row r="4406" s="11" customFormat="1" x14ac:dyDescent="0.3"/>
    <row r="4407" s="11" customFormat="1" x14ac:dyDescent="0.3"/>
    <row r="4408" s="11" customFormat="1" x14ac:dyDescent="0.3"/>
    <row r="4409" s="11" customFormat="1" x14ac:dyDescent="0.3"/>
    <row r="4410" s="11" customFormat="1" x14ac:dyDescent="0.3"/>
    <row r="4411" s="11" customFormat="1" x14ac:dyDescent="0.3"/>
    <row r="4412" s="11" customFormat="1" x14ac:dyDescent="0.3"/>
    <row r="4413" s="11" customFormat="1" x14ac:dyDescent="0.3"/>
    <row r="4414" s="11" customFormat="1" x14ac:dyDescent="0.3"/>
    <row r="4415" s="11" customFormat="1" x14ac:dyDescent="0.3"/>
    <row r="4416" s="11" customFormat="1" x14ac:dyDescent="0.3"/>
    <row r="4417" s="11" customFormat="1" x14ac:dyDescent="0.3"/>
    <row r="4418" s="11" customFormat="1" x14ac:dyDescent="0.3"/>
    <row r="4419" s="11" customFormat="1" x14ac:dyDescent="0.3"/>
    <row r="4420" s="11" customFormat="1" x14ac:dyDescent="0.3"/>
    <row r="4421" s="11" customFormat="1" x14ac:dyDescent="0.3"/>
    <row r="4422" s="11" customFormat="1" x14ac:dyDescent="0.3"/>
    <row r="4423" s="11" customFormat="1" x14ac:dyDescent="0.3"/>
    <row r="4424" s="11" customFormat="1" x14ac:dyDescent="0.3"/>
    <row r="4425" s="11" customFormat="1" x14ac:dyDescent="0.3"/>
    <row r="4426" s="11" customFormat="1" x14ac:dyDescent="0.3"/>
    <row r="4427" s="11" customFormat="1" x14ac:dyDescent="0.3"/>
    <row r="4428" s="11" customFormat="1" x14ac:dyDescent="0.3"/>
    <row r="4429" s="11" customFormat="1" x14ac:dyDescent="0.3"/>
    <row r="4430" s="11" customFormat="1" x14ac:dyDescent="0.3"/>
    <row r="4431" s="11" customFormat="1" x14ac:dyDescent="0.3"/>
    <row r="4432" s="11" customFormat="1" x14ac:dyDescent="0.3"/>
    <row r="4433" s="11" customFormat="1" x14ac:dyDescent="0.3"/>
    <row r="4434" s="11" customFormat="1" x14ac:dyDescent="0.3"/>
    <row r="4435" s="11" customFormat="1" x14ac:dyDescent="0.3"/>
    <row r="4436" s="11" customFormat="1" x14ac:dyDescent="0.3"/>
    <row r="4437" s="11" customFormat="1" x14ac:dyDescent="0.3"/>
    <row r="4438" s="11" customFormat="1" x14ac:dyDescent="0.3"/>
    <row r="4439" s="11" customFormat="1" x14ac:dyDescent="0.3"/>
    <row r="4440" s="11" customFormat="1" x14ac:dyDescent="0.3"/>
    <row r="4441" s="11" customFormat="1" x14ac:dyDescent="0.3"/>
    <row r="4442" s="11" customFormat="1" x14ac:dyDescent="0.3"/>
    <row r="4443" s="11" customFormat="1" x14ac:dyDescent="0.3"/>
    <row r="4444" s="11" customFormat="1" x14ac:dyDescent="0.3"/>
    <row r="4445" s="11" customFormat="1" x14ac:dyDescent="0.3"/>
    <row r="4446" s="11" customFormat="1" x14ac:dyDescent="0.3"/>
    <row r="4447" s="11" customFormat="1" x14ac:dyDescent="0.3"/>
    <row r="4448" s="11" customFormat="1" x14ac:dyDescent="0.3"/>
    <row r="4449" s="11" customFormat="1" x14ac:dyDescent="0.3"/>
    <row r="4450" s="11" customFormat="1" x14ac:dyDescent="0.3"/>
    <row r="4451" s="11" customFormat="1" x14ac:dyDescent="0.3"/>
    <row r="4452" s="11" customFormat="1" x14ac:dyDescent="0.3"/>
    <row r="4453" s="11" customFormat="1" x14ac:dyDescent="0.3"/>
    <row r="4454" s="11" customFormat="1" x14ac:dyDescent="0.3"/>
    <row r="4455" s="11" customFormat="1" x14ac:dyDescent="0.3"/>
    <row r="4456" s="11" customFormat="1" x14ac:dyDescent="0.3"/>
    <row r="4457" s="11" customFormat="1" x14ac:dyDescent="0.3"/>
    <row r="4458" s="11" customFormat="1" x14ac:dyDescent="0.3"/>
    <row r="4459" s="11" customFormat="1" x14ac:dyDescent="0.3"/>
    <row r="4460" s="11" customFormat="1" x14ac:dyDescent="0.3"/>
    <row r="4461" s="11" customFormat="1" x14ac:dyDescent="0.3"/>
    <row r="4462" s="11" customFormat="1" x14ac:dyDescent="0.3"/>
    <row r="4463" s="11" customFormat="1" x14ac:dyDescent="0.3"/>
    <row r="4464" s="11" customFormat="1" x14ac:dyDescent="0.3"/>
    <row r="4465" s="11" customFormat="1" x14ac:dyDescent="0.3"/>
    <row r="4466" s="11" customFormat="1" x14ac:dyDescent="0.3"/>
    <row r="4467" s="11" customFormat="1" x14ac:dyDescent="0.3"/>
    <row r="4468" s="11" customFormat="1" x14ac:dyDescent="0.3"/>
    <row r="4469" s="11" customFormat="1" x14ac:dyDescent="0.3"/>
    <row r="4470" s="11" customFormat="1" x14ac:dyDescent="0.3"/>
    <row r="4471" s="11" customFormat="1" x14ac:dyDescent="0.3"/>
    <row r="4472" s="11" customFormat="1" x14ac:dyDescent="0.3"/>
    <row r="4473" s="11" customFormat="1" x14ac:dyDescent="0.3"/>
    <row r="4474" s="11" customFormat="1" x14ac:dyDescent="0.3"/>
    <row r="4475" s="11" customFormat="1" x14ac:dyDescent="0.3"/>
    <row r="4476" s="11" customFormat="1" x14ac:dyDescent="0.3"/>
    <row r="4477" s="11" customFormat="1" x14ac:dyDescent="0.3"/>
    <row r="4478" s="11" customFormat="1" x14ac:dyDescent="0.3"/>
    <row r="4479" s="11" customFormat="1" x14ac:dyDescent="0.3"/>
    <row r="4480" s="11" customFormat="1" x14ac:dyDescent="0.3"/>
    <row r="4481" s="11" customFormat="1" x14ac:dyDescent="0.3"/>
    <row r="4482" s="11" customFormat="1" x14ac:dyDescent="0.3"/>
    <row r="4483" s="11" customFormat="1" x14ac:dyDescent="0.3"/>
    <row r="4484" s="11" customFormat="1" x14ac:dyDescent="0.3"/>
    <row r="4485" s="11" customFormat="1" x14ac:dyDescent="0.3"/>
    <row r="4486" s="11" customFormat="1" x14ac:dyDescent="0.3"/>
    <row r="4487" s="11" customFormat="1" x14ac:dyDescent="0.3"/>
    <row r="4488" s="11" customFormat="1" x14ac:dyDescent="0.3"/>
    <row r="4489" s="11" customFormat="1" x14ac:dyDescent="0.3"/>
    <row r="4490" s="11" customFormat="1" x14ac:dyDescent="0.3"/>
    <row r="4491" s="11" customFormat="1" x14ac:dyDescent="0.3"/>
    <row r="4492" s="11" customFormat="1" x14ac:dyDescent="0.3"/>
    <row r="4493" s="11" customFormat="1" x14ac:dyDescent="0.3"/>
    <row r="4494" s="11" customFormat="1" x14ac:dyDescent="0.3"/>
    <row r="4495" s="11" customFormat="1" x14ac:dyDescent="0.3"/>
    <row r="4496" s="11" customFormat="1" x14ac:dyDescent="0.3"/>
    <row r="4497" s="11" customFormat="1" x14ac:dyDescent="0.3"/>
    <row r="4498" s="11" customFormat="1" x14ac:dyDescent="0.3"/>
    <row r="4499" s="11" customFormat="1" x14ac:dyDescent="0.3"/>
    <row r="4500" s="11" customFormat="1" x14ac:dyDescent="0.3"/>
    <row r="4501" s="11" customFormat="1" x14ac:dyDescent="0.3"/>
    <row r="4502" s="11" customFormat="1" x14ac:dyDescent="0.3"/>
    <row r="4503" s="11" customFormat="1" x14ac:dyDescent="0.3"/>
    <row r="4504" s="11" customFormat="1" x14ac:dyDescent="0.3"/>
    <row r="4505" s="11" customFormat="1" x14ac:dyDescent="0.3"/>
    <row r="4506" s="11" customFormat="1" x14ac:dyDescent="0.3"/>
    <row r="4507" s="11" customFormat="1" x14ac:dyDescent="0.3"/>
    <row r="4508" s="11" customFormat="1" x14ac:dyDescent="0.3"/>
    <row r="4509" s="11" customFormat="1" x14ac:dyDescent="0.3"/>
    <row r="4510" s="11" customFormat="1" x14ac:dyDescent="0.3"/>
    <row r="4511" s="11" customFormat="1" x14ac:dyDescent="0.3"/>
    <row r="4512" s="11" customFormat="1" x14ac:dyDescent="0.3"/>
    <row r="4513" s="11" customFormat="1" x14ac:dyDescent="0.3"/>
    <row r="4514" s="11" customFormat="1" x14ac:dyDescent="0.3"/>
    <row r="4515" s="11" customFormat="1" x14ac:dyDescent="0.3"/>
    <row r="4516" s="11" customFormat="1" x14ac:dyDescent="0.3"/>
    <row r="4517" s="11" customFormat="1" x14ac:dyDescent="0.3"/>
    <row r="4518" s="11" customFormat="1" x14ac:dyDescent="0.3"/>
    <row r="4519" s="11" customFormat="1" x14ac:dyDescent="0.3"/>
    <row r="4520" s="11" customFormat="1" x14ac:dyDescent="0.3"/>
    <row r="4521" s="11" customFormat="1" x14ac:dyDescent="0.3"/>
    <row r="4522" s="11" customFormat="1" x14ac:dyDescent="0.3"/>
    <row r="4523" s="11" customFormat="1" x14ac:dyDescent="0.3"/>
    <row r="4524" s="11" customFormat="1" x14ac:dyDescent="0.3"/>
    <row r="4525" s="11" customFormat="1" x14ac:dyDescent="0.3"/>
    <row r="4526" s="11" customFormat="1" x14ac:dyDescent="0.3"/>
    <row r="4527" s="11" customFormat="1" x14ac:dyDescent="0.3"/>
    <row r="4528" s="11" customFormat="1" x14ac:dyDescent="0.3"/>
    <row r="4529" s="11" customFormat="1" x14ac:dyDescent="0.3"/>
    <row r="4530" s="11" customFormat="1" x14ac:dyDescent="0.3"/>
    <row r="4531" s="11" customFormat="1" x14ac:dyDescent="0.3"/>
    <row r="4532" s="11" customFormat="1" x14ac:dyDescent="0.3"/>
    <row r="4533" s="11" customFormat="1" x14ac:dyDescent="0.3"/>
    <row r="4534" s="11" customFormat="1" x14ac:dyDescent="0.3"/>
    <row r="4535" s="11" customFormat="1" x14ac:dyDescent="0.3"/>
    <row r="4536" s="11" customFormat="1" x14ac:dyDescent="0.3"/>
    <row r="4537" s="11" customFormat="1" x14ac:dyDescent="0.3"/>
    <row r="4538" s="11" customFormat="1" x14ac:dyDescent="0.3"/>
    <row r="4539" s="11" customFormat="1" x14ac:dyDescent="0.3"/>
    <row r="4540" s="11" customFormat="1" x14ac:dyDescent="0.3"/>
    <row r="4541" s="11" customFormat="1" x14ac:dyDescent="0.3"/>
    <row r="4542" s="11" customFormat="1" x14ac:dyDescent="0.3"/>
    <row r="4543" s="11" customFormat="1" x14ac:dyDescent="0.3"/>
    <row r="4544" s="11" customFormat="1" x14ac:dyDescent="0.3"/>
    <row r="4545" s="11" customFormat="1" x14ac:dyDescent="0.3"/>
    <row r="4546" s="11" customFormat="1" x14ac:dyDescent="0.3"/>
    <row r="4547" s="11" customFormat="1" x14ac:dyDescent="0.3"/>
    <row r="4548" s="11" customFormat="1" x14ac:dyDescent="0.3"/>
    <row r="4549" s="11" customFormat="1" x14ac:dyDescent="0.3"/>
    <row r="4550" s="11" customFormat="1" x14ac:dyDescent="0.3"/>
    <row r="4551" s="11" customFormat="1" x14ac:dyDescent="0.3"/>
    <row r="4552" s="11" customFormat="1" x14ac:dyDescent="0.3"/>
    <row r="4553" s="11" customFormat="1" x14ac:dyDescent="0.3"/>
    <row r="4554" s="11" customFormat="1" x14ac:dyDescent="0.3"/>
    <row r="4555" s="11" customFormat="1" x14ac:dyDescent="0.3"/>
    <row r="4556" s="11" customFormat="1" x14ac:dyDescent="0.3"/>
    <row r="4557" s="11" customFormat="1" x14ac:dyDescent="0.3"/>
    <row r="4558" s="11" customFormat="1" x14ac:dyDescent="0.3"/>
    <row r="4559" s="11" customFormat="1" x14ac:dyDescent="0.3"/>
    <row r="4560" s="11" customFormat="1" x14ac:dyDescent="0.3"/>
    <row r="4561" s="11" customFormat="1" x14ac:dyDescent="0.3"/>
    <row r="4562" s="11" customFormat="1" x14ac:dyDescent="0.3"/>
    <row r="4563" s="11" customFormat="1" x14ac:dyDescent="0.3"/>
    <row r="4564" s="11" customFormat="1" x14ac:dyDescent="0.3"/>
    <row r="4565" s="11" customFormat="1" x14ac:dyDescent="0.3"/>
    <row r="4566" s="11" customFormat="1" x14ac:dyDescent="0.3"/>
    <row r="4567" s="11" customFormat="1" x14ac:dyDescent="0.3"/>
    <row r="4568" s="11" customFormat="1" x14ac:dyDescent="0.3"/>
    <row r="4569" s="11" customFormat="1" x14ac:dyDescent="0.3"/>
    <row r="4570" s="11" customFormat="1" x14ac:dyDescent="0.3"/>
    <row r="4571" s="11" customFormat="1" x14ac:dyDescent="0.3"/>
    <row r="4572" s="11" customFormat="1" x14ac:dyDescent="0.3"/>
    <row r="4573" s="11" customFormat="1" x14ac:dyDescent="0.3"/>
    <row r="4574" s="11" customFormat="1" x14ac:dyDescent="0.3"/>
    <row r="4575" s="11" customFormat="1" x14ac:dyDescent="0.3"/>
    <row r="4576" s="11" customFormat="1" x14ac:dyDescent="0.3"/>
    <row r="4577" s="11" customFormat="1" x14ac:dyDescent="0.3"/>
    <row r="4578" s="11" customFormat="1" x14ac:dyDescent="0.3"/>
    <row r="4579" s="11" customFormat="1" x14ac:dyDescent="0.3"/>
    <row r="4580" s="11" customFormat="1" x14ac:dyDescent="0.3"/>
    <row r="4581" s="11" customFormat="1" x14ac:dyDescent="0.3"/>
    <row r="4582" s="11" customFormat="1" x14ac:dyDescent="0.3"/>
    <row r="4583" s="11" customFormat="1" x14ac:dyDescent="0.3"/>
    <row r="4584" s="11" customFormat="1" x14ac:dyDescent="0.3"/>
    <row r="4585" s="11" customFormat="1" x14ac:dyDescent="0.3"/>
    <row r="4586" s="11" customFormat="1" x14ac:dyDescent="0.3"/>
    <row r="4587" s="11" customFormat="1" x14ac:dyDescent="0.3"/>
    <row r="4588" s="11" customFormat="1" x14ac:dyDescent="0.3"/>
    <row r="4589" s="11" customFormat="1" x14ac:dyDescent="0.3"/>
    <row r="4590" s="11" customFormat="1" x14ac:dyDescent="0.3"/>
    <row r="4591" s="11" customFormat="1" x14ac:dyDescent="0.3"/>
    <row r="4592" s="11" customFormat="1" x14ac:dyDescent="0.3"/>
    <row r="4593" s="11" customFormat="1" x14ac:dyDescent="0.3"/>
    <row r="4594" s="11" customFormat="1" x14ac:dyDescent="0.3"/>
    <row r="4595" s="11" customFormat="1" x14ac:dyDescent="0.3"/>
    <row r="4596" s="11" customFormat="1" x14ac:dyDescent="0.3"/>
    <row r="4597" s="11" customFormat="1" x14ac:dyDescent="0.3"/>
    <row r="4598" s="11" customFormat="1" x14ac:dyDescent="0.3"/>
    <row r="4599" s="11" customFormat="1" x14ac:dyDescent="0.3"/>
    <row r="4600" s="11" customFormat="1" x14ac:dyDescent="0.3"/>
    <row r="4601" s="11" customFormat="1" x14ac:dyDescent="0.3"/>
    <row r="4602" s="11" customFormat="1" x14ac:dyDescent="0.3"/>
    <row r="4603" s="11" customFormat="1" x14ac:dyDescent="0.3"/>
    <row r="4604" s="11" customFormat="1" x14ac:dyDescent="0.3"/>
    <row r="4605" s="11" customFormat="1" x14ac:dyDescent="0.3"/>
    <row r="4606" s="11" customFormat="1" x14ac:dyDescent="0.3"/>
    <row r="4607" s="11" customFormat="1" x14ac:dyDescent="0.3"/>
    <row r="4608" s="11" customFormat="1" x14ac:dyDescent="0.3"/>
    <row r="4609" s="11" customFormat="1" x14ac:dyDescent="0.3"/>
    <row r="4610" s="11" customFormat="1" x14ac:dyDescent="0.3"/>
    <row r="4611" s="11" customFormat="1" x14ac:dyDescent="0.3"/>
    <row r="4612" s="11" customFormat="1" x14ac:dyDescent="0.3"/>
    <row r="4613" s="11" customFormat="1" x14ac:dyDescent="0.3"/>
    <row r="4614" s="11" customFormat="1" x14ac:dyDescent="0.3"/>
    <row r="4615" s="11" customFormat="1" x14ac:dyDescent="0.3"/>
    <row r="4616" s="11" customFormat="1" x14ac:dyDescent="0.3"/>
    <row r="4617" s="11" customFormat="1" x14ac:dyDescent="0.3"/>
    <row r="4618" s="11" customFormat="1" x14ac:dyDescent="0.3"/>
    <row r="4619" s="11" customFormat="1" x14ac:dyDescent="0.3"/>
    <row r="4620" s="11" customFormat="1" x14ac:dyDescent="0.3"/>
    <row r="4621" s="11" customFormat="1" x14ac:dyDescent="0.3"/>
    <row r="4622" s="11" customFormat="1" x14ac:dyDescent="0.3"/>
    <row r="4623" s="11" customFormat="1" x14ac:dyDescent="0.3"/>
    <row r="4624" s="11" customFormat="1" x14ac:dyDescent="0.3"/>
    <row r="4625" s="11" customFormat="1" x14ac:dyDescent="0.3"/>
    <row r="4626" s="11" customFormat="1" x14ac:dyDescent="0.3"/>
    <row r="4627" s="11" customFormat="1" x14ac:dyDescent="0.3"/>
    <row r="4628" s="11" customFormat="1" x14ac:dyDescent="0.3"/>
    <row r="4629" s="11" customFormat="1" x14ac:dyDescent="0.3"/>
    <row r="4630" s="11" customFormat="1" x14ac:dyDescent="0.3"/>
    <row r="4631" s="11" customFormat="1" x14ac:dyDescent="0.3"/>
    <row r="4632" s="11" customFormat="1" x14ac:dyDescent="0.3"/>
    <row r="4633" s="11" customFormat="1" x14ac:dyDescent="0.3"/>
    <row r="4634" s="11" customFormat="1" x14ac:dyDescent="0.3"/>
    <row r="4635" s="11" customFormat="1" x14ac:dyDescent="0.3"/>
    <row r="4636" s="11" customFormat="1" x14ac:dyDescent="0.3"/>
    <row r="4637" s="11" customFormat="1" x14ac:dyDescent="0.3"/>
    <row r="4638" s="11" customFormat="1" x14ac:dyDescent="0.3"/>
    <row r="4639" s="11" customFormat="1" x14ac:dyDescent="0.3"/>
    <row r="4640" s="11" customFormat="1" x14ac:dyDescent="0.3"/>
    <row r="4641" s="11" customFormat="1" x14ac:dyDescent="0.3"/>
    <row r="4642" s="11" customFormat="1" x14ac:dyDescent="0.3"/>
    <row r="4643" s="11" customFormat="1" x14ac:dyDescent="0.3"/>
    <row r="4644" s="11" customFormat="1" x14ac:dyDescent="0.3"/>
    <row r="4645" s="11" customFormat="1" x14ac:dyDescent="0.3"/>
    <row r="4646" s="11" customFormat="1" x14ac:dyDescent="0.3"/>
    <row r="4647" s="11" customFormat="1" x14ac:dyDescent="0.3"/>
    <row r="4648" s="11" customFormat="1" x14ac:dyDescent="0.3"/>
    <row r="4649" s="11" customFormat="1" x14ac:dyDescent="0.3"/>
    <row r="4650" s="11" customFormat="1" x14ac:dyDescent="0.3"/>
    <row r="4651" s="11" customFormat="1" x14ac:dyDescent="0.3"/>
    <row r="4652" s="11" customFormat="1" x14ac:dyDescent="0.3"/>
    <row r="4653" s="11" customFormat="1" x14ac:dyDescent="0.3"/>
    <row r="4654" s="11" customFormat="1" x14ac:dyDescent="0.3"/>
    <row r="4655" s="11" customFormat="1" x14ac:dyDescent="0.3"/>
    <row r="4656" s="11" customFormat="1" x14ac:dyDescent="0.3"/>
    <row r="4657" spans="3:13" s="11" customFormat="1" x14ac:dyDescent="0.3"/>
    <row r="4658" spans="3:13" s="11" customFormat="1" x14ac:dyDescent="0.3"/>
    <row r="4659" spans="3:13" s="11" customFormat="1" x14ac:dyDescent="0.3"/>
    <row r="4660" spans="3:13" s="11" customFormat="1" x14ac:dyDescent="0.3"/>
    <row r="4661" spans="3:13" s="11" customFormat="1" x14ac:dyDescent="0.3"/>
    <row r="4662" spans="3:13" s="11" customFormat="1" x14ac:dyDescent="0.3"/>
    <row r="4663" spans="3:13" s="11" customFormat="1" x14ac:dyDescent="0.3"/>
    <row r="4664" spans="3:13" s="11" customFormat="1" x14ac:dyDescent="0.3"/>
    <row r="4665" spans="3:13" s="11" customFormat="1" x14ac:dyDescent="0.3"/>
    <row r="4666" spans="3:13" s="11" customFormat="1" x14ac:dyDescent="0.3">
      <c r="C4666" s="30"/>
    </row>
    <row r="4667" spans="3:13" s="11" customFormat="1" x14ac:dyDescent="0.3">
      <c r="C4667" s="30"/>
    </row>
    <row r="4668" spans="3:13" x14ac:dyDescent="0.3">
      <c r="M4668" s="11"/>
    </row>
    <row r="4669" spans="3:13" x14ac:dyDescent="0.3">
      <c r="M4669" s="11"/>
    </row>
    <row r="4670" spans="3:13" x14ac:dyDescent="0.3">
      <c r="M4670" s="11"/>
    </row>
  </sheetData>
  <mergeCells count="3">
    <mergeCell ref="Y21:AB21"/>
    <mergeCell ref="Y22:AB22"/>
    <mergeCell ref="Y23:AB23"/>
  </mergeCells>
  <pageMargins left="0.70866141732283472" right="0.70866141732283472" top="0.74803149606299213" bottom="0.74803149606299213" header="0.31496062992125984" footer="0.31496062992125984"/>
  <pageSetup paperSize="8" scale="55" orientation="landscape" horizontalDpi="4294967293" verticalDpi="4294967293" r:id="rId1"/>
  <ignoredErrors>
    <ignoredError sqref="T17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P12"/>
  <sheetViews>
    <sheetView zoomScale="85" zoomScaleNormal="85" workbookViewId="0">
      <selection activeCell="A2" sqref="A2"/>
    </sheetView>
  </sheetViews>
  <sheetFormatPr defaultRowHeight="14.4" x14ac:dyDescent="0.3"/>
  <cols>
    <col min="1" max="1" width="40.5546875" customWidth="1"/>
    <col min="2" max="2" width="39.33203125" bestFit="1" customWidth="1"/>
    <col min="3" max="3" width="29.33203125" customWidth="1"/>
    <col min="4" max="4" width="19.33203125" customWidth="1"/>
    <col min="5" max="5" width="49.6640625" customWidth="1"/>
    <col min="6" max="6" width="52.33203125" customWidth="1"/>
    <col min="7" max="12" width="20.6640625" customWidth="1"/>
  </cols>
  <sheetData>
    <row r="1" spans="1:16" x14ac:dyDescent="0.3">
      <c r="A1" s="65"/>
      <c r="B1" s="13" t="s">
        <v>144</v>
      </c>
      <c r="C1" s="13" t="s">
        <v>156</v>
      </c>
      <c r="D1" s="13" t="s">
        <v>158</v>
      </c>
      <c r="E1" s="13" t="s">
        <v>147</v>
      </c>
      <c r="F1" s="13" t="s">
        <v>148</v>
      </c>
    </row>
    <row r="2" spans="1:16" ht="28.95" customHeight="1" x14ac:dyDescent="0.3">
      <c r="A2" t="s">
        <v>380</v>
      </c>
      <c r="B2" s="66" t="str">
        <f>MID(A2,1,3)</f>
        <v>PRJ</v>
      </c>
      <c r="C2" s="66" t="str">
        <f>MID(A2,4,3)</f>
        <v>IC0</v>
      </c>
      <c r="D2" s="66" t="str">
        <f>MID(A2,7,1)</f>
        <v>D</v>
      </c>
      <c r="E2" s="66" t="str">
        <f>MID(A2,8,3)</f>
        <v>500</v>
      </c>
      <c r="F2" s="66" t="str">
        <f>MID($A$2,11,3)</f>
        <v>500</v>
      </c>
      <c r="P2" t="str">
        <f t="shared" ref="P2" si="0">MID(M2,7,1)</f>
        <v/>
      </c>
    </row>
    <row r="3" spans="1:16" ht="57" customHeight="1" x14ac:dyDescent="0.3">
      <c r="A3" s="206" t="e">
        <f>CONCATENATE(B3,C3,D3,E3,F3,A6,B6,C6)</f>
        <v>#N/A</v>
      </c>
      <c r="B3" s="66" t="e">
        <f>VLOOKUP(B$2,'Reversed C. List'!A2:B30,2,FALSE)</f>
        <v>#N/A</v>
      </c>
      <c r="C3" s="66" t="str">
        <f>VLOOKUP(C$2,'Reversed C. List'!C$2:D$30,2,FALSE)</f>
        <v>IC</v>
      </c>
      <c r="D3" s="66" t="str">
        <f>VLOOKUP(D$2,'Reversed C. List'!E$2:F$30,2,FALSE)</f>
        <v>Diesel</v>
      </c>
      <c r="E3" s="66" t="e" cm="1">
        <f t="array" ref="E3">VLOOKUP(E2,TRIM('Reversed C. List'!G:H),2,FALSE)</f>
        <v>#N/A</v>
      </c>
      <c r="F3" s="66" t="e" cm="1">
        <f t="array" ref="F3">VLOOKUP(F2,TRIM('Reversed C. List'!I:J),2,FALSE)</f>
        <v>#N/A</v>
      </c>
    </row>
    <row r="4" spans="1:16" x14ac:dyDescent="0.3">
      <c r="A4" s="13" t="s">
        <v>149</v>
      </c>
      <c r="B4" s="13" t="s">
        <v>150</v>
      </c>
      <c r="C4" s="13" t="s">
        <v>151</v>
      </c>
      <c r="D4" s="13" t="s">
        <v>141</v>
      </c>
      <c r="E4" s="13"/>
      <c r="F4" s="13"/>
    </row>
    <row r="5" spans="1:16" x14ac:dyDescent="0.3">
      <c r="A5" s="211" t="str">
        <f>MID(A2,14,3)</f>
        <v>600</v>
      </c>
      <c r="B5" s="66" t="str">
        <f>MID(A2,17,3)</f>
        <v>500</v>
      </c>
      <c r="C5" s="66" t="str">
        <f>MID(A2,20,3)</f>
        <v>500</v>
      </c>
      <c r="D5" s="66" t="str">
        <f>MID(A2,23,3)</f>
        <v>000</v>
      </c>
      <c r="E5" s="66"/>
      <c r="F5" s="66"/>
    </row>
    <row r="6" spans="1:16" x14ac:dyDescent="0.3">
      <c r="A6" s="66" t="e">
        <f>VLOOKUP(A$5,'Reversed C. List'!M2:N22,2,FALSE)</f>
        <v>#N/A</v>
      </c>
      <c r="B6" s="66" t="str">
        <f>VLOOKUP(B$5,'Reversed C. List'!S2:T28,2,TRUE)</f>
        <v>LASSA Maxiways 100 S 225/75R17.5</v>
      </c>
      <c r="C6" s="66" t="str">
        <f>VLOOKUP(C5,'Reversed C. List'!U2:V28,2,FALSE)</f>
        <v>LASSA Maxiways 100 S 225/75R17.5</v>
      </c>
      <c r="D6" s="66" t="str" cm="1">
        <f t="array" ref="D6">VLOOKUP(D5,TRIM('Reversed C. List'!W:X),2,FALSE)</f>
        <v>YOK</v>
      </c>
      <c r="E6" s="66" t="e" cm="1">
        <f t="array" ref="E6">VLOOKUP(E5,TRIM('Reversed C. List'!Y:Z),2,FALSE)</f>
        <v>#N/A</v>
      </c>
      <c r="F6" s="66" t="e" cm="1">
        <f t="array" ref="F6">VLOOKUP(F5,TRIM('Reversed C. List'!AA:AB),2,FALSE)</f>
        <v>#N/A</v>
      </c>
    </row>
    <row r="9" spans="1:16" x14ac:dyDescent="0.3">
      <c r="G9" s="64"/>
    </row>
    <row r="10" spans="1:16" x14ac:dyDescent="0.3">
      <c r="G10" s="12"/>
    </row>
    <row r="11" spans="1:16" x14ac:dyDescent="0.3">
      <c r="A11" t="s">
        <v>129</v>
      </c>
      <c r="B11" t="s">
        <v>155</v>
      </c>
      <c r="C11" t="s">
        <v>339</v>
      </c>
      <c r="D11" t="s">
        <v>132</v>
      </c>
      <c r="E11" t="s">
        <v>133</v>
      </c>
      <c r="F11" t="s">
        <v>134</v>
      </c>
      <c r="G11" t="s">
        <v>139</v>
      </c>
      <c r="H11" t="s">
        <v>140</v>
      </c>
      <c r="I11" t="s">
        <v>379</v>
      </c>
    </row>
    <row r="12" spans="1:16" x14ac:dyDescent="0.3">
      <c r="A12" t="e">
        <f>B3</f>
        <v>#N/A</v>
      </c>
      <c r="B12" t="str">
        <f t="shared" ref="B12:E12" si="1">C3</f>
        <v>IC</v>
      </c>
      <c r="C12" t="str">
        <f t="shared" si="1"/>
        <v>Diesel</v>
      </c>
      <c r="D12" t="e">
        <f t="shared" si="1"/>
        <v>#N/A</v>
      </c>
      <c r="E12" t="e">
        <f t="shared" si="1"/>
        <v>#N/A</v>
      </c>
      <c r="F12" t="e">
        <f>A6</f>
        <v>#N/A</v>
      </c>
      <c r="G12" t="str">
        <f t="shared" ref="G12:I12" si="2">B6</f>
        <v>LASSA Maxiways 100 S 225/75R17.5</v>
      </c>
      <c r="H12" t="str">
        <f t="shared" si="2"/>
        <v>LASSA Maxiways 100 S 225/75R17.5</v>
      </c>
      <c r="I12" t="str">
        <f t="shared" si="2"/>
        <v>YOK</v>
      </c>
    </row>
  </sheetData>
  <dataValidations count="1">
    <dataValidation errorStyle="warning" allowBlank="1" showInputMessage="1" showErrorMessage="1" errorTitle="Hata !" error="Lütfen 31 karakter olarak VECTO Araç kodu giriniz." sqref="A3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B131"/>
  <sheetViews>
    <sheetView workbookViewId="0">
      <selection activeCell="K50" sqref="K50"/>
    </sheetView>
  </sheetViews>
  <sheetFormatPr defaultRowHeight="15" customHeight="1" x14ac:dyDescent="0.3"/>
  <cols>
    <col min="1" max="1" width="30.6640625" style="11" customWidth="1"/>
    <col min="2" max="2" width="30.6640625" style="30" customWidth="1"/>
    <col min="3" max="3" width="30.6640625" style="11" customWidth="1"/>
    <col min="4" max="4" width="30.6640625" style="30" customWidth="1"/>
    <col min="5" max="5" width="30.6640625" style="11" customWidth="1"/>
    <col min="6" max="6" width="30.6640625" style="30" customWidth="1"/>
    <col min="7" max="7" width="30.6640625" style="11" customWidth="1"/>
    <col min="8" max="8" width="30.6640625" style="30" customWidth="1"/>
    <col min="9" max="9" width="30.6640625" style="11" customWidth="1"/>
    <col min="10" max="10" width="30.6640625" style="30" customWidth="1"/>
    <col min="11" max="11" width="30.6640625" style="11" customWidth="1"/>
    <col min="12" max="12" width="30.6640625" style="30" customWidth="1"/>
    <col min="13" max="13" width="30.6640625" style="205" customWidth="1"/>
    <col min="14" max="14" width="30.6640625" style="30" customWidth="1"/>
    <col min="15" max="15" width="30.6640625" style="11" customWidth="1"/>
    <col min="16" max="16" width="30.6640625" style="30" customWidth="1"/>
    <col min="17" max="17" width="30.6640625" style="11" customWidth="1"/>
    <col min="18" max="18" width="30.6640625" style="30" customWidth="1"/>
    <col min="19" max="19" width="30.6640625" style="11" customWidth="1"/>
    <col min="20" max="20" width="44.6640625" style="30" bestFit="1" customWidth="1"/>
    <col min="21" max="21" width="30.6640625" style="11" customWidth="1"/>
    <col min="22" max="22" width="44.6640625" style="30" bestFit="1" customWidth="1"/>
    <col min="23" max="23" width="18.6640625" customWidth="1"/>
    <col min="24" max="24" width="39.6640625" style="217" customWidth="1"/>
    <col min="25" max="25" width="34.6640625" customWidth="1"/>
    <col min="26" max="26" width="29.33203125" style="73" customWidth="1"/>
    <col min="27" max="27" width="34.6640625" customWidth="1"/>
    <col min="28" max="28" width="29.33203125" style="73" customWidth="1"/>
  </cols>
  <sheetData>
    <row r="1" spans="1:28" ht="15" customHeight="1" thickBot="1" x14ac:dyDescent="0.35">
      <c r="A1" s="40" t="s">
        <v>144</v>
      </c>
      <c r="B1" s="39" t="s">
        <v>129</v>
      </c>
      <c r="C1" s="40" t="s">
        <v>156</v>
      </c>
      <c r="D1" s="41" t="s">
        <v>155</v>
      </c>
      <c r="E1" s="40" t="s">
        <v>158</v>
      </c>
      <c r="F1" s="41" t="s">
        <v>157</v>
      </c>
      <c r="G1" s="40" t="s">
        <v>147</v>
      </c>
      <c r="H1" s="41" t="s">
        <v>132</v>
      </c>
      <c r="I1" s="40" t="s">
        <v>148</v>
      </c>
      <c r="J1" s="41" t="s">
        <v>133</v>
      </c>
      <c r="K1" s="40" t="s">
        <v>160</v>
      </c>
      <c r="L1" s="41" t="s">
        <v>159</v>
      </c>
      <c r="M1" s="202" t="s">
        <v>149</v>
      </c>
      <c r="N1" s="41" t="s">
        <v>134</v>
      </c>
      <c r="O1" s="40" t="s">
        <v>162</v>
      </c>
      <c r="P1" s="41" t="s">
        <v>161</v>
      </c>
      <c r="Q1" s="40" t="s">
        <v>164</v>
      </c>
      <c r="R1" s="63" t="s">
        <v>163</v>
      </c>
      <c r="S1" s="11" t="s">
        <v>150</v>
      </c>
      <c r="T1" s="41" t="s">
        <v>139</v>
      </c>
      <c r="U1" s="11" t="s">
        <v>151</v>
      </c>
      <c r="V1" s="41" t="s">
        <v>140</v>
      </c>
      <c r="W1" t="s">
        <v>141</v>
      </c>
      <c r="X1" s="41" t="s">
        <v>141</v>
      </c>
      <c r="Y1" s="71" t="s">
        <v>152</v>
      </c>
      <c r="Z1" s="41" t="s">
        <v>152</v>
      </c>
      <c r="AA1" s="71" t="s">
        <v>153</v>
      </c>
      <c r="AB1" s="41" t="s">
        <v>153</v>
      </c>
    </row>
    <row r="2" spans="1:28" ht="15" customHeight="1" thickBot="1" x14ac:dyDescent="0.35">
      <c r="A2" s="143" t="s">
        <v>167</v>
      </c>
      <c r="B2" s="43" t="s">
        <v>166</v>
      </c>
      <c r="C2" s="143" t="s">
        <v>168</v>
      </c>
      <c r="D2" s="45" t="s">
        <v>168</v>
      </c>
      <c r="E2" s="44" t="s">
        <v>169</v>
      </c>
      <c r="F2" s="45" t="s">
        <v>136</v>
      </c>
      <c r="G2" s="143">
        <v>100</v>
      </c>
      <c r="H2" s="46" t="s">
        <v>170</v>
      </c>
      <c r="I2" s="146">
        <v>100</v>
      </c>
      <c r="J2" s="45" t="s">
        <v>171</v>
      </c>
      <c r="K2" s="44">
        <v>100</v>
      </c>
      <c r="L2" s="47" t="s">
        <v>172</v>
      </c>
      <c r="M2" s="207" t="s">
        <v>315</v>
      </c>
      <c r="N2" s="47" t="s">
        <v>138</v>
      </c>
      <c r="O2" s="48" t="s">
        <v>173</v>
      </c>
      <c r="P2" s="30" t="s">
        <v>143</v>
      </c>
      <c r="Q2" s="48" t="s">
        <v>173</v>
      </c>
      <c r="R2" s="62" t="s">
        <v>143</v>
      </c>
      <c r="S2" s="210" t="s">
        <v>315</v>
      </c>
      <c r="T2" s="197" t="s">
        <v>174</v>
      </c>
      <c r="U2" s="11" t="s">
        <v>315</v>
      </c>
      <c r="V2" s="197" t="s">
        <v>174</v>
      </c>
      <c r="W2" t="s">
        <v>315</v>
      </c>
      <c r="X2" s="45" t="s">
        <v>174</v>
      </c>
      <c r="Y2" s="72" t="s">
        <v>176</v>
      </c>
      <c r="Z2" s="45" t="s">
        <v>175</v>
      </c>
      <c r="AA2" s="72">
        <v>1</v>
      </c>
      <c r="AB2" s="45">
        <v>1</v>
      </c>
    </row>
    <row r="3" spans="1:28" ht="15" customHeight="1" x14ac:dyDescent="0.3">
      <c r="A3" s="144" t="s">
        <v>177</v>
      </c>
      <c r="B3" s="49" t="s">
        <v>135</v>
      </c>
      <c r="C3" s="144" t="s">
        <v>179</v>
      </c>
      <c r="D3" s="32" t="s">
        <v>178</v>
      </c>
      <c r="E3" s="31" t="s">
        <v>181</v>
      </c>
      <c r="F3" s="32" t="s">
        <v>180</v>
      </c>
      <c r="G3" s="144">
        <v>101</v>
      </c>
      <c r="H3" s="33" t="s">
        <v>182</v>
      </c>
      <c r="I3" s="147">
        <v>101</v>
      </c>
      <c r="J3" s="32" t="s">
        <v>41</v>
      </c>
      <c r="K3" s="31">
        <v>101</v>
      </c>
      <c r="L3" s="34" t="s">
        <v>183</v>
      </c>
      <c r="M3" s="209" t="s">
        <v>316</v>
      </c>
      <c r="N3" s="34" t="s">
        <v>184</v>
      </c>
      <c r="O3" s="31">
        <v>200</v>
      </c>
      <c r="P3" s="45" t="s">
        <v>185</v>
      </c>
      <c r="Q3" s="31">
        <v>200</v>
      </c>
      <c r="R3" s="32" t="s">
        <v>186</v>
      </c>
      <c r="S3" s="210" t="s">
        <v>316</v>
      </c>
      <c r="T3" s="197" t="s">
        <v>142</v>
      </c>
      <c r="U3" s="11" t="s">
        <v>316</v>
      </c>
      <c r="V3" s="197" t="s">
        <v>142</v>
      </c>
      <c r="W3" t="s">
        <v>316</v>
      </c>
      <c r="X3" s="32" t="s">
        <v>142</v>
      </c>
      <c r="Y3" s="31" t="s">
        <v>188</v>
      </c>
      <c r="Z3" s="32" t="s">
        <v>187</v>
      </c>
      <c r="AA3" s="31">
        <v>2</v>
      </c>
      <c r="AB3" s="32">
        <v>2</v>
      </c>
    </row>
    <row r="4" spans="1:28" ht="15" customHeight="1" thickBot="1" x14ac:dyDescent="0.35">
      <c r="A4" s="144" t="s">
        <v>190</v>
      </c>
      <c r="B4" s="49" t="s">
        <v>189</v>
      </c>
      <c r="C4" s="145" t="s">
        <v>192</v>
      </c>
      <c r="D4" s="32" t="s">
        <v>191</v>
      </c>
      <c r="E4" s="31" t="s">
        <v>194</v>
      </c>
      <c r="F4" s="36" t="s">
        <v>193</v>
      </c>
      <c r="G4" s="144">
        <v>102</v>
      </c>
      <c r="H4" s="33" t="s">
        <v>137</v>
      </c>
      <c r="I4" s="147">
        <v>102</v>
      </c>
      <c r="J4" s="32" t="s">
        <v>195</v>
      </c>
      <c r="K4" s="31">
        <v>102</v>
      </c>
      <c r="L4" s="34" t="s">
        <v>196</v>
      </c>
      <c r="M4" s="208" t="s">
        <v>317</v>
      </c>
      <c r="N4" s="33" t="s">
        <v>197</v>
      </c>
      <c r="O4" s="31">
        <v>300</v>
      </c>
      <c r="P4" s="32" t="s">
        <v>318</v>
      </c>
      <c r="Q4" s="31">
        <v>201</v>
      </c>
      <c r="R4" s="32" t="s">
        <v>199</v>
      </c>
      <c r="S4" s="210" t="s">
        <v>317</v>
      </c>
      <c r="T4" s="197" t="s">
        <v>200</v>
      </c>
      <c r="U4" s="11" t="s">
        <v>317</v>
      </c>
      <c r="V4" s="197" t="s">
        <v>200</v>
      </c>
      <c r="W4" t="s">
        <v>317</v>
      </c>
      <c r="X4" s="32" t="s">
        <v>200</v>
      </c>
      <c r="Y4" s="31"/>
      <c r="Z4" s="32"/>
      <c r="AA4" s="31">
        <v>3</v>
      </c>
      <c r="AB4" s="32">
        <v>3</v>
      </c>
    </row>
    <row r="5" spans="1:28" ht="15" customHeight="1" x14ac:dyDescent="0.3">
      <c r="A5" s="144" t="s">
        <v>202</v>
      </c>
      <c r="B5" s="49" t="s">
        <v>201</v>
      </c>
      <c r="C5" s="144" t="s">
        <v>203</v>
      </c>
      <c r="D5" s="32" t="s">
        <v>203</v>
      </c>
      <c r="E5" s="31" t="s">
        <v>205</v>
      </c>
      <c r="F5" s="32" t="s">
        <v>204</v>
      </c>
      <c r="G5" s="144">
        <v>200</v>
      </c>
      <c r="H5" s="33" t="s">
        <v>206</v>
      </c>
      <c r="I5" s="147">
        <v>103</v>
      </c>
      <c r="J5" s="32" t="s">
        <v>207</v>
      </c>
      <c r="K5" s="31">
        <v>200</v>
      </c>
      <c r="L5" s="34" t="s">
        <v>55</v>
      </c>
      <c r="M5" s="207" t="s">
        <v>319</v>
      </c>
      <c r="N5" s="34" t="s">
        <v>208</v>
      </c>
      <c r="O5" s="31"/>
      <c r="P5" s="32"/>
      <c r="Q5" s="31">
        <v>100</v>
      </c>
      <c r="R5" s="32" t="s">
        <v>209</v>
      </c>
      <c r="S5" s="210" t="s">
        <v>319</v>
      </c>
      <c r="T5" s="197" t="s">
        <v>210</v>
      </c>
      <c r="U5" s="11" t="s">
        <v>319</v>
      </c>
      <c r="V5" s="197" t="s">
        <v>210</v>
      </c>
      <c r="W5" t="s">
        <v>319</v>
      </c>
      <c r="X5" s="32" t="s">
        <v>210</v>
      </c>
      <c r="Y5" s="31"/>
      <c r="Z5" s="32"/>
      <c r="AA5" s="31"/>
      <c r="AB5" s="32"/>
    </row>
    <row r="6" spans="1:28" ht="15" customHeight="1" x14ac:dyDescent="0.3">
      <c r="A6" s="144" t="s">
        <v>212</v>
      </c>
      <c r="B6" s="49" t="s">
        <v>211</v>
      </c>
      <c r="C6" s="144" t="s">
        <v>213</v>
      </c>
      <c r="D6" s="32" t="s">
        <v>21</v>
      </c>
      <c r="E6" s="31" t="s">
        <v>215</v>
      </c>
      <c r="F6" s="32" t="s">
        <v>214</v>
      </c>
      <c r="G6" s="144">
        <v>201</v>
      </c>
      <c r="H6" s="33" t="s">
        <v>216</v>
      </c>
      <c r="I6" s="147">
        <v>104</v>
      </c>
      <c r="J6" s="32" t="s">
        <v>47</v>
      </c>
      <c r="K6" s="35" t="s">
        <v>173</v>
      </c>
      <c r="L6" s="32" t="s">
        <v>143</v>
      </c>
      <c r="M6" s="209" t="s">
        <v>320</v>
      </c>
      <c r="N6" s="32" t="s">
        <v>218</v>
      </c>
      <c r="O6" s="31"/>
      <c r="P6" s="32"/>
      <c r="Q6" s="31">
        <v>101</v>
      </c>
      <c r="R6" s="32" t="s">
        <v>219</v>
      </c>
      <c r="S6" s="210" t="s">
        <v>320</v>
      </c>
      <c r="T6" s="198" t="s">
        <v>220</v>
      </c>
      <c r="U6" s="11" t="s">
        <v>320</v>
      </c>
      <c r="V6" s="198" t="s">
        <v>220</v>
      </c>
      <c r="W6" t="s">
        <v>320</v>
      </c>
      <c r="X6" s="32" t="s">
        <v>220</v>
      </c>
      <c r="Y6" s="31"/>
      <c r="Z6" s="32"/>
      <c r="AA6" s="31"/>
      <c r="AB6" s="32"/>
    </row>
    <row r="7" spans="1:28" ht="15" customHeight="1" x14ac:dyDescent="0.3">
      <c r="A7" s="144" t="s">
        <v>222</v>
      </c>
      <c r="B7" s="49" t="s">
        <v>221</v>
      </c>
      <c r="C7" s="144" t="s">
        <v>224</v>
      </c>
      <c r="D7" s="32" t="s">
        <v>223</v>
      </c>
      <c r="E7" s="31"/>
      <c r="F7" s="32"/>
      <c r="G7" s="144">
        <v>202</v>
      </c>
      <c r="H7" s="33" t="s">
        <v>225</v>
      </c>
      <c r="I7" s="147">
        <v>105</v>
      </c>
      <c r="J7" s="32" t="s">
        <v>39</v>
      </c>
      <c r="K7" s="31"/>
      <c r="L7" s="37"/>
      <c r="M7" s="208" t="s">
        <v>321</v>
      </c>
      <c r="N7" s="32" t="s">
        <v>322</v>
      </c>
      <c r="O7" s="31"/>
      <c r="P7" s="32"/>
      <c r="Q7" s="31"/>
      <c r="S7" s="210" t="s">
        <v>321</v>
      </c>
      <c r="T7" s="197" t="s">
        <v>227</v>
      </c>
      <c r="U7" s="11" t="s">
        <v>321</v>
      </c>
      <c r="V7" s="197" t="s">
        <v>227</v>
      </c>
      <c r="W7" t="s">
        <v>321</v>
      </c>
      <c r="X7" s="32" t="s">
        <v>227</v>
      </c>
      <c r="Y7" s="11"/>
      <c r="Z7" s="32"/>
      <c r="AA7" s="11"/>
      <c r="AB7" s="32"/>
    </row>
    <row r="8" spans="1:28" ht="15" customHeight="1" x14ac:dyDescent="0.3">
      <c r="A8" s="144" t="s">
        <v>229</v>
      </c>
      <c r="B8" s="49" t="s">
        <v>228</v>
      </c>
      <c r="C8" s="144" t="s">
        <v>231</v>
      </c>
      <c r="D8" s="32" t="s">
        <v>230</v>
      </c>
      <c r="E8" s="31"/>
      <c r="F8" s="32"/>
      <c r="G8" s="144">
        <v>203</v>
      </c>
      <c r="H8" s="33" t="s">
        <v>232</v>
      </c>
      <c r="I8" s="147">
        <v>106</v>
      </c>
      <c r="J8" s="32" t="s">
        <v>45</v>
      </c>
      <c r="K8" s="31"/>
      <c r="L8" s="37"/>
      <c r="M8" s="208" t="s">
        <v>324</v>
      </c>
      <c r="N8" s="32" t="s">
        <v>374</v>
      </c>
      <c r="O8" s="31"/>
      <c r="P8" s="32"/>
      <c r="Q8" s="31"/>
      <c r="S8" s="210" t="s">
        <v>324</v>
      </c>
      <c r="T8" s="197" t="s">
        <v>234</v>
      </c>
      <c r="U8" s="11" t="s">
        <v>324</v>
      </c>
      <c r="V8" s="197" t="s">
        <v>234</v>
      </c>
      <c r="W8" t="s">
        <v>324</v>
      </c>
      <c r="X8" s="32" t="s">
        <v>234</v>
      </c>
      <c r="Y8" s="11"/>
      <c r="Z8" s="32"/>
      <c r="AA8" s="11"/>
      <c r="AB8" s="32"/>
    </row>
    <row r="9" spans="1:28" ht="15" customHeight="1" x14ac:dyDescent="0.3">
      <c r="A9" s="144" t="s">
        <v>236</v>
      </c>
      <c r="B9" s="49" t="s">
        <v>235</v>
      </c>
      <c r="C9" s="144" t="s">
        <v>238</v>
      </c>
      <c r="D9" s="32" t="s">
        <v>237</v>
      </c>
      <c r="E9" s="31"/>
      <c r="F9" s="32"/>
      <c r="G9" s="144">
        <v>300</v>
      </c>
      <c r="H9" s="33" t="s">
        <v>239</v>
      </c>
      <c r="I9" s="147">
        <v>107</v>
      </c>
      <c r="J9" s="32" t="s">
        <v>240</v>
      </c>
      <c r="K9" s="31"/>
      <c r="L9" s="37"/>
      <c r="M9" s="208" t="s">
        <v>323</v>
      </c>
      <c r="N9" s="33" t="s">
        <v>233</v>
      </c>
      <c r="O9" s="31"/>
      <c r="P9" s="32"/>
      <c r="Q9" s="31"/>
      <c r="S9" s="210" t="s">
        <v>325</v>
      </c>
      <c r="T9" s="197" t="s">
        <v>242</v>
      </c>
      <c r="U9" s="11" t="s">
        <v>325</v>
      </c>
      <c r="V9" s="197" t="s">
        <v>242</v>
      </c>
      <c r="W9" t="s">
        <v>325</v>
      </c>
      <c r="X9" s="32" t="s">
        <v>242</v>
      </c>
      <c r="Y9" s="11"/>
      <c r="Z9" s="32"/>
      <c r="AA9" s="11"/>
      <c r="AB9" s="32"/>
    </row>
    <row r="10" spans="1:28" ht="15" customHeight="1" x14ac:dyDescent="0.3">
      <c r="A10" s="144" t="s">
        <v>243</v>
      </c>
      <c r="B10" s="49" t="s">
        <v>243</v>
      </c>
      <c r="C10" s="144" t="s">
        <v>245</v>
      </c>
      <c r="D10" s="32" t="s">
        <v>244</v>
      </c>
      <c r="E10" s="31"/>
      <c r="F10" s="32"/>
      <c r="G10" s="144">
        <v>301</v>
      </c>
      <c r="H10" s="33" t="s">
        <v>246</v>
      </c>
      <c r="I10" s="147">
        <v>108</v>
      </c>
      <c r="J10" s="32" t="s">
        <v>247</v>
      </c>
      <c r="K10" s="31"/>
      <c r="L10" s="37"/>
      <c r="M10" s="208" t="s">
        <v>265</v>
      </c>
      <c r="N10" s="33" t="s">
        <v>241</v>
      </c>
      <c r="O10" s="31"/>
      <c r="P10" s="32"/>
      <c r="Q10" s="31"/>
      <c r="R10" s="32"/>
      <c r="S10" s="210" t="s">
        <v>327</v>
      </c>
      <c r="T10" s="197" t="s">
        <v>249</v>
      </c>
      <c r="U10" s="11" t="s">
        <v>327</v>
      </c>
      <c r="V10" s="197" t="s">
        <v>249</v>
      </c>
      <c r="W10" t="s">
        <v>327</v>
      </c>
      <c r="X10" s="32" t="s">
        <v>249</v>
      </c>
      <c r="Y10" s="31"/>
      <c r="Z10" s="32"/>
      <c r="AA10" s="31"/>
      <c r="AB10" s="32"/>
    </row>
    <row r="11" spans="1:28" ht="15" customHeight="1" x14ac:dyDescent="0.3">
      <c r="A11" s="144" t="s">
        <v>250</v>
      </c>
      <c r="B11" s="49" t="s">
        <v>250</v>
      </c>
      <c r="C11" s="144" t="s">
        <v>252</v>
      </c>
      <c r="D11" s="32" t="s">
        <v>251</v>
      </c>
      <c r="E11" s="31"/>
      <c r="F11" s="32"/>
      <c r="G11" s="194">
        <v>401</v>
      </c>
      <c r="H11" s="33" t="s">
        <v>253</v>
      </c>
      <c r="I11" s="147">
        <v>109</v>
      </c>
      <c r="J11" s="32" t="s">
        <v>254</v>
      </c>
      <c r="K11" s="31"/>
      <c r="L11" s="37"/>
      <c r="M11" s="208" t="s">
        <v>326</v>
      </c>
      <c r="N11" s="33" t="s">
        <v>248</v>
      </c>
      <c r="O11" s="31"/>
      <c r="P11" s="32"/>
      <c r="Q11" s="31"/>
      <c r="R11" s="32"/>
      <c r="S11" s="210" t="s">
        <v>323</v>
      </c>
      <c r="T11" s="199" t="s">
        <v>256</v>
      </c>
      <c r="U11" s="11" t="s">
        <v>323</v>
      </c>
      <c r="V11" s="199" t="s">
        <v>256</v>
      </c>
      <c r="W11" t="s">
        <v>323</v>
      </c>
      <c r="X11" s="32" t="s">
        <v>256</v>
      </c>
      <c r="Y11" s="31"/>
      <c r="Z11" s="32"/>
      <c r="AA11" s="31"/>
      <c r="AB11" s="32"/>
    </row>
    <row r="12" spans="1:28" ht="15" customHeight="1" x14ac:dyDescent="0.3">
      <c r="A12" s="144" t="s">
        <v>258</v>
      </c>
      <c r="B12" s="49" t="s">
        <v>257</v>
      </c>
      <c r="C12" s="31" t="s">
        <v>260</v>
      </c>
      <c r="D12" s="32" t="s">
        <v>259</v>
      </c>
      <c r="E12" s="31"/>
      <c r="F12" s="32"/>
      <c r="G12" s="144">
        <v>402</v>
      </c>
      <c r="H12" s="32" t="s">
        <v>261</v>
      </c>
      <c r="I12" s="147">
        <v>110</v>
      </c>
      <c r="J12" s="32" t="s">
        <v>262</v>
      </c>
      <c r="K12" s="31"/>
      <c r="L12" s="37"/>
      <c r="M12" s="208" t="s">
        <v>328</v>
      </c>
      <c r="N12" s="33" t="s">
        <v>255</v>
      </c>
      <c r="O12" s="31"/>
      <c r="P12" s="32"/>
      <c r="Q12" s="31"/>
      <c r="R12" s="32"/>
      <c r="S12" s="210" t="s">
        <v>265</v>
      </c>
      <c r="T12" s="199" t="s">
        <v>264</v>
      </c>
      <c r="U12" s="11" t="s">
        <v>265</v>
      </c>
      <c r="V12" s="199" t="s">
        <v>264</v>
      </c>
      <c r="W12" t="s">
        <v>265</v>
      </c>
      <c r="X12" s="36" t="s">
        <v>264</v>
      </c>
      <c r="Y12" s="31"/>
      <c r="Z12" s="36"/>
      <c r="AA12" s="31"/>
      <c r="AB12" s="36"/>
    </row>
    <row r="13" spans="1:28" ht="15" customHeight="1" x14ac:dyDescent="0.3">
      <c r="A13" s="35" t="s">
        <v>267</v>
      </c>
      <c r="B13" s="52" t="s">
        <v>266</v>
      </c>
      <c r="C13" s="31"/>
      <c r="D13" s="32"/>
      <c r="E13" s="31"/>
      <c r="F13" s="32"/>
      <c r="G13" s="144">
        <v>403</v>
      </c>
      <c r="H13" s="32" t="s">
        <v>268</v>
      </c>
      <c r="I13" s="148">
        <v>111</v>
      </c>
      <c r="J13" s="32" t="s">
        <v>269</v>
      </c>
      <c r="K13" s="31"/>
      <c r="L13" s="37"/>
      <c r="M13" s="208" t="s">
        <v>280</v>
      </c>
      <c r="N13" s="33" t="s">
        <v>263</v>
      </c>
      <c r="O13" s="31"/>
      <c r="P13" s="32"/>
      <c r="Q13" s="31"/>
      <c r="R13" s="32"/>
      <c r="S13" s="210" t="s">
        <v>326</v>
      </c>
      <c r="T13" s="199" t="s">
        <v>271</v>
      </c>
      <c r="U13" s="11" t="s">
        <v>326</v>
      </c>
      <c r="V13" s="199" t="s">
        <v>271</v>
      </c>
      <c r="W13" t="s">
        <v>326</v>
      </c>
      <c r="X13" s="36" t="s">
        <v>271</v>
      </c>
      <c r="Y13" s="31"/>
      <c r="Z13" s="36"/>
      <c r="AA13" s="31"/>
      <c r="AB13" s="36"/>
    </row>
    <row r="14" spans="1:28" ht="15" customHeight="1" x14ac:dyDescent="0.3">
      <c r="A14" s="31" t="s">
        <v>168</v>
      </c>
      <c r="B14" s="52" t="s">
        <v>272</v>
      </c>
      <c r="C14" s="31"/>
      <c r="D14" s="32"/>
      <c r="E14" s="31"/>
      <c r="F14" s="32"/>
      <c r="G14" s="144">
        <v>404</v>
      </c>
      <c r="H14" s="32" t="s">
        <v>273</v>
      </c>
      <c r="I14" s="144">
        <v>200</v>
      </c>
      <c r="J14" s="33" t="s">
        <v>42</v>
      </c>
      <c r="K14" s="31"/>
      <c r="L14" s="37"/>
      <c r="M14" s="208" t="s">
        <v>329</v>
      </c>
      <c r="N14" s="33" t="s">
        <v>270</v>
      </c>
      <c r="O14" s="31"/>
      <c r="P14" s="32"/>
      <c r="Q14" s="31"/>
      <c r="R14" s="32"/>
      <c r="S14" s="210" t="s">
        <v>328</v>
      </c>
      <c r="T14" s="199" t="s">
        <v>275</v>
      </c>
      <c r="U14" s="11" t="s">
        <v>328</v>
      </c>
      <c r="V14" s="199" t="s">
        <v>275</v>
      </c>
      <c r="W14" t="s">
        <v>328</v>
      </c>
      <c r="X14" s="36" t="s">
        <v>275</v>
      </c>
      <c r="Y14" s="31"/>
      <c r="Z14" s="36"/>
      <c r="AA14" s="31"/>
      <c r="AB14" s="36"/>
    </row>
    <row r="15" spans="1:28" ht="15" customHeight="1" x14ac:dyDescent="0.3">
      <c r="A15" s="31"/>
      <c r="B15" s="52"/>
      <c r="C15" s="31"/>
      <c r="D15" s="32"/>
      <c r="E15" s="31"/>
      <c r="F15" s="32"/>
      <c r="G15" s="144">
        <v>405</v>
      </c>
      <c r="H15" s="32" t="s">
        <v>276</v>
      </c>
      <c r="I15" s="144">
        <v>201</v>
      </c>
      <c r="J15" s="33" t="s">
        <v>277</v>
      </c>
      <c r="K15" s="31"/>
      <c r="L15" s="37"/>
      <c r="M15" s="208" t="s">
        <v>291</v>
      </c>
      <c r="N15" s="33" t="s">
        <v>375</v>
      </c>
      <c r="O15" s="31"/>
      <c r="P15" s="32"/>
      <c r="Q15" s="31"/>
      <c r="R15" s="32"/>
      <c r="S15" s="210" t="s">
        <v>280</v>
      </c>
      <c r="T15" s="199" t="s">
        <v>279</v>
      </c>
      <c r="U15" s="11" t="s">
        <v>280</v>
      </c>
      <c r="V15" s="199" t="s">
        <v>279</v>
      </c>
      <c r="W15" t="s">
        <v>280</v>
      </c>
      <c r="X15" s="36" t="s">
        <v>279</v>
      </c>
      <c r="Y15" s="31"/>
      <c r="Z15" s="36"/>
      <c r="AA15" s="31"/>
      <c r="AB15" s="36"/>
    </row>
    <row r="16" spans="1:28" ht="15" customHeight="1" x14ac:dyDescent="0.3">
      <c r="A16" s="31"/>
      <c r="B16" s="52"/>
      <c r="C16" s="31"/>
      <c r="D16" s="32"/>
      <c r="E16" s="38"/>
      <c r="F16" s="32"/>
      <c r="G16" s="144">
        <v>406</v>
      </c>
      <c r="H16" s="32" t="s">
        <v>281</v>
      </c>
      <c r="I16" s="144">
        <v>202</v>
      </c>
      <c r="J16" s="33" t="s">
        <v>40</v>
      </c>
      <c r="K16" s="31"/>
      <c r="L16" s="37"/>
      <c r="M16" s="208" t="s">
        <v>287</v>
      </c>
      <c r="N16" s="34" t="s">
        <v>274</v>
      </c>
      <c r="O16" s="31"/>
      <c r="P16" s="32"/>
      <c r="Q16" s="31"/>
      <c r="R16" s="32"/>
      <c r="S16" s="210" t="s">
        <v>329</v>
      </c>
      <c r="T16" s="199" t="s">
        <v>283</v>
      </c>
      <c r="U16" s="11" t="s">
        <v>329</v>
      </c>
      <c r="V16" s="199" t="s">
        <v>283</v>
      </c>
      <c r="W16" t="s">
        <v>329</v>
      </c>
      <c r="X16" s="36" t="s">
        <v>283</v>
      </c>
      <c r="Y16" s="31"/>
      <c r="Z16" s="36"/>
      <c r="AA16" s="31"/>
      <c r="AB16" s="36"/>
    </row>
    <row r="17" spans="1:28" ht="15" customHeight="1" x14ac:dyDescent="0.3">
      <c r="A17" s="31"/>
      <c r="B17" s="52"/>
      <c r="C17" s="31"/>
      <c r="D17" s="32"/>
      <c r="E17" s="38"/>
      <c r="F17" s="32"/>
      <c r="G17" s="144">
        <v>407</v>
      </c>
      <c r="H17" s="32" t="s">
        <v>284</v>
      </c>
      <c r="I17" s="144">
        <v>203</v>
      </c>
      <c r="J17" s="33" t="s">
        <v>43</v>
      </c>
      <c r="K17" s="31"/>
      <c r="L17" s="37"/>
      <c r="M17" s="208" t="s">
        <v>330</v>
      </c>
      <c r="N17" s="32" t="s">
        <v>278</v>
      </c>
      <c r="O17" s="31"/>
      <c r="P17" s="32"/>
      <c r="Q17" s="31"/>
      <c r="R17" s="32"/>
      <c r="S17" s="11" t="s">
        <v>287</v>
      </c>
      <c r="T17" s="199" t="s">
        <v>286</v>
      </c>
      <c r="U17" s="11" t="s">
        <v>287</v>
      </c>
      <c r="V17" s="199" t="s">
        <v>286</v>
      </c>
      <c r="W17" t="s">
        <v>287</v>
      </c>
      <c r="X17" s="36" t="s">
        <v>286</v>
      </c>
      <c r="Y17" s="31"/>
      <c r="Z17" s="36"/>
      <c r="AA17" s="31"/>
      <c r="AB17" s="36"/>
    </row>
    <row r="18" spans="1:28" ht="15" customHeight="1" x14ac:dyDescent="0.3">
      <c r="A18" s="31"/>
      <c r="B18" s="52"/>
      <c r="C18" s="31"/>
      <c r="D18" s="32"/>
      <c r="E18" s="38"/>
      <c r="F18" s="32"/>
      <c r="G18" s="144">
        <v>408</v>
      </c>
      <c r="H18" s="32" t="s">
        <v>288</v>
      </c>
      <c r="I18" s="145" t="s">
        <v>173</v>
      </c>
      <c r="J18" s="32"/>
      <c r="K18" s="31"/>
      <c r="L18" s="32"/>
      <c r="M18" s="208" t="s">
        <v>331</v>
      </c>
      <c r="N18" s="32" t="s">
        <v>282</v>
      </c>
      <c r="O18" s="31"/>
      <c r="P18" s="37"/>
      <c r="Q18" s="31"/>
      <c r="R18" s="32"/>
      <c r="S18" s="11" t="s">
        <v>291</v>
      </c>
      <c r="T18" s="199" t="s">
        <v>290</v>
      </c>
      <c r="U18" s="11" t="s">
        <v>291</v>
      </c>
      <c r="V18" s="199" t="s">
        <v>290</v>
      </c>
      <c r="W18" t="s">
        <v>291</v>
      </c>
      <c r="X18" s="36" t="s">
        <v>290</v>
      </c>
      <c r="Y18" s="31"/>
      <c r="Z18" s="36"/>
      <c r="AA18" s="31"/>
      <c r="AB18" s="36"/>
    </row>
    <row r="19" spans="1:28" ht="15" customHeight="1" x14ac:dyDescent="0.3">
      <c r="A19" s="31"/>
      <c r="B19" s="52"/>
      <c r="C19" s="31"/>
      <c r="D19" s="32"/>
      <c r="E19" s="38"/>
      <c r="F19" s="32"/>
      <c r="G19" s="31"/>
      <c r="H19" s="32"/>
      <c r="I19" s="31"/>
      <c r="J19" s="32"/>
      <c r="K19" s="31"/>
      <c r="L19" s="32"/>
      <c r="M19" s="208" t="s">
        <v>332</v>
      </c>
      <c r="N19" s="32" t="s">
        <v>285</v>
      </c>
      <c r="O19" s="31"/>
      <c r="P19" s="37"/>
      <c r="Q19" s="31"/>
      <c r="R19" s="32"/>
      <c r="S19" s="11" t="s">
        <v>294</v>
      </c>
      <c r="T19" s="199" t="s">
        <v>293</v>
      </c>
      <c r="U19" s="11" t="s">
        <v>294</v>
      </c>
      <c r="V19" s="199" t="s">
        <v>293</v>
      </c>
      <c r="W19" t="s">
        <v>294</v>
      </c>
      <c r="X19" s="36" t="s">
        <v>293</v>
      </c>
      <c r="Y19" s="31"/>
      <c r="Z19" s="36"/>
      <c r="AA19" s="31"/>
      <c r="AB19" s="36"/>
    </row>
    <row r="20" spans="1:28" ht="15" customHeight="1" x14ac:dyDescent="0.3">
      <c r="A20" s="31"/>
      <c r="B20" s="52"/>
      <c r="C20" s="31"/>
      <c r="D20" s="32"/>
      <c r="E20" s="38"/>
      <c r="F20" s="32"/>
      <c r="G20" s="31"/>
      <c r="H20" s="32"/>
      <c r="I20" s="31"/>
      <c r="J20" s="32"/>
      <c r="K20" s="31"/>
      <c r="L20" s="32"/>
      <c r="M20" s="208" t="s">
        <v>333</v>
      </c>
      <c r="N20" s="32" t="s">
        <v>289</v>
      </c>
      <c r="O20" s="31"/>
      <c r="P20" s="32"/>
      <c r="Q20" s="31"/>
      <c r="R20" s="32"/>
      <c r="S20" s="11" t="s">
        <v>297</v>
      </c>
      <c r="T20" s="200" t="s">
        <v>296</v>
      </c>
      <c r="U20" s="11" t="s">
        <v>297</v>
      </c>
      <c r="V20" s="200" t="s">
        <v>296</v>
      </c>
      <c r="W20" t="s">
        <v>297</v>
      </c>
      <c r="X20" s="36" t="s">
        <v>296</v>
      </c>
      <c r="Y20" s="31"/>
      <c r="Z20" s="36"/>
      <c r="AA20" s="31"/>
      <c r="AB20" s="36"/>
    </row>
    <row r="21" spans="1:28" ht="15" customHeight="1" x14ac:dyDescent="0.3">
      <c r="A21" s="31"/>
      <c r="B21" s="52"/>
      <c r="C21" s="31"/>
      <c r="D21" s="32"/>
      <c r="E21" s="38"/>
      <c r="F21" s="32"/>
      <c r="G21" s="31"/>
      <c r="H21" s="32"/>
      <c r="I21" s="31"/>
      <c r="J21" s="32"/>
      <c r="K21" s="31"/>
      <c r="L21" s="32"/>
      <c r="M21" s="208" t="s">
        <v>334</v>
      </c>
      <c r="N21" s="32" t="s">
        <v>292</v>
      </c>
      <c r="O21" s="31"/>
      <c r="P21" s="32"/>
      <c r="Q21" s="31"/>
      <c r="R21" s="32"/>
      <c r="S21" s="11" t="s">
        <v>299</v>
      </c>
      <c r="T21" s="199" t="s">
        <v>298</v>
      </c>
      <c r="U21" s="11" t="s">
        <v>299</v>
      </c>
      <c r="V21" s="199" t="s">
        <v>298</v>
      </c>
      <c r="W21" t="s">
        <v>299</v>
      </c>
      <c r="X21" s="32" t="s">
        <v>298</v>
      </c>
      <c r="Y21" s="31"/>
      <c r="Z21" s="32"/>
      <c r="AA21" s="31"/>
      <c r="AB21" s="32"/>
    </row>
    <row r="22" spans="1:28" ht="15" customHeight="1" x14ac:dyDescent="0.3">
      <c r="A22" s="31"/>
      <c r="B22" s="52"/>
      <c r="C22" s="31"/>
      <c r="D22" s="32"/>
      <c r="E22" s="38"/>
      <c r="F22" s="32"/>
      <c r="G22" s="31"/>
      <c r="H22" s="32"/>
      <c r="I22" s="31"/>
      <c r="J22" s="32"/>
      <c r="K22" s="31"/>
      <c r="L22" s="32"/>
      <c r="M22" s="208" t="s">
        <v>335</v>
      </c>
      <c r="N22" s="32" t="s">
        <v>295</v>
      </c>
      <c r="O22" s="31"/>
      <c r="P22" s="32"/>
      <c r="Q22" s="31"/>
      <c r="R22" s="32"/>
      <c r="S22" s="11" t="s">
        <v>302</v>
      </c>
      <c r="T22" s="200" t="s">
        <v>301</v>
      </c>
      <c r="U22" s="11" t="s">
        <v>302</v>
      </c>
      <c r="V22" s="200" t="s">
        <v>301</v>
      </c>
      <c r="W22" t="s">
        <v>302</v>
      </c>
      <c r="X22" s="32" t="s">
        <v>301</v>
      </c>
      <c r="Y22" s="31"/>
      <c r="Z22" s="32"/>
      <c r="AA22" s="31"/>
      <c r="AB22" s="32"/>
    </row>
    <row r="23" spans="1:28" ht="15" customHeight="1" x14ac:dyDescent="0.3">
      <c r="A23" s="31"/>
      <c r="B23" s="52"/>
      <c r="C23" s="31"/>
      <c r="D23" s="32"/>
      <c r="E23" s="38"/>
      <c r="F23" s="32"/>
      <c r="G23" s="31"/>
      <c r="H23" s="32"/>
      <c r="I23" s="31"/>
      <c r="J23" s="32"/>
      <c r="K23" s="31"/>
      <c r="L23" s="32"/>
      <c r="M23" s="208" t="s">
        <v>173</v>
      </c>
      <c r="N23" s="32" t="s">
        <v>217</v>
      </c>
      <c r="O23" s="31"/>
      <c r="P23" s="32"/>
      <c r="Q23" s="31"/>
      <c r="R23" s="32"/>
      <c r="S23" s="11" t="s">
        <v>305</v>
      </c>
      <c r="T23" s="199" t="s">
        <v>304</v>
      </c>
      <c r="U23" s="11" t="s">
        <v>305</v>
      </c>
      <c r="V23" s="199" t="s">
        <v>304</v>
      </c>
      <c r="W23" t="s">
        <v>305</v>
      </c>
      <c r="X23" s="32" t="s">
        <v>304</v>
      </c>
      <c r="Y23" s="31"/>
      <c r="Z23" s="32"/>
      <c r="AA23" s="31"/>
      <c r="AB23" s="32"/>
    </row>
    <row r="24" spans="1:28" ht="15" customHeight="1" x14ac:dyDescent="0.3">
      <c r="A24" s="31"/>
      <c r="B24" s="52"/>
      <c r="C24" s="31"/>
      <c r="D24" s="32"/>
      <c r="E24" s="38"/>
      <c r="F24" s="32"/>
      <c r="G24" s="31"/>
      <c r="H24" s="32"/>
      <c r="I24" s="31"/>
      <c r="J24" s="32"/>
      <c r="K24" s="31"/>
      <c r="L24" s="32"/>
      <c r="M24" s="203"/>
      <c r="N24" s="32"/>
      <c r="O24" s="31"/>
      <c r="P24" s="32"/>
      <c r="Q24" s="31"/>
      <c r="R24" s="32"/>
      <c r="S24" s="11" t="s">
        <v>308</v>
      </c>
      <c r="T24" s="199" t="s">
        <v>307</v>
      </c>
      <c r="U24" s="11" t="s">
        <v>308</v>
      </c>
      <c r="V24" s="199" t="s">
        <v>307</v>
      </c>
      <c r="W24" t="s">
        <v>308</v>
      </c>
      <c r="X24" s="32" t="s">
        <v>307</v>
      </c>
      <c r="Y24" s="31"/>
      <c r="Z24" s="32"/>
      <c r="AA24" s="31"/>
      <c r="AB24" s="32"/>
    </row>
    <row r="25" spans="1:28" ht="15" customHeight="1" x14ac:dyDescent="0.3">
      <c r="A25" s="31"/>
      <c r="B25" s="52"/>
      <c r="C25" s="31"/>
      <c r="D25" s="32"/>
      <c r="E25" s="38"/>
      <c r="F25" s="32"/>
      <c r="G25" s="31"/>
      <c r="H25" s="32"/>
      <c r="I25" s="31"/>
      <c r="J25" s="32"/>
      <c r="K25" s="31"/>
      <c r="L25" s="32"/>
      <c r="M25" s="203"/>
      <c r="N25" s="32"/>
      <c r="O25" s="31"/>
      <c r="P25" s="32"/>
      <c r="Q25" s="31"/>
      <c r="R25" s="32"/>
      <c r="S25" s="11" t="s">
        <v>310</v>
      </c>
      <c r="T25" s="199" t="s">
        <v>309</v>
      </c>
      <c r="U25" s="11" t="s">
        <v>310</v>
      </c>
      <c r="V25" s="199" t="s">
        <v>309</v>
      </c>
      <c r="W25" t="s">
        <v>310</v>
      </c>
      <c r="X25" s="32" t="s">
        <v>309</v>
      </c>
      <c r="Y25" s="31"/>
      <c r="Z25" s="32"/>
      <c r="AA25" s="31"/>
      <c r="AB25" s="32"/>
    </row>
    <row r="26" spans="1:28" ht="15" customHeight="1" x14ac:dyDescent="0.3">
      <c r="A26" s="31"/>
      <c r="B26" s="52"/>
      <c r="C26" s="31"/>
      <c r="D26" s="32"/>
      <c r="E26" s="38"/>
      <c r="F26" s="32"/>
      <c r="G26" s="31"/>
      <c r="H26" s="32"/>
      <c r="I26" s="31"/>
      <c r="J26" s="32"/>
      <c r="K26" s="31"/>
      <c r="L26" s="32"/>
      <c r="M26" s="203"/>
      <c r="N26" s="32"/>
      <c r="O26" s="31"/>
      <c r="P26" s="32"/>
      <c r="Q26" s="31"/>
      <c r="R26" s="32"/>
      <c r="S26" s="11" t="s">
        <v>312</v>
      </c>
      <c r="T26" s="199" t="s">
        <v>311</v>
      </c>
      <c r="U26" s="11" t="s">
        <v>312</v>
      </c>
      <c r="V26" s="199" t="s">
        <v>311</v>
      </c>
      <c r="W26" t="s">
        <v>312</v>
      </c>
      <c r="X26" s="32" t="s">
        <v>311</v>
      </c>
      <c r="Y26" s="31"/>
      <c r="Z26" s="32"/>
      <c r="AA26" s="31"/>
      <c r="AB26" s="32"/>
    </row>
    <row r="27" spans="1:28" ht="15" customHeight="1" x14ac:dyDescent="0.3">
      <c r="A27" s="31"/>
      <c r="B27" s="52"/>
      <c r="C27" s="31"/>
      <c r="D27" s="32"/>
      <c r="E27" s="31"/>
      <c r="F27" s="32"/>
      <c r="G27" s="31"/>
      <c r="H27" s="32"/>
      <c r="I27" s="31"/>
      <c r="J27" s="32"/>
      <c r="K27" s="31"/>
      <c r="L27" s="32"/>
      <c r="N27" s="32"/>
      <c r="O27" s="31"/>
      <c r="P27" s="32"/>
      <c r="Q27" s="31"/>
      <c r="R27" s="32"/>
      <c r="S27" s="11" t="s">
        <v>330</v>
      </c>
      <c r="T27" s="201" t="s">
        <v>313</v>
      </c>
      <c r="U27" s="11" t="s">
        <v>330</v>
      </c>
      <c r="V27" s="201" t="s">
        <v>313</v>
      </c>
      <c r="W27" t="s">
        <v>330</v>
      </c>
      <c r="X27" s="32" t="s">
        <v>313</v>
      </c>
      <c r="Y27" s="31"/>
      <c r="Z27" s="32"/>
      <c r="AA27" s="31"/>
      <c r="AB27" s="32"/>
    </row>
    <row r="28" spans="1:28" ht="15" customHeight="1" x14ac:dyDescent="0.3">
      <c r="A28" s="31"/>
      <c r="B28" s="52"/>
      <c r="C28" s="31"/>
      <c r="D28" s="32"/>
      <c r="E28" s="31"/>
      <c r="F28" s="32"/>
      <c r="G28" s="31"/>
      <c r="H28" s="32"/>
      <c r="I28" s="31"/>
      <c r="J28" s="32"/>
      <c r="K28" s="31"/>
      <c r="L28" s="32"/>
      <c r="M28" s="203"/>
      <c r="N28" s="32"/>
      <c r="O28" s="31"/>
      <c r="P28" s="32"/>
      <c r="Q28" s="31"/>
      <c r="R28" s="32"/>
      <c r="S28" s="11" t="s">
        <v>334</v>
      </c>
      <c r="T28" s="199" t="s">
        <v>314</v>
      </c>
      <c r="U28" s="11" t="s">
        <v>334</v>
      </c>
      <c r="V28" s="199" t="s">
        <v>314</v>
      </c>
      <c r="W28" t="s">
        <v>334</v>
      </c>
      <c r="X28" s="69" t="s">
        <v>314</v>
      </c>
      <c r="Y28" s="68"/>
      <c r="Z28" s="69"/>
      <c r="AA28" s="68"/>
      <c r="AB28" s="69"/>
    </row>
    <row r="29" spans="1:28" ht="15" customHeight="1" x14ac:dyDescent="0.3">
      <c r="A29" s="31"/>
      <c r="B29" s="52"/>
      <c r="C29" s="31"/>
      <c r="D29" s="32"/>
      <c r="E29" s="31"/>
      <c r="F29" s="32"/>
      <c r="G29" s="31"/>
      <c r="H29" s="32"/>
      <c r="I29" s="31"/>
      <c r="J29" s="32"/>
      <c r="K29" s="31"/>
      <c r="L29" s="32"/>
      <c r="M29" s="203"/>
      <c r="N29" s="32"/>
      <c r="O29" s="31"/>
      <c r="P29" s="32"/>
      <c r="Q29" s="31"/>
      <c r="R29" s="32"/>
      <c r="T29" s="32"/>
      <c r="V29" s="32"/>
      <c r="W29" t="s">
        <v>173</v>
      </c>
      <c r="X29" s="217" t="s">
        <v>143</v>
      </c>
      <c r="Y29" s="216"/>
    </row>
    <row r="30" spans="1:28" ht="15" customHeight="1" x14ac:dyDescent="0.3">
      <c r="A30" s="31"/>
      <c r="B30" s="52"/>
      <c r="C30" s="31"/>
      <c r="D30" s="32"/>
      <c r="E30" s="31"/>
      <c r="F30" s="32"/>
      <c r="G30" s="31"/>
      <c r="H30" s="32"/>
      <c r="I30" s="31"/>
      <c r="J30" s="32"/>
      <c r="K30" s="31"/>
      <c r="L30" s="32"/>
      <c r="M30" s="203"/>
      <c r="N30" s="32"/>
      <c r="O30" s="31"/>
      <c r="P30" s="32"/>
      <c r="Q30" s="31"/>
      <c r="R30" s="32"/>
      <c r="T30" s="32"/>
      <c r="V30" s="32"/>
    </row>
    <row r="31" spans="1:28" ht="15" customHeight="1" x14ac:dyDescent="0.3">
      <c r="A31" s="31"/>
      <c r="B31" s="52"/>
      <c r="C31" s="31"/>
      <c r="D31" s="32"/>
      <c r="E31" s="31"/>
      <c r="F31" s="32"/>
      <c r="G31" s="31"/>
      <c r="H31" s="32"/>
      <c r="I31" s="31"/>
      <c r="J31" s="32"/>
      <c r="K31" s="31"/>
      <c r="L31" s="32"/>
      <c r="M31" s="203"/>
      <c r="N31" s="32"/>
      <c r="O31" s="31"/>
      <c r="P31" s="32"/>
      <c r="Q31" s="31"/>
      <c r="R31" s="32"/>
      <c r="T31" s="32"/>
      <c r="V31" s="32"/>
    </row>
    <row r="32" spans="1:28" ht="15" customHeight="1" x14ac:dyDescent="0.3">
      <c r="A32" s="31"/>
      <c r="B32" s="52"/>
      <c r="C32" s="31"/>
      <c r="D32" s="32"/>
      <c r="E32" s="31"/>
      <c r="F32" s="32"/>
      <c r="G32" s="31"/>
      <c r="H32" s="32"/>
      <c r="I32" s="31"/>
      <c r="J32" s="32"/>
      <c r="K32" s="31"/>
      <c r="L32" s="32"/>
      <c r="M32" s="203"/>
      <c r="N32" s="32"/>
      <c r="O32" s="31"/>
      <c r="P32" s="32"/>
      <c r="Q32" s="31"/>
      <c r="R32" s="32"/>
      <c r="T32" s="32"/>
      <c r="V32" s="32"/>
    </row>
    <row r="33" spans="1:22" ht="15" customHeight="1" x14ac:dyDescent="0.3">
      <c r="A33" s="31"/>
      <c r="B33" s="52"/>
      <c r="C33" s="31"/>
      <c r="D33" s="32"/>
      <c r="E33" s="31"/>
      <c r="F33" s="32"/>
      <c r="G33" s="31"/>
      <c r="H33" s="32"/>
      <c r="I33" s="31"/>
      <c r="J33" s="32"/>
      <c r="K33" s="31"/>
      <c r="L33" s="32"/>
      <c r="M33" s="203"/>
      <c r="N33" s="32"/>
      <c r="O33" s="31"/>
      <c r="P33" s="32"/>
      <c r="Q33" s="31"/>
      <c r="R33" s="32"/>
      <c r="T33" s="32"/>
      <c r="V33" s="32"/>
    </row>
    <row r="34" spans="1:22" ht="15" customHeight="1" x14ac:dyDescent="0.3">
      <c r="A34" s="31"/>
      <c r="B34" s="52"/>
      <c r="C34" s="31"/>
      <c r="D34" s="32"/>
      <c r="E34" s="31"/>
      <c r="F34" s="32"/>
      <c r="G34" s="31"/>
      <c r="H34" s="32"/>
      <c r="I34" s="31"/>
      <c r="J34" s="32"/>
      <c r="K34" s="31"/>
      <c r="L34" s="32"/>
      <c r="M34" s="203"/>
      <c r="N34" s="32"/>
      <c r="O34" s="31"/>
      <c r="P34" s="32"/>
      <c r="Q34" s="31"/>
      <c r="R34" s="32"/>
      <c r="T34" s="32"/>
      <c r="V34" s="32"/>
    </row>
    <row r="35" spans="1:22" ht="15" customHeight="1" x14ac:dyDescent="0.3">
      <c r="A35" s="31"/>
      <c r="B35" s="52"/>
      <c r="C35" s="31"/>
      <c r="D35" s="32"/>
      <c r="E35" s="31"/>
      <c r="F35" s="32"/>
      <c r="G35" s="31"/>
      <c r="H35" s="32"/>
      <c r="I35" s="31"/>
      <c r="J35" s="32"/>
      <c r="K35" s="31"/>
      <c r="L35" s="32"/>
      <c r="M35" s="203"/>
      <c r="N35" s="32"/>
      <c r="O35" s="31"/>
      <c r="P35" s="32"/>
      <c r="Q35" s="31"/>
      <c r="R35" s="32"/>
      <c r="T35" s="32"/>
      <c r="V35" s="32"/>
    </row>
    <row r="36" spans="1:22" ht="15" customHeight="1" x14ac:dyDescent="0.3">
      <c r="A36" s="31"/>
      <c r="B36" s="52"/>
      <c r="C36" s="31"/>
      <c r="D36" s="32"/>
      <c r="E36" s="31"/>
      <c r="F36" s="32"/>
      <c r="G36" s="31"/>
      <c r="H36" s="32"/>
      <c r="I36" s="31"/>
      <c r="J36" s="32"/>
      <c r="K36" s="31"/>
      <c r="L36" s="32"/>
      <c r="M36" s="203"/>
      <c r="N36" s="32"/>
      <c r="O36" s="31"/>
      <c r="P36" s="32"/>
      <c r="Q36" s="31"/>
      <c r="R36" s="32"/>
      <c r="T36" s="32"/>
      <c r="V36" s="32"/>
    </row>
    <row r="37" spans="1:22" ht="15" customHeight="1" x14ac:dyDescent="0.3">
      <c r="A37" s="31"/>
      <c r="B37" s="52"/>
      <c r="C37" s="31"/>
      <c r="D37" s="32"/>
      <c r="E37" s="31"/>
      <c r="F37" s="32"/>
      <c r="G37" s="31"/>
      <c r="H37" s="32"/>
      <c r="I37" s="31"/>
      <c r="J37" s="32"/>
      <c r="K37" s="31"/>
      <c r="L37" s="32"/>
      <c r="M37" s="203"/>
      <c r="N37" s="32"/>
      <c r="O37" s="31"/>
      <c r="P37" s="32"/>
      <c r="Q37" s="31"/>
      <c r="R37" s="32"/>
      <c r="T37" s="32"/>
      <c r="V37" s="32"/>
    </row>
    <row r="38" spans="1:22" ht="15" customHeight="1" x14ac:dyDescent="0.3">
      <c r="A38" s="31"/>
      <c r="B38" s="52"/>
      <c r="C38" s="31"/>
      <c r="D38" s="32"/>
      <c r="E38" s="31"/>
      <c r="F38" s="32"/>
      <c r="G38" s="31"/>
      <c r="H38" s="32"/>
      <c r="I38" s="31"/>
      <c r="J38" s="32"/>
      <c r="K38" s="31"/>
      <c r="L38" s="32"/>
      <c r="M38" s="203"/>
      <c r="N38" s="32"/>
      <c r="O38" s="31"/>
      <c r="P38" s="32"/>
      <c r="Q38" s="31"/>
      <c r="R38" s="32"/>
      <c r="T38" s="32"/>
      <c r="V38" s="32"/>
    </row>
    <row r="39" spans="1:22" ht="15" customHeight="1" x14ac:dyDescent="0.3">
      <c r="A39" s="31"/>
      <c r="B39" s="52"/>
      <c r="C39" s="31"/>
      <c r="D39" s="32"/>
      <c r="E39" s="31"/>
      <c r="F39" s="32"/>
      <c r="G39" s="31"/>
      <c r="H39" s="32"/>
      <c r="I39" s="31"/>
      <c r="J39" s="32"/>
      <c r="K39" s="31"/>
      <c r="L39" s="32"/>
      <c r="M39" s="203"/>
      <c r="N39" s="32"/>
      <c r="O39" s="31"/>
      <c r="P39" s="32"/>
      <c r="Q39" s="31"/>
      <c r="R39" s="32"/>
      <c r="T39" s="32"/>
      <c r="V39" s="32"/>
    </row>
    <row r="40" spans="1:22" ht="15" customHeight="1" x14ac:dyDescent="0.3">
      <c r="A40" s="31"/>
      <c r="B40" s="52"/>
      <c r="C40" s="31"/>
      <c r="D40" s="32"/>
      <c r="E40" s="31"/>
      <c r="F40" s="32"/>
      <c r="G40" s="31"/>
      <c r="H40" s="32"/>
      <c r="I40" s="31"/>
      <c r="J40" s="32"/>
      <c r="K40" s="31"/>
      <c r="L40" s="32"/>
      <c r="M40" s="203"/>
      <c r="N40" s="32"/>
      <c r="O40" s="31"/>
      <c r="P40" s="32"/>
      <c r="Q40" s="31"/>
      <c r="R40" s="32"/>
      <c r="T40" s="32"/>
      <c r="V40" s="32"/>
    </row>
    <row r="41" spans="1:22" ht="15" customHeight="1" x14ac:dyDescent="0.3">
      <c r="A41" s="31"/>
      <c r="B41" s="52"/>
      <c r="C41" s="31"/>
      <c r="D41" s="32"/>
      <c r="E41" s="31"/>
      <c r="F41" s="32"/>
      <c r="G41" s="31"/>
      <c r="H41" s="32"/>
      <c r="I41" s="31"/>
      <c r="J41" s="32"/>
      <c r="K41" s="31"/>
      <c r="L41" s="32"/>
      <c r="M41" s="203"/>
      <c r="N41" s="32"/>
      <c r="O41" s="31"/>
      <c r="P41" s="32"/>
      <c r="Q41" s="31"/>
      <c r="R41" s="32"/>
      <c r="T41" s="32"/>
      <c r="V41" s="32"/>
    </row>
    <row r="42" spans="1:22" ht="15" customHeight="1" x14ac:dyDescent="0.3">
      <c r="A42" s="31"/>
      <c r="B42" s="52"/>
      <c r="C42" s="31"/>
      <c r="D42" s="32"/>
      <c r="E42" s="31"/>
      <c r="F42" s="32"/>
      <c r="G42" s="31"/>
      <c r="H42" s="32"/>
      <c r="I42" s="31"/>
      <c r="J42" s="32"/>
      <c r="K42" s="31"/>
      <c r="L42" s="32"/>
      <c r="M42" s="203"/>
      <c r="N42" s="32"/>
      <c r="O42" s="31"/>
      <c r="P42" s="32"/>
      <c r="Q42" s="31"/>
      <c r="R42" s="32"/>
      <c r="T42" s="32"/>
      <c r="V42" s="32"/>
    </row>
    <row r="43" spans="1:22" ht="15" customHeight="1" x14ac:dyDescent="0.3">
      <c r="A43" s="31"/>
      <c r="B43" s="52"/>
      <c r="C43" s="31"/>
      <c r="D43" s="32"/>
      <c r="E43" s="31"/>
      <c r="F43" s="32"/>
      <c r="G43" s="31"/>
      <c r="H43" s="32"/>
      <c r="I43" s="31"/>
      <c r="J43" s="32"/>
      <c r="K43" s="31"/>
      <c r="L43" s="32"/>
      <c r="M43" s="203"/>
      <c r="N43" s="32"/>
      <c r="O43" s="31"/>
      <c r="P43" s="32"/>
      <c r="Q43" s="31"/>
      <c r="R43" s="32"/>
      <c r="T43" s="32"/>
      <c r="V43" s="32"/>
    </row>
    <row r="44" spans="1:22" ht="15" customHeight="1" x14ac:dyDescent="0.3">
      <c r="A44" s="31"/>
      <c r="B44" s="52"/>
      <c r="C44" s="31"/>
      <c r="D44" s="32"/>
      <c r="E44" s="31"/>
      <c r="F44" s="32"/>
      <c r="G44" s="31"/>
      <c r="H44" s="32"/>
      <c r="I44" s="31"/>
      <c r="J44" s="32"/>
      <c r="K44" s="31"/>
      <c r="L44" s="32"/>
      <c r="M44" s="203"/>
      <c r="N44" s="32"/>
      <c r="O44" s="31"/>
      <c r="P44" s="32"/>
      <c r="Q44" s="31"/>
      <c r="R44" s="32"/>
      <c r="T44" s="32"/>
      <c r="V44" s="32"/>
    </row>
    <row r="45" spans="1:22" ht="15" customHeight="1" x14ac:dyDescent="0.3">
      <c r="A45" s="31"/>
      <c r="B45" s="52"/>
      <c r="C45" s="31"/>
      <c r="D45" s="32"/>
      <c r="E45" s="31"/>
      <c r="F45" s="32"/>
      <c r="G45" s="31"/>
      <c r="H45" s="32"/>
      <c r="I45" s="31"/>
      <c r="J45" s="32"/>
      <c r="K45" s="31"/>
      <c r="L45" s="32"/>
      <c r="M45" s="203"/>
      <c r="N45" s="32"/>
      <c r="O45" s="31"/>
      <c r="P45" s="32"/>
      <c r="Q45" s="31"/>
      <c r="R45" s="32"/>
      <c r="T45" s="32"/>
      <c r="V45" s="32"/>
    </row>
    <row r="46" spans="1:22" ht="15" customHeight="1" x14ac:dyDescent="0.3">
      <c r="A46" s="31"/>
      <c r="B46" s="52"/>
      <c r="C46" s="31"/>
      <c r="D46" s="32"/>
      <c r="E46" s="31"/>
      <c r="F46" s="32"/>
      <c r="G46" s="31"/>
      <c r="H46" s="32"/>
      <c r="I46" s="31"/>
      <c r="J46" s="32"/>
      <c r="K46" s="31"/>
      <c r="L46" s="32"/>
      <c r="M46" s="203"/>
      <c r="N46" s="32"/>
      <c r="O46" s="31"/>
      <c r="P46" s="32"/>
      <c r="Q46" s="31"/>
      <c r="R46" s="32"/>
      <c r="T46" s="32"/>
      <c r="V46" s="32"/>
    </row>
    <row r="47" spans="1:22" ht="15" customHeight="1" x14ac:dyDescent="0.3">
      <c r="A47" s="31"/>
      <c r="B47" s="52"/>
      <c r="C47" s="31"/>
      <c r="D47" s="32"/>
      <c r="E47" s="31"/>
      <c r="F47" s="32"/>
      <c r="G47" s="31"/>
      <c r="H47" s="32"/>
      <c r="I47" s="31"/>
      <c r="J47" s="32"/>
      <c r="K47" s="31"/>
      <c r="L47" s="32"/>
      <c r="M47" s="203"/>
      <c r="N47" s="32"/>
      <c r="O47" s="31"/>
      <c r="P47" s="32"/>
      <c r="Q47" s="31"/>
      <c r="R47" s="32"/>
      <c r="T47" s="32"/>
      <c r="V47" s="32"/>
    </row>
    <row r="48" spans="1:22" ht="15" customHeight="1" x14ac:dyDescent="0.3">
      <c r="A48" s="31"/>
      <c r="B48" s="52"/>
      <c r="C48" s="31"/>
      <c r="D48" s="32"/>
      <c r="E48" s="31"/>
      <c r="F48" s="32"/>
      <c r="G48" s="31"/>
      <c r="H48" s="32"/>
      <c r="I48" s="31"/>
      <c r="J48" s="32"/>
      <c r="K48" s="31"/>
      <c r="L48" s="32"/>
      <c r="M48" s="203"/>
      <c r="N48" s="32"/>
      <c r="O48" s="31"/>
      <c r="P48" s="32"/>
      <c r="Q48" s="31"/>
      <c r="R48" s="32"/>
      <c r="T48" s="32"/>
      <c r="V48" s="32"/>
    </row>
    <row r="49" spans="1:22" ht="15" customHeight="1" x14ac:dyDescent="0.3">
      <c r="A49" s="31"/>
      <c r="B49" s="52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203"/>
      <c r="N49" s="32"/>
      <c r="O49" s="31"/>
      <c r="P49" s="32"/>
      <c r="Q49" s="31"/>
      <c r="R49" s="32"/>
      <c r="T49" s="32"/>
      <c r="V49" s="32"/>
    </row>
    <row r="50" spans="1:22" ht="15" customHeight="1" x14ac:dyDescent="0.3">
      <c r="A50" s="31"/>
      <c r="B50" s="52"/>
      <c r="C50" s="31"/>
      <c r="D50" s="32"/>
      <c r="E50" s="31"/>
      <c r="F50" s="32"/>
      <c r="G50" s="31"/>
      <c r="H50" s="32"/>
      <c r="I50" s="31"/>
      <c r="J50" s="32"/>
      <c r="K50" s="31"/>
      <c r="L50" s="32"/>
      <c r="M50" s="203"/>
      <c r="N50" s="32"/>
      <c r="O50" s="31"/>
      <c r="P50" s="32"/>
      <c r="Q50" s="31"/>
      <c r="R50" s="32"/>
      <c r="T50" s="32"/>
      <c r="V50" s="32"/>
    </row>
    <row r="51" spans="1:22" ht="15" customHeight="1" x14ac:dyDescent="0.3">
      <c r="A51" s="31"/>
      <c r="B51" s="52"/>
      <c r="C51" s="31"/>
      <c r="D51" s="32"/>
      <c r="E51" s="31"/>
      <c r="F51" s="32"/>
      <c r="G51" s="31"/>
      <c r="H51" s="32"/>
      <c r="I51" s="31"/>
      <c r="J51" s="32"/>
      <c r="K51" s="31"/>
      <c r="L51" s="32"/>
      <c r="M51" s="203"/>
      <c r="N51" s="32"/>
      <c r="O51" s="31"/>
      <c r="P51" s="32"/>
      <c r="Q51" s="31"/>
      <c r="R51" s="32"/>
      <c r="T51" s="32"/>
      <c r="V51" s="32"/>
    </row>
    <row r="52" spans="1:22" ht="15" customHeight="1" x14ac:dyDescent="0.3">
      <c r="A52" s="31"/>
      <c r="B52" s="52"/>
      <c r="C52" s="31"/>
      <c r="D52" s="32"/>
      <c r="E52" s="31"/>
      <c r="F52" s="32"/>
      <c r="G52" s="31"/>
      <c r="H52" s="32"/>
      <c r="I52" s="31"/>
      <c r="J52" s="32"/>
      <c r="K52" s="31"/>
      <c r="L52" s="32"/>
      <c r="M52" s="203"/>
      <c r="N52" s="32"/>
      <c r="O52" s="31"/>
      <c r="P52" s="32"/>
      <c r="Q52" s="31"/>
      <c r="R52" s="32"/>
      <c r="T52" s="32"/>
      <c r="V52" s="32"/>
    </row>
    <row r="53" spans="1:22" ht="15" customHeight="1" x14ac:dyDescent="0.3">
      <c r="A53" s="31"/>
      <c r="B53" s="52"/>
      <c r="C53" s="31"/>
      <c r="D53" s="32"/>
      <c r="E53" s="31"/>
      <c r="F53" s="32"/>
      <c r="G53" s="31"/>
      <c r="H53" s="32"/>
      <c r="I53" s="31"/>
      <c r="J53" s="32"/>
      <c r="K53" s="31"/>
      <c r="L53" s="32"/>
      <c r="M53" s="203"/>
      <c r="N53" s="32"/>
      <c r="O53" s="31"/>
      <c r="P53" s="32"/>
      <c r="Q53" s="31"/>
      <c r="R53" s="32"/>
      <c r="T53" s="32"/>
      <c r="V53" s="32"/>
    </row>
    <row r="54" spans="1:22" ht="15" customHeight="1" x14ac:dyDescent="0.3">
      <c r="A54" s="31"/>
      <c r="B54" s="52"/>
      <c r="C54" s="31"/>
      <c r="D54" s="32"/>
      <c r="E54" s="31"/>
      <c r="F54" s="32"/>
      <c r="G54" s="31"/>
      <c r="H54" s="32"/>
      <c r="I54" s="31"/>
      <c r="J54" s="32"/>
      <c r="K54" s="31"/>
      <c r="L54" s="32"/>
      <c r="M54" s="203"/>
      <c r="N54" s="32"/>
      <c r="O54" s="31"/>
      <c r="P54" s="32"/>
      <c r="Q54" s="31"/>
      <c r="R54" s="32"/>
      <c r="T54" s="32"/>
      <c r="V54" s="32"/>
    </row>
    <row r="55" spans="1:22" ht="15" customHeight="1" x14ac:dyDescent="0.3">
      <c r="A55" s="31"/>
      <c r="B55" s="52"/>
      <c r="C55" s="31"/>
      <c r="D55" s="32"/>
      <c r="E55" s="31"/>
      <c r="F55" s="32"/>
      <c r="G55" s="31"/>
      <c r="H55" s="32"/>
      <c r="I55" s="31"/>
      <c r="J55" s="32"/>
      <c r="K55" s="31"/>
      <c r="L55" s="32"/>
      <c r="M55" s="203"/>
      <c r="N55" s="32"/>
      <c r="O55" s="31"/>
      <c r="P55" s="32"/>
      <c r="Q55" s="31"/>
      <c r="R55" s="32"/>
      <c r="T55" s="32"/>
      <c r="V55" s="32"/>
    </row>
    <row r="56" spans="1:22" ht="15" customHeight="1" x14ac:dyDescent="0.3">
      <c r="A56" s="31"/>
      <c r="B56" s="52"/>
      <c r="C56" s="31"/>
      <c r="D56" s="32"/>
      <c r="E56" s="31"/>
      <c r="F56" s="32"/>
      <c r="G56" s="31"/>
      <c r="H56" s="32"/>
      <c r="I56" s="31"/>
      <c r="J56" s="32"/>
      <c r="K56" s="31"/>
      <c r="L56" s="32"/>
      <c r="M56" s="203"/>
      <c r="N56" s="32"/>
      <c r="O56" s="31"/>
      <c r="P56" s="32"/>
      <c r="Q56" s="31"/>
      <c r="R56" s="32"/>
      <c r="T56" s="32"/>
      <c r="V56" s="32"/>
    </row>
    <row r="57" spans="1:22" ht="15" customHeight="1" x14ac:dyDescent="0.3">
      <c r="A57" s="31"/>
      <c r="B57" s="52"/>
      <c r="C57" s="31"/>
      <c r="D57" s="32"/>
      <c r="E57" s="31"/>
      <c r="F57" s="32"/>
      <c r="G57" s="31"/>
      <c r="H57" s="32"/>
      <c r="I57" s="31"/>
      <c r="J57" s="32"/>
      <c r="K57" s="31"/>
      <c r="L57" s="32"/>
      <c r="M57" s="203"/>
      <c r="N57" s="32"/>
      <c r="O57" s="31"/>
      <c r="P57" s="32"/>
      <c r="Q57" s="31"/>
      <c r="R57" s="32"/>
      <c r="T57" s="32"/>
      <c r="V57" s="32"/>
    </row>
    <row r="58" spans="1:22" ht="15" customHeight="1" x14ac:dyDescent="0.3">
      <c r="A58" s="31"/>
      <c r="B58" s="52"/>
      <c r="C58" s="31"/>
      <c r="D58" s="32"/>
      <c r="E58" s="31"/>
      <c r="F58" s="32"/>
      <c r="G58" s="31"/>
      <c r="H58" s="32"/>
      <c r="I58" s="31"/>
      <c r="J58" s="32"/>
      <c r="K58" s="31"/>
      <c r="L58" s="32"/>
      <c r="M58" s="203"/>
      <c r="N58" s="32"/>
      <c r="O58" s="31"/>
      <c r="P58" s="32"/>
      <c r="Q58" s="31"/>
      <c r="R58" s="32"/>
      <c r="T58" s="32"/>
      <c r="V58" s="32"/>
    </row>
    <row r="59" spans="1:22" ht="15" customHeight="1" x14ac:dyDescent="0.3">
      <c r="A59" s="31"/>
      <c r="B59" s="52"/>
      <c r="C59" s="31"/>
      <c r="D59" s="32"/>
      <c r="E59" s="31"/>
      <c r="F59" s="32"/>
      <c r="G59" s="31"/>
      <c r="H59" s="32"/>
      <c r="I59" s="31"/>
      <c r="J59" s="32"/>
      <c r="K59" s="31"/>
      <c r="L59" s="32"/>
      <c r="M59" s="203"/>
      <c r="N59" s="32"/>
      <c r="O59" s="31"/>
      <c r="P59" s="32"/>
      <c r="Q59" s="31"/>
      <c r="R59" s="32"/>
      <c r="T59" s="32"/>
      <c r="V59" s="32"/>
    </row>
    <row r="60" spans="1:22" ht="15" customHeight="1" x14ac:dyDescent="0.3">
      <c r="A60" s="31"/>
      <c r="B60" s="52"/>
      <c r="C60" s="31"/>
      <c r="D60" s="32"/>
      <c r="E60" s="31"/>
      <c r="F60" s="32"/>
      <c r="G60" s="31"/>
      <c r="H60" s="32"/>
      <c r="I60" s="31"/>
      <c r="J60" s="32"/>
      <c r="K60" s="31"/>
      <c r="L60" s="32"/>
      <c r="M60" s="203"/>
      <c r="N60" s="32"/>
      <c r="O60" s="31"/>
      <c r="P60" s="32"/>
      <c r="Q60" s="31"/>
      <c r="R60" s="32"/>
      <c r="T60" s="32"/>
      <c r="V60" s="32"/>
    </row>
    <row r="61" spans="1:22" ht="15" customHeight="1" x14ac:dyDescent="0.3">
      <c r="A61" s="31"/>
      <c r="B61" s="52"/>
      <c r="C61" s="31"/>
      <c r="D61" s="32"/>
      <c r="E61" s="31"/>
      <c r="F61" s="32"/>
      <c r="G61" s="31"/>
      <c r="H61" s="32"/>
      <c r="I61" s="31"/>
      <c r="J61" s="32"/>
      <c r="K61" s="31"/>
      <c r="L61" s="32"/>
      <c r="M61" s="203"/>
      <c r="N61" s="32"/>
      <c r="O61" s="31"/>
      <c r="P61" s="32"/>
      <c r="Q61" s="31"/>
      <c r="R61" s="32"/>
      <c r="T61" s="32"/>
      <c r="V61" s="32"/>
    </row>
    <row r="62" spans="1:22" ht="15" customHeight="1" x14ac:dyDescent="0.3">
      <c r="A62" s="31"/>
      <c r="B62" s="52"/>
      <c r="C62" s="31"/>
      <c r="D62" s="32"/>
      <c r="E62" s="31"/>
      <c r="F62" s="32"/>
      <c r="G62" s="31"/>
      <c r="H62" s="32"/>
      <c r="I62" s="31"/>
      <c r="J62" s="32"/>
      <c r="K62" s="31"/>
      <c r="L62" s="32"/>
      <c r="M62" s="203"/>
      <c r="N62" s="32"/>
      <c r="O62" s="31"/>
      <c r="P62" s="32"/>
      <c r="Q62" s="31"/>
      <c r="R62" s="32"/>
      <c r="T62" s="32"/>
      <c r="V62" s="32"/>
    </row>
    <row r="63" spans="1:22" ht="15" customHeight="1" x14ac:dyDescent="0.3">
      <c r="A63" s="31"/>
      <c r="B63" s="52"/>
      <c r="C63" s="31"/>
      <c r="D63" s="32"/>
      <c r="E63" s="31"/>
      <c r="F63" s="32"/>
      <c r="G63" s="31"/>
      <c r="H63" s="32"/>
      <c r="I63" s="31"/>
      <c r="J63" s="32"/>
      <c r="K63" s="31"/>
      <c r="L63" s="32"/>
      <c r="M63" s="203"/>
      <c r="N63" s="32"/>
      <c r="O63" s="31"/>
      <c r="P63" s="32"/>
      <c r="Q63" s="31"/>
      <c r="R63" s="32"/>
      <c r="T63" s="32"/>
      <c r="V63" s="32"/>
    </row>
    <row r="64" spans="1:22" ht="15" customHeight="1" x14ac:dyDescent="0.3">
      <c r="A64" s="31"/>
      <c r="B64" s="52"/>
      <c r="C64" s="31"/>
      <c r="D64" s="32"/>
      <c r="E64" s="31"/>
      <c r="F64" s="32"/>
      <c r="G64" s="31"/>
      <c r="H64" s="32"/>
      <c r="I64" s="31"/>
      <c r="J64" s="32"/>
      <c r="K64" s="31"/>
      <c r="L64" s="32"/>
      <c r="M64" s="203"/>
      <c r="N64" s="32"/>
      <c r="O64" s="31"/>
      <c r="P64" s="32"/>
      <c r="Q64" s="31"/>
      <c r="R64" s="32"/>
      <c r="T64" s="32"/>
      <c r="V64" s="32"/>
    </row>
    <row r="65" spans="1:22" ht="15" customHeight="1" x14ac:dyDescent="0.3">
      <c r="A65" s="31"/>
      <c r="B65" s="52"/>
      <c r="C65" s="31"/>
      <c r="D65" s="32"/>
      <c r="E65" s="31"/>
      <c r="F65" s="32"/>
      <c r="G65" s="31"/>
      <c r="H65" s="32"/>
      <c r="I65" s="31"/>
      <c r="J65" s="32"/>
      <c r="K65" s="31"/>
      <c r="L65" s="32"/>
      <c r="M65" s="203"/>
      <c r="N65" s="32"/>
      <c r="O65" s="31"/>
      <c r="P65" s="32"/>
      <c r="Q65" s="31"/>
      <c r="R65" s="32"/>
      <c r="T65" s="32"/>
      <c r="V65" s="32"/>
    </row>
    <row r="66" spans="1:22" ht="15" customHeight="1" x14ac:dyDescent="0.3">
      <c r="A66" s="31"/>
      <c r="B66" s="52"/>
      <c r="C66" s="31"/>
      <c r="D66" s="32"/>
      <c r="E66" s="31"/>
      <c r="F66" s="32"/>
      <c r="G66" s="31"/>
      <c r="H66" s="32"/>
      <c r="I66" s="31"/>
      <c r="J66" s="32"/>
      <c r="K66" s="31"/>
      <c r="L66" s="32"/>
      <c r="M66" s="203"/>
      <c r="N66" s="32"/>
      <c r="O66" s="31"/>
      <c r="P66" s="32"/>
      <c r="Q66" s="31"/>
      <c r="R66" s="32"/>
      <c r="T66" s="32"/>
      <c r="V66" s="32"/>
    </row>
    <row r="67" spans="1:22" ht="15" customHeight="1" x14ac:dyDescent="0.3">
      <c r="A67" s="31"/>
      <c r="B67" s="52"/>
      <c r="C67" s="31"/>
      <c r="D67" s="32"/>
      <c r="E67" s="31"/>
      <c r="F67" s="32"/>
      <c r="G67" s="31"/>
      <c r="H67" s="32"/>
      <c r="I67" s="31"/>
      <c r="J67" s="32"/>
      <c r="K67" s="31"/>
      <c r="L67" s="32"/>
      <c r="M67" s="203"/>
      <c r="N67" s="32"/>
      <c r="O67" s="31"/>
      <c r="P67" s="32"/>
      <c r="Q67" s="31"/>
      <c r="R67" s="32"/>
      <c r="T67" s="32"/>
      <c r="V67" s="32"/>
    </row>
    <row r="68" spans="1:22" ht="15" customHeight="1" x14ac:dyDescent="0.3">
      <c r="A68" s="31"/>
      <c r="B68" s="52"/>
      <c r="C68" s="31"/>
      <c r="D68" s="32"/>
      <c r="E68" s="31"/>
      <c r="F68" s="32"/>
      <c r="G68" s="31"/>
      <c r="H68" s="32"/>
      <c r="I68" s="31"/>
      <c r="J68" s="32"/>
      <c r="K68" s="31"/>
      <c r="L68" s="32"/>
      <c r="M68" s="203"/>
      <c r="N68" s="32"/>
      <c r="O68" s="31"/>
      <c r="P68" s="32"/>
      <c r="Q68" s="31"/>
      <c r="R68" s="32"/>
      <c r="T68" s="32"/>
      <c r="V68" s="32"/>
    </row>
    <row r="69" spans="1:22" ht="15" customHeight="1" x14ac:dyDescent="0.3">
      <c r="A69" s="31"/>
      <c r="B69" s="52"/>
      <c r="C69" s="31"/>
      <c r="D69" s="32"/>
      <c r="E69" s="31"/>
      <c r="F69" s="32"/>
      <c r="G69" s="31"/>
      <c r="H69" s="32"/>
      <c r="I69" s="31"/>
      <c r="J69" s="32"/>
      <c r="K69" s="31"/>
      <c r="L69" s="32"/>
      <c r="M69" s="203"/>
      <c r="N69" s="32"/>
      <c r="O69" s="31"/>
      <c r="P69" s="32"/>
      <c r="Q69" s="31"/>
      <c r="R69" s="32"/>
      <c r="T69" s="32"/>
      <c r="V69" s="32"/>
    </row>
    <row r="70" spans="1:22" ht="15" customHeight="1" x14ac:dyDescent="0.3">
      <c r="A70" s="31"/>
      <c r="B70" s="52"/>
      <c r="C70" s="31"/>
      <c r="D70" s="32"/>
      <c r="E70" s="31"/>
      <c r="F70" s="32"/>
      <c r="G70" s="31"/>
      <c r="H70" s="32"/>
      <c r="I70" s="31"/>
      <c r="J70" s="32"/>
      <c r="K70" s="31"/>
      <c r="L70" s="32"/>
      <c r="M70" s="203"/>
      <c r="N70" s="32"/>
      <c r="O70" s="31"/>
      <c r="P70" s="32"/>
      <c r="Q70" s="31"/>
      <c r="R70" s="32"/>
      <c r="T70" s="32"/>
      <c r="V70" s="32"/>
    </row>
    <row r="71" spans="1:22" ht="15" customHeight="1" x14ac:dyDescent="0.3">
      <c r="A71" s="31"/>
      <c r="B71" s="52"/>
      <c r="C71" s="31"/>
      <c r="D71" s="32"/>
      <c r="E71" s="31"/>
      <c r="F71" s="32"/>
      <c r="G71" s="31"/>
      <c r="H71" s="32"/>
      <c r="I71" s="31"/>
      <c r="J71" s="32"/>
      <c r="K71" s="31"/>
      <c r="L71" s="32"/>
      <c r="M71" s="203"/>
      <c r="N71" s="32"/>
      <c r="O71" s="31"/>
      <c r="P71" s="32"/>
      <c r="Q71" s="31"/>
      <c r="R71" s="32"/>
      <c r="T71" s="32"/>
      <c r="V71" s="32"/>
    </row>
    <row r="72" spans="1:22" ht="15" customHeight="1" x14ac:dyDescent="0.3">
      <c r="A72" s="31"/>
      <c r="B72" s="52"/>
      <c r="C72" s="31"/>
      <c r="D72" s="32"/>
      <c r="E72" s="31"/>
      <c r="F72" s="32"/>
      <c r="G72" s="31"/>
      <c r="H72" s="32"/>
      <c r="I72" s="31"/>
      <c r="J72" s="32"/>
      <c r="K72" s="31"/>
      <c r="L72" s="32"/>
      <c r="M72" s="203"/>
      <c r="N72" s="32"/>
      <c r="O72" s="31"/>
      <c r="P72" s="32"/>
      <c r="Q72" s="31"/>
      <c r="R72" s="32"/>
      <c r="T72" s="32"/>
      <c r="V72" s="32"/>
    </row>
    <row r="73" spans="1:22" ht="15" customHeight="1" x14ac:dyDescent="0.3">
      <c r="A73" s="31"/>
      <c r="B73" s="52"/>
      <c r="C73" s="31"/>
      <c r="D73" s="32"/>
      <c r="E73" s="31"/>
      <c r="F73" s="32"/>
      <c r="G73" s="31"/>
      <c r="H73" s="32"/>
      <c r="I73" s="31"/>
      <c r="J73" s="32"/>
      <c r="K73" s="31"/>
      <c r="L73" s="32"/>
      <c r="M73" s="203"/>
      <c r="N73" s="32"/>
      <c r="O73" s="31"/>
      <c r="P73" s="32"/>
      <c r="Q73" s="31"/>
      <c r="R73" s="32"/>
      <c r="T73" s="32"/>
      <c r="V73" s="32"/>
    </row>
    <row r="74" spans="1:22" ht="15" customHeight="1" x14ac:dyDescent="0.3">
      <c r="A74" s="31"/>
      <c r="B74" s="52"/>
      <c r="C74" s="31"/>
      <c r="D74" s="32"/>
      <c r="E74" s="31"/>
      <c r="F74" s="32"/>
      <c r="G74" s="31"/>
      <c r="H74" s="32"/>
      <c r="I74" s="31"/>
      <c r="J74" s="32"/>
      <c r="K74" s="31"/>
      <c r="L74" s="32"/>
      <c r="M74" s="203"/>
      <c r="N74" s="32"/>
      <c r="O74" s="31"/>
      <c r="P74" s="32"/>
      <c r="Q74" s="31"/>
      <c r="R74" s="32"/>
      <c r="T74" s="32"/>
      <c r="V74" s="32"/>
    </row>
    <row r="75" spans="1:22" ht="15" customHeight="1" x14ac:dyDescent="0.3">
      <c r="A75" s="31"/>
      <c r="B75" s="52"/>
      <c r="C75" s="31"/>
      <c r="D75" s="32"/>
      <c r="E75" s="31"/>
      <c r="F75" s="32"/>
      <c r="G75" s="31"/>
      <c r="H75" s="32"/>
      <c r="I75" s="31"/>
      <c r="J75" s="32"/>
      <c r="K75" s="31"/>
      <c r="L75" s="32"/>
      <c r="M75" s="203"/>
      <c r="N75" s="32"/>
      <c r="O75" s="31"/>
      <c r="P75" s="32"/>
      <c r="Q75" s="31"/>
      <c r="R75" s="32"/>
      <c r="T75" s="32"/>
      <c r="V75" s="32"/>
    </row>
    <row r="76" spans="1:22" ht="15" customHeight="1" x14ac:dyDescent="0.3">
      <c r="A76" s="31"/>
      <c r="B76" s="52"/>
      <c r="C76" s="31"/>
      <c r="D76" s="32"/>
      <c r="E76" s="31"/>
      <c r="F76" s="32"/>
      <c r="G76" s="31"/>
      <c r="H76" s="32"/>
      <c r="I76" s="31"/>
      <c r="J76" s="32"/>
      <c r="K76" s="31"/>
      <c r="L76" s="32"/>
      <c r="M76" s="203"/>
      <c r="N76" s="32"/>
      <c r="O76" s="31"/>
      <c r="P76" s="32"/>
      <c r="Q76" s="31"/>
      <c r="R76" s="32"/>
      <c r="T76" s="32"/>
      <c r="V76" s="32"/>
    </row>
    <row r="77" spans="1:22" ht="15" customHeight="1" x14ac:dyDescent="0.3">
      <c r="A77" s="31"/>
      <c r="B77" s="52"/>
      <c r="C77" s="31"/>
      <c r="D77" s="32"/>
      <c r="E77" s="31"/>
      <c r="F77" s="32"/>
      <c r="G77" s="31"/>
      <c r="H77" s="32"/>
      <c r="I77" s="31"/>
      <c r="J77" s="32"/>
      <c r="K77" s="31"/>
      <c r="L77" s="32"/>
      <c r="M77" s="203"/>
      <c r="N77" s="32"/>
      <c r="O77" s="31"/>
      <c r="P77" s="32"/>
      <c r="Q77" s="31"/>
      <c r="R77" s="32"/>
      <c r="T77" s="32"/>
      <c r="V77" s="32"/>
    </row>
    <row r="78" spans="1:22" ht="15" customHeight="1" x14ac:dyDescent="0.3">
      <c r="A78" s="31"/>
      <c r="B78" s="52"/>
      <c r="C78" s="31"/>
      <c r="D78" s="32"/>
      <c r="E78" s="31"/>
      <c r="F78" s="32"/>
      <c r="G78" s="31"/>
      <c r="H78" s="32"/>
      <c r="I78" s="31"/>
      <c r="J78" s="32"/>
      <c r="K78" s="31"/>
      <c r="L78" s="32"/>
      <c r="M78" s="203"/>
      <c r="N78" s="32"/>
      <c r="O78" s="31"/>
      <c r="P78" s="32"/>
      <c r="Q78" s="31"/>
      <c r="R78" s="32"/>
      <c r="T78" s="32"/>
      <c r="V78" s="32"/>
    </row>
    <row r="79" spans="1:22" ht="15" customHeight="1" x14ac:dyDescent="0.3">
      <c r="A79" s="31"/>
      <c r="B79" s="52"/>
      <c r="C79" s="31"/>
      <c r="D79" s="32"/>
      <c r="E79" s="31"/>
      <c r="F79" s="32"/>
      <c r="G79" s="31"/>
      <c r="H79" s="32"/>
      <c r="I79" s="31"/>
      <c r="J79" s="32"/>
      <c r="K79" s="31"/>
      <c r="L79" s="32"/>
      <c r="M79" s="203"/>
      <c r="N79" s="32"/>
      <c r="O79" s="31"/>
      <c r="P79" s="32"/>
      <c r="Q79" s="31"/>
      <c r="R79" s="32"/>
      <c r="T79" s="32"/>
      <c r="V79" s="32"/>
    </row>
    <row r="80" spans="1:22" ht="15" customHeight="1" x14ac:dyDescent="0.3">
      <c r="A80" s="31"/>
      <c r="B80" s="52"/>
      <c r="C80" s="31"/>
      <c r="D80" s="32"/>
      <c r="E80" s="31"/>
      <c r="F80" s="32"/>
      <c r="G80" s="31"/>
      <c r="H80" s="32"/>
      <c r="I80" s="31"/>
      <c r="J80" s="32"/>
      <c r="K80" s="31"/>
      <c r="L80" s="32"/>
      <c r="M80" s="203"/>
      <c r="N80" s="32"/>
      <c r="O80" s="31"/>
      <c r="P80" s="32"/>
      <c r="Q80" s="31"/>
      <c r="R80" s="32"/>
      <c r="T80" s="32"/>
      <c r="V80" s="32"/>
    </row>
    <row r="81" spans="1:22" ht="15" customHeight="1" x14ac:dyDescent="0.3">
      <c r="A81" s="31"/>
      <c r="B81" s="52"/>
      <c r="C81" s="31"/>
      <c r="D81" s="32"/>
      <c r="E81" s="31"/>
      <c r="F81" s="32"/>
      <c r="G81" s="31"/>
      <c r="H81" s="32"/>
      <c r="I81" s="31"/>
      <c r="J81" s="32"/>
      <c r="K81" s="31"/>
      <c r="L81" s="32"/>
      <c r="M81" s="203"/>
      <c r="N81" s="32"/>
      <c r="O81" s="31"/>
      <c r="P81" s="32"/>
      <c r="Q81" s="31"/>
      <c r="R81" s="32"/>
      <c r="T81" s="32"/>
      <c r="V81" s="32"/>
    </row>
    <row r="82" spans="1:22" ht="15" customHeight="1" x14ac:dyDescent="0.3">
      <c r="A82" s="31"/>
      <c r="B82" s="52"/>
      <c r="C82" s="31"/>
      <c r="D82" s="32"/>
      <c r="E82" s="31"/>
      <c r="F82" s="32"/>
      <c r="G82" s="31"/>
      <c r="H82" s="32"/>
      <c r="I82" s="31"/>
      <c r="J82" s="32"/>
      <c r="K82" s="31"/>
      <c r="L82" s="32"/>
      <c r="M82" s="203"/>
      <c r="N82" s="32"/>
      <c r="O82" s="31"/>
      <c r="P82" s="32"/>
      <c r="Q82" s="31"/>
      <c r="R82" s="32"/>
      <c r="T82" s="32"/>
      <c r="V82" s="32"/>
    </row>
    <row r="83" spans="1:22" ht="15" customHeight="1" x14ac:dyDescent="0.3">
      <c r="A83" s="31"/>
      <c r="B83" s="52"/>
      <c r="C83" s="31"/>
      <c r="D83" s="32"/>
      <c r="E83" s="31"/>
      <c r="F83" s="32"/>
      <c r="G83" s="31"/>
      <c r="H83" s="32"/>
      <c r="I83" s="31"/>
      <c r="J83" s="32"/>
      <c r="K83" s="31"/>
      <c r="L83" s="32"/>
      <c r="M83" s="203"/>
      <c r="N83" s="32"/>
      <c r="O83" s="31"/>
      <c r="P83" s="32"/>
      <c r="Q83" s="31"/>
      <c r="R83" s="32"/>
      <c r="T83" s="32"/>
      <c r="V83" s="32"/>
    </row>
    <row r="84" spans="1:22" ht="15" customHeight="1" x14ac:dyDescent="0.3">
      <c r="A84" s="31"/>
      <c r="B84" s="52"/>
      <c r="C84" s="31"/>
      <c r="D84" s="32"/>
      <c r="E84" s="31"/>
      <c r="F84" s="32"/>
      <c r="G84" s="31"/>
      <c r="H84" s="32"/>
      <c r="I84" s="31"/>
      <c r="J84" s="32"/>
      <c r="K84" s="31"/>
      <c r="L84" s="32"/>
      <c r="M84" s="203"/>
      <c r="N84" s="32"/>
      <c r="O84" s="31"/>
      <c r="P84" s="32"/>
      <c r="Q84" s="31"/>
      <c r="R84" s="32"/>
      <c r="T84" s="32"/>
      <c r="V84" s="32"/>
    </row>
    <row r="85" spans="1:22" ht="15" customHeight="1" x14ac:dyDescent="0.3">
      <c r="A85" s="31"/>
      <c r="B85" s="52"/>
      <c r="C85" s="31"/>
      <c r="D85" s="32"/>
      <c r="E85" s="31"/>
      <c r="F85" s="32"/>
      <c r="G85" s="31"/>
      <c r="H85" s="32"/>
      <c r="I85" s="31"/>
      <c r="J85" s="32"/>
      <c r="K85" s="31"/>
      <c r="L85" s="32"/>
      <c r="M85" s="203"/>
      <c r="N85" s="32"/>
      <c r="O85" s="31"/>
      <c r="P85" s="32"/>
      <c r="Q85" s="31"/>
      <c r="R85" s="32"/>
      <c r="T85" s="32"/>
      <c r="V85" s="32"/>
    </row>
    <row r="86" spans="1:22" ht="15" customHeight="1" x14ac:dyDescent="0.3">
      <c r="A86" s="31"/>
      <c r="B86" s="52"/>
      <c r="C86" s="31"/>
      <c r="D86" s="32"/>
      <c r="E86" s="31"/>
      <c r="F86" s="32"/>
      <c r="G86" s="31"/>
      <c r="H86" s="32"/>
      <c r="I86" s="31"/>
      <c r="J86" s="32"/>
      <c r="K86" s="31"/>
      <c r="L86" s="32"/>
      <c r="M86" s="203"/>
      <c r="N86" s="32"/>
      <c r="O86" s="31"/>
      <c r="P86" s="32"/>
      <c r="Q86" s="31"/>
      <c r="R86" s="32"/>
      <c r="T86" s="32"/>
      <c r="V86" s="32"/>
    </row>
    <row r="87" spans="1:22" ht="15" customHeight="1" x14ac:dyDescent="0.3">
      <c r="A87" s="31"/>
      <c r="B87" s="52"/>
      <c r="C87" s="31"/>
      <c r="D87" s="32"/>
      <c r="E87" s="31"/>
      <c r="F87" s="32"/>
      <c r="G87" s="31"/>
      <c r="H87" s="32"/>
      <c r="I87" s="31"/>
      <c r="J87" s="32"/>
      <c r="K87" s="31"/>
      <c r="L87" s="32"/>
      <c r="M87" s="203"/>
      <c r="N87" s="32"/>
      <c r="O87" s="31"/>
      <c r="P87" s="32"/>
      <c r="Q87" s="31"/>
      <c r="R87" s="32"/>
      <c r="T87" s="32"/>
      <c r="V87" s="32"/>
    </row>
    <row r="88" spans="1:22" ht="15" customHeight="1" x14ac:dyDescent="0.3">
      <c r="A88" s="31"/>
      <c r="B88" s="52"/>
      <c r="C88" s="31"/>
      <c r="D88" s="32"/>
      <c r="E88" s="31"/>
      <c r="F88" s="32"/>
      <c r="G88" s="31"/>
      <c r="H88" s="32"/>
      <c r="I88" s="31"/>
      <c r="J88" s="32"/>
      <c r="K88" s="31"/>
      <c r="L88" s="32"/>
      <c r="M88" s="203"/>
      <c r="N88" s="32"/>
      <c r="O88" s="31"/>
      <c r="P88" s="32"/>
      <c r="Q88" s="31"/>
      <c r="R88" s="32"/>
      <c r="T88" s="32"/>
      <c r="V88" s="32"/>
    </row>
    <row r="89" spans="1:22" ht="15" customHeight="1" x14ac:dyDescent="0.3">
      <c r="A89" s="31"/>
      <c r="B89" s="52"/>
      <c r="C89" s="31"/>
      <c r="D89" s="32"/>
      <c r="E89" s="31"/>
      <c r="F89" s="32"/>
      <c r="G89" s="31"/>
      <c r="H89" s="32"/>
      <c r="I89" s="31"/>
      <c r="J89" s="32"/>
      <c r="K89" s="31"/>
      <c r="L89" s="32"/>
      <c r="M89" s="203"/>
      <c r="N89" s="32"/>
      <c r="O89" s="31"/>
      <c r="P89" s="32"/>
      <c r="Q89" s="31"/>
      <c r="R89" s="32"/>
      <c r="T89" s="32"/>
      <c r="V89" s="32"/>
    </row>
    <row r="90" spans="1:22" ht="15" customHeight="1" x14ac:dyDescent="0.3">
      <c r="A90" s="31"/>
      <c r="B90" s="52"/>
      <c r="C90" s="31"/>
      <c r="D90" s="32"/>
      <c r="E90" s="31"/>
      <c r="F90" s="32"/>
      <c r="G90" s="31"/>
      <c r="H90" s="32"/>
      <c r="I90" s="31"/>
      <c r="J90" s="32"/>
      <c r="K90" s="31"/>
      <c r="L90" s="32"/>
      <c r="M90" s="203"/>
      <c r="N90" s="32"/>
      <c r="O90" s="31"/>
      <c r="P90" s="32"/>
      <c r="Q90" s="31"/>
      <c r="R90" s="32"/>
      <c r="T90" s="32"/>
      <c r="V90" s="32"/>
    </row>
    <row r="91" spans="1:22" ht="15" customHeight="1" x14ac:dyDescent="0.3">
      <c r="A91" s="31"/>
      <c r="B91" s="52"/>
      <c r="C91" s="31"/>
      <c r="D91" s="32"/>
      <c r="E91" s="31"/>
      <c r="F91" s="32"/>
      <c r="G91" s="31"/>
      <c r="H91" s="32"/>
      <c r="I91" s="31"/>
      <c r="J91" s="32"/>
      <c r="K91" s="31"/>
      <c r="L91" s="32"/>
      <c r="M91" s="203"/>
      <c r="N91" s="32"/>
      <c r="O91" s="31"/>
      <c r="P91" s="32"/>
      <c r="Q91" s="31"/>
      <c r="R91" s="32"/>
      <c r="T91" s="32"/>
      <c r="V91" s="32"/>
    </row>
    <row r="92" spans="1:22" ht="15" customHeight="1" x14ac:dyDescent="0.3">
      <c r="A92" s="31"/>
      <c r="B92" s="52"/>
      <c r="C92" s="31"/>
      <c r="D92" s="32"/>
      <c r="E92" s="31"/>
      <c r="F92" s="32"/>
      <c r="G92" s="31"/>
      <c r="H92" s="32"/>
      <c r="I92" s="31"/>
      <c r="J92" s="32"/>
      <c r="K92" s="31"/>
      <c r="L92" s="32"/>
      <c r="M92" s="203"/>
      <c r="N92" s="32"/>
      <c r="O92" s="31"/>
      <c r="P92" s="32"/>
      <c r="Q92" s="31"/>
      <c r="R92" s="32"/>
      <c r="T92" s="32"/>
      <c r="V92" s="32"/>
    </row>
    <row r="93" spans="1:22" ht="15" customHeight="1" x14ac:dyDescent="0.3">
      <c r="A93" s="31"/>
      <c r="B93" s="52"/>
      <c r="C93" s="31"/>
      <c r="D93" s="32"/>
      <c r="E93" s="31"/>
      <c r="F93" s="32"/>
      <c r="G93" s="31"/>
      <c r="H93" s="32"/>
      <c r="I93" s="31"/>
      <c r="J93" s="32"/>
      <c r="K93" s="31"/>
      <c r="L93" s="32"/>
      <c r="M93" s="203"/>
      <c r="N93" s="32"/>
      <c r="O93" s="31"/>
      <c r="P93" s="32"/>
      <c r="Q93" s="31"/>
      <c r="R93" s="32"/>
      <c r="T93" s="32"/>
      <c r="V93" s="32"/>
    </row>
    <row r="94" spans="1:22" ht="15" customHeight="1" x14ac:dyDescent="0.3">
      <c r="A94" s="31"/>
      <c r="B94" s="52"/>
      <c r="C94" s="31"/>
      <c r="D94" s="32"/>
      <c r="E94" s="31"/>
      <c r="F94" s="32"/>
      <c r="G94" s="31"/>
      <c r="H94" s="32"/>
      <c r="I94" s="31"/>
      <c r="J94" s="32"/>
      <c r="K94" s="31"/>
      <c r="L94" s="32"/>
      <c r="M94" s="203"/>
      <c r="N94" s="32"/>
      <c r="O94" s="31"/>
      <c r="P94" s="32"/>
      <c r="Q94" s="31"/>
      <c r="R94" s="32"/>
      <c r="T94" s="32"/>
      <c r="V94" s="32"/>
    </row>
    <row r="95" spans="1:22" ht="15" customHeight="1" x14ac:dyDescent="0.3">
      <c r="A95" s="31"/>
      <c r="B95" s="52"/>
      <c r="C95" s="31"/>
      <c r="D95" s="32"/>
      <c r="E95" s="31"/>
      <c r="F95" s="32"/>
      <c r="G95" s="31"/>
      <c r="H95" s="32"/>
      <c r="I95" s="31"/>
      <c r="J95" s="32"/>
      <c r="K95" s="31"/>
      <c r="L95" s="32"/>
      <c r="M95" s="203"/>
      <c r="N95" s="32"/>
      <c r="O95" s="31"/>
      <c r="P95" s="32"/>
      <c r="Q95" s="31"/>
      <c r="R95" s="32"/>
      <c r="T95" s="32"/>
      <c r="V95" s="32"/>
    </row>
    <row r="96" spans="1:22" ht="15" customHeight="1" x14ac:dyDescent="0.3">
      <c r="A96" s="31"/>
      <c r="B96" s="52"/>
      <c r="C96" s="31"/>
      <c r="D96" s="32"/>
      <c r="E96" s="31"/>
      <c r="F96" s="32"/>
      <c r="G96" s="31"/>
      <c r="H96" s="32"/>
      <c r="I96" s="31"/>
      <c r="J96" s="32"/>
      <c r="K96" s="31"/>
      <c r="L96" s="32"/>
      <c r="M96" s="203"/>
      <c r="N96" s="32"/>
      <c r="O96" s="31"/>
      <c r="P96" s="32"/>
      <c r="Q96" s="31"/>
      <c r="R96" s="32"/>
      <c r="T96" s="32"/>
      <c r="V96" s="32"/>
    </row>
    <row r="97" spans="1:22" ht="15" customHeight="1" x14ac:dyDescent="0.3">
      <c r="A97" s="31"/>
      <c r="B97" s="52"/>
      <c r="C97" s="31"/>
      <c r="D97" s="32"/>
      <c r="E97" s="31"/>
      <c r="F97" s="32"/>
      <c r="G97" s="31"/>
      <c r="H97" s="32"/>
      <c r="I97" s="31"/>
      <c r="J97" s="32"/>
      <c r="K97" s="31"/>
      <c r="L97" s="32"/>
      <c r="M97" s="203"/>
      <c r="N97" s="32"/>
      <c r="O97" s="31"/>
      <c r="P97" s="32"/>
      <c r="Q97" s="31"/>
      <c r="R97" s="32"/>
      <c r="T97" s="32"/>
      <c r="V97" s="32"/>
    </row>
    <row r="98" spans="1:22" ht="15" customHeight="1" x14ac:dyDescent="0.3">
      <c r="A98" s="31"/>
      <c r="B98" s="52"/>
      <c r="C98" s="31"/>
      <c r="D98" s="32"/>
      <c r="E98" s="31"/>
      <c r="F98" s="32"/>
      <c r="G98" s="31"/>
      <c r="H98" s="32"/>
      <c r="I98" s="31"/>
      <c r="J98" s="32"/>
      <c r="K98" s="31"/>
      <c r="L98" s="32"/>
      <c r="M98" s="203"/>
      <c r="N98" s="32"/>
      <c r="O98" s="31"/>
      <c r="P98" s="32"/>
      <c r="Q98" s="31"/>
      <c r="R98" s="32"/>
      <c r="T98" s="32"/>
      <c r="V98" s="32"/>
    </row>
    <row r="99" spans="1:22" ht="15" customHeight="1" x14ac:dyDescent="0.3">
      <c r="A99" s="31"/>
      <c r="B99" s="52"/>
      <c r="C99" s="31"/>
      <c r="D99" s="32"/>
      <c r="E99" s="31"/>
      <c r="F99" s="32"/>
      <c r="G99" s="31"/>
      <c r="H99" s="32"/>
      <c r="I99" s="31"/>
      <c r="J99" s="32"/>
      <c r="K99" s="31"/>
      <c r="L99" s="32"/>
      <c r="M99" s="203"/>
      <c r="N99" s="32"/>
      <c r="O99" s="31"/>
      <c r="P99" s="32"/>
      <c r="Q99" s="31"/>
      <c r="R99" s="32"/>
      <c r="T99" s="32"/>
      <c r="V99" s="32"/>
    </row>
    <row r="100" spans="1:22" ht="15" customHeight="1" x14ac:dyDescent="0.3">
      <c r="A100" s="31"/>
      <c r="B100" s="52"/>
      <c r="C100" s="31"/>
      <c r="D100" s="32"/>
      <c r="E100" s="31"/>
      <c r="F100" s="32"/>
      <c r="G100" s="31"/>
      <c r="H100" s="32"/>
      <c r="I100" s="31"/>
      <c r="J100" s="32"/>
      <c r="K100" s="31"/>
      <c r="L100" s="32"/>
      <c r="M100" s="203"/>
      <c r="N100" s="32"/>
      <c r="O100" s="31"/>
      <c r="P100" s="32"/>
      <c r="Q100" s="31"/>
      <c r="R100" s="32"/>
      <c r="T100" s="32"/>
      <c r="V100" s="32"/>
    </row>
    <row r="101" spans="1:22" ht="15" customHeight="1" x14ac:dyDescent="0.3">
      <c r="A101" s="31"/>
      <c r="B101" s="52"/>
      <c r="C101" s="31"/>
      <c r="D101" s="32"/>
      <c r="E101" s="31"/>
      <c r="F101" s="32"/>
      <c r="G101" s="31"/>
      <c r="H101" s="32"/>
      <c r="I101" s="31"/>
      <c r="J101" s="32"/>
      <c r="K101" s="31"/>
      <c r="L101" s="32"/>
      <c r="M101" s="203"/>
      <c r="N101" s="32"/>
      <c r="O101" s="31"/>
      <c r="P101" s="32"/>
      <c r="Q101" s="31"/>
      <c r="R101" s="32"/>
      <c r="T101" s="32"/>
      <c r="V101" s="32"/>
    </row>
    <row r="102" spans="1:22" ht="15" customHeight="1" x14ac:dyDescent="0.3">
      <c r="A102" s="31"/>
      <c r="B102" s="52"/>
      <c r="C102" s="31"/>
      <c r="D102" s="32"/>
      <c r="E102" s="31"/>
      <c r="F102" s="32"/>
      <c r="G102" s="31"/>
      <c r="H102" s="32"/>
      <c r="I102" s="31"/>
      <c r="J102" s="32"/>
      <c r="K102" s="31"/>
      <c r="L102" s="32"/>
      <c r="M102" s="203"/>
      <c r="N102" s="32"/>
      <c r="O102" s="31"/>
      <c r="P102" s="32"/>
      <c r="Q102" s="31"/>
      <c r="R102" s="32"/>
      <c r="T102" s="32"/>
      <c r="V102" s="32"/>
    </row>
    <row r="103" spans="1:22" ht="15" customHeight="1" x14ac:dyDescent="0.3">
      <c r="A103" s="31"/>
      <c r="B103" s="52"/>
      <c r="C103" s="31"/>
      <c r="D103" s="32"/>
      <c r="E103" s="31"/>
      <c r="F103" s="32"/>
      <c r="G103" s="31"/>
      <c r="H103" s="32"/>
      <c r="I103" s="31"/>
      <c r="J103" s="32"/>
      <c r="K103" s="31"/>
      <c r="L103" s="32"/>
      <c r="M103" s="203"/>
      <c r="N103" s="32"/>
      <c r="O103" s="31"/>
      <c r="P103" s="32"/>
      <c r="Q103" s="31"/>
      <c r="R103" s="32"/>
      <c r="T103" s="32"/>
      <c r="V103" s="32"/>
    </row>
    <row r="104" spans="1:22" ht="15" customHeight="1" x14ac:dyDescent="0.3">
      <c r="A104" s="31"/>
      <c r="B104" s="52"/>
      <c r="C104" s="31"/>
      <c r="D104" s="32"/>
      <c r="E104" s="31"/>
      <c r="F104" s="32"/>
      <c r="G104" s="31"/>
      <c r="H104" s="32"/>
      <c r="I104" s="31"/>
      <c r="J104" s="32"/>
      <c r="K104" s="31"/>
      <c r="L104" s="32"/>
      <c r="M104" s="203"/>
      <c r="N104" s="32"/>
      <c r="O104" s="31"/>
      <c r="P104" s="32"/>
      <c r="Q104" s="31"/>
      <c r="R104" s="32"/>
      <c r="T104" s="32"/>
      <c r="V104" s="32"/>
    </row>
    <row r="105" spans="1:22" ht="15" customHeight="1" x14ac:dyDescent="0.3">
      <c r="A105" s="31"/>
      <c r="B105" s="52"/>
      <c r="C105" s="31"/>
      <c r="D105" s="32"/>
      <c r="E105" s="31"/>
      <c r="F105" s="32"/>
      <c r="G105" s="31"/>
      <c r="H105" s="32"/>
      <c r="I105" s="31"/>
      <c r="J105" s="32"/>
      <c r="K105" s="31"/>
      <c r="L105" s="32"/>
      <c r="M105" s="203"/>
      <c r="N105" s="32"/>
      <c r="O105" s="31"/>
      <c r="P105" s="32"/>
      <c r="Q105" s="31"/>
      <c r="R105" s="32"/>
      <c r="T105" s="32"/>
      <c r="V105" s="32"/>
    </row>
    <row r="106" spans="1:22" ht="15" customHeight="1" x14ac:dyDescent="0.3">
      <c r="A106" s="31"/>
      <c r="B106" s="52"/>
      <c r="C106" s="31"/>
      <c r="D106" s="32"/>
      <c r="E106" s="31"/>
      <c r="F106" s="32"/>
      <c r="G106" s="31"/>
      <c r="H106" s="32"/>
      <c r="I106" s="31"/>
      <c r="J106" s="32"/>
      <c r="K106" s="31"/>
      <c r="L106" s="32"/>
      <c r="M106" s="203"/>
      <c r="N106" s="32"/>
      <c r="O106" s="31"/>
      <c r="P106" s="32"/>
      <c r="Q106" s="31"/>
      <c r="R106" s="32"/>
      <c r="T106" s="32"/>
      <c r="V106" s="32"/>
    </row>
    <row r="107" spans="1:22" ht="15" customHeight="1" x14ac:dyDescent="0.3">
      <c r="A107" s="31"/>
      <c r="B107" s="52"/>
      <c r="C107" s="31"/>
      <c r="D107" s="32"/>
      <c r="E107" s="31"/>
      <c r="F107" s="32"/>
      <c r="G107" s="31"/>
      <c r="H107" s="32"/>
      <c r="I107" s="31"/>
      <c r="J107" s="32"/>
      <c r="K107" s="31"/>
      <c r="L107" s="32"/>
      <c r="M107" s="203"/>
      <c r="N107" s="32"/>
      <c r="O107" s="31"/>
      <c r="P107" s="32"/>
      <c r="Q107" s="31"/>
      <c r="R107" s="32"/>
      <c r="T107" s="32"/>
      <c r="V107" s="32"/>
    </row>
    <row r="108" spans="1:22" ht="15" customHeight="1" x14ac:dyDescent="0.3">
      <c r="A108" s="31"/>
      <c r="B108" s="52"/>
      <c r="C108" s="31"/>
      <c r="D108" s="32"/>
      <c r="E108" s="31"/>
      <c r="F108" s="32"/>
      <c r="G108" s="31"/>
      <c r="H108" s="32"/>
      <c r="I108" s="31"/>
      <c r="J108" s="32"/>
      <c r="K108" s="31"/>
      <c r="L108" s="32"/>
      <c r="M108" s="203"/>
      <c r="N108" s="32"/>
      <c r="O108" s="31"/>
      <c r="P108" s="32"/>
      <c r="Q108" s="31"/>
      <c r="R108" s="32"/>
      <c r="T108" s="32"/>
      <c r="V108" s="32"/>
    </row>
    <row r="109" spans="1:22" ht="15" customHeight="1" x14ac:dyDescent="0.3">
      <c r="A109" s="31"/>
      <c r="B109" s="52"/>
      <c r="C109" s="31"/>
      <c r="D109" s="32"/>
      <c r="E109" s="31"/>
      <c r="F109" s="32"/>
      <c r="G109" s="31"/>
      <c r="H109" s="32"/>
      <c r="I109" s="31"/>
      <c r="J109" s="32"/>
      <c r="K109" s="31"/>
      <c r="L109" s="32"/>
      <c r="M109" s="203"/>
      <c r="N109" s="32"/>
      <c r="O109" s="31"/>
      <c r="P109" s="32"/>
      <c r="Q109" s="31"/>
      <c r="R109" s="32"/>
      <c r="T109" s="32"/>
      <c r="V109" s="32"/>
    </row>
    <row r="110" spans="1:22" ht="15" customHeight="1" x14ac:dyDescent="0.3">
      <c r="A110" s="31"/>
      <c r="B110" s="52"/>
      <c r="C110" s="31"/>
      <c r="D110" s="32"/>
      <c r="E110" s="31"/>
      <c r="F110" s="32"/>
      <c r="G110" s="31"/>
      <c r="H110" s="32"/>
      <c r="I110" s="31"/>
      <c r="J110" s="32"/>
      <c r="K110" s="31"/>
      <c r="L110" s="32"/>
      <c r="M110" s="203"/>
      <c r="N110" s="32"/>
      <c r="O110" s="31"/>
      <c r="P110" s="32"/>
      <c r="Q110" s="31"/>
      <c r="R110" s="32"/>
      <c r="T110" s="32"/>
      <c r="V110" s="32"/>
    </row>
    <row r="111" spans="1:22" ht="15" customHeight="1" x14ac:dyDescent="0.3">
      <c r="A111" s="31"/>
      <c r="B111" s="52"/>
      <c r="C111" s="31"/>
      <c r="D111" s="32"/>
      <c r="E111" s="31"/>
      <c r="F111" s="32"/>
      <c r="G111" s="31"/>
      <c r="H111" s="32"/>
      <c r="I111" s="31"/>
      <c r="J111" s="32"/>
      <c r="K111" s="31"/>
      <c r="L111" s="32"/>
      <c r="M111" s="203"/>
      <c r="N111" s="32"/>
      <c r="O111" s="31"/>
      <c r="P111" s="32"/>
      <c r="Q111" s="31"/>
      <c r="R111" s="32"/>
      <c r="T111" s="32"/>
      <c r="V111" s="32"/>
    </row>
    <row r="112" spans="1:22" ht="15" customHeight="1" x14ac:dyDescent="0.3">
      <c r="A112" s="31"/>
      <c r="B112" s="52"/>
      <c r="C112" s="31"/>
      <c r="D112" s="32"/>
      <c r="E112" s="31"/>
      <c r="F112" s="32"/>
      <c r="G112" s="31"/>
      <c r="H112" s="32"/>
      <c r="I112" s="31"/>
      <c r="J112" s="32"/>
      <c r="K112" s="31"/>
      <c r="L112" s="32"/>
      <c r="M112" s="203"/>
      <c r="N112" s="32"/>
      <c r="O112" s="31"/>
      <c r="P112" s="32"/>
      <c r="Q112" s="31"/>
      <c r="R112" s="32"/>
      <c r="T112" s="32"/>
      <c r="V112" s="32"/>
    </row>
    <row r="113" spans="1:22" ht="15" customHeight="1" x14ac:dyDescent="0.3">
      <c r="A113" s="31"/>
      <c r="B113" s="52"/>
      <c r="C113" s="31"/>
      <c r="D113" s="32"/>
      <c r="E113" s="31"/>
      <c r="F113" s="32"/>
      <c r="G113" s="31"/>
      <c r="H113" s="32"/>
      <c r="I113" s="31"/>
      <c r="J113" s="32"/>
      <c r="K113" s="31"/>
      <c r="L113" s="32"/>
      <c r="M113" s="203"/>
      <c r="N113" s="32"/>
      <c r="O113" s="31"/>
      <c r="P113" s="32"/>
      <c r="Q113" s="31"/>
      <c r="R113" s="32"/>
      <c r="T113" s="32"/>
      <c r="V113" s="32"/>
    </row>
    <row r="114" spans="1:22" ht="15" customHeight="1" x14ac:dyDescent="0.3">
      <c r="A114" s="31"/>
      <c r="B114" s="52"/>
      <c r="C114" s="31"/>
      <c r="D114" s="32"/>
      <c r="E114" s="31"/>
      <c r="F114" s="32"/>
      <c r="G114" s="31"/>
      <c r="H114" s="32"/>
      <c r="I114" s="31"/>
      <c r="J114" s="32"/>
      <c r="K114" s="31"/>
      <c r="L114" s="32"/>
      <c r="M114" s="203"/>
      <c r="N114" s="32"/>
      <c r="O114" s="31"/>
      <c r="P114" s="32"/>
      <c r="Q114" s="31"/>
      <c r="R114" s="32"/>
      <c r="T114" s="32"/>
      <c r="V114" s="32"/>
    </row>
    <row r="115" spans="1:22" ht="15" customHeight="1" x14ac:dyDescent="0.3">
      <c r="A115" s="31"/>
      <c r="B115" s="52"/>
      <c r="C115" s="31"/>
      <c r="D115" s="32"/>
      <c r="E115" s="31"/>
      <c r="F115" s="32"/>
      <c r="G115" s="31"/>
      <c r="H115" s="32"/>
      <c r="I115" s="31"/>
      <c r="J115" s="32"/>
      <c r="K115" s="31"/>
      <c r="L115" s="32"/>
      <c r="M115" s="203"/>
      <c r="N115" s="32"/>
      <c r="O115" s="31"/>
      <c r="P115" s="32"/>
      <c r="Q115" s="31"/>
      <c r="R115" s="32"/>
      <c r="T115" s="32"/>
      <c r="V115" s="32"/>
    </row>
    <row r="116" spans="1:22" ht="15" customHeight="1" x14ac:dyDescent="0.3">
      <c r="A116" s="31"/>
      <c r="B116" s="52"/>
      <c r="C116" s="31"/>
      <c r="D116" s="32"/>
      <c r="E116" s="31"/>
      <c r="F116" s="32"/>
      <c r="G116" s="31"/>
      <c r="H116" s="32"/>
      <c r="I116" s="31"/>
      <c r="J116" s="32"/>
      <c r="K116" s="31"/>
      <c r="L116" s="32"/>
      <c r="M116" s="203"/>
      <c r="N116" s="32"/>
      <c r="O116" s="31"/>
      <c r="P116" s="32"/>
      <c r="Q116" s="31"/>
      <c r="R116" s="32"/>
      <c r="T116" s="32"/>
      <c r="V116" s="32"/>
    </row>
    <row r="117" spans="1:22" ht="15" customHeight="1" x14ac:dyDescent="0.3">
      <c r="A117" s="31"/>
      <c r="B117" s="52"/>
      <c r="C117" s="31"/>
      <c r="D117" s="32"/>
      <c r="E117" s="31"/>
      <c r="F117" s="32"/>
      <c r="G117" s="31"/>
      <c r="H117" s="32"/>
      <c r="I117" s="31"/>
      <c r="J117" s="32"/>
      <c r="K117" s="31"/>
      <c r="L117" s="32"/>
      <c r="M117" s="203"/>
      <c r="N117" s="32"/>
      <c r="O117" s="31"/>
      <c r="P117" s="32"/>
      <c r="Q117" s="31"/>
      <c r="R117" s="32"/>
      <c r="T117" s="32"/>
      <c r="V117" s="32"/>
    </row>
    <row r="118" spans="1:22" ht="15" customHeight="1" x14ac:dyDescent="0.3">
      <c r="A118" s="31"/>
      <c r="B118" s="52"/>
      <c r="C118" s="31"/>
      <c r="D118" s="32"/>
      <c r="E118" s="31"/>
      <c r="F118" s="32"/>
      <c r="G118" s="31"/>
      <c r="H118" s="32"/>
      <c r="I118" s="31"/>
      <c r="J118" s="32"/>
      <c r="K118" s="31"/>
      <c r="L118" s="32"/>
      <c r="M118" s="203"/>
      <c r="N118" s="32"/>
      <c r="O118" s="31"/>
      <c r="P118" s="32"/>
      <c r="Q118" s="31"/>
      <c r="R118" s="32"/>
      <c r="T118" s="32"/>
      <c r="V118" s="32"/>
    </row>
    <row r="119" spans="1:22" ht="15" customHeight="1" x14ac:dyDescent="0.3">
      <c r="A119" s="31"/>
      <c r="B119" s="52"/>
      <c r="C119" s="31"/>
      <c r="D119" s="32"/>
      <c r="E119" s="31"/>
      <c r="F119" s="32"/>
      <c r="G119" s="31"/>
      <c r="H119" s="32"/>
      <c r="I119" s="31"/>
      <c r="J119" s="32"/>
      <c r="K119" s="31"/>
      <c r="L119" s="32"/>
      <c r="M119" s="203"/>
      <c r="N119" s="32"/>
      <c r="O119" s="31"/>
      <c r="P119" s="32"/>
      <c r="Q119" s="31"/>
      <c r="R119" s="32"/>
      <c r="T119" s="32"/>
      <c r="V119" s="32"/>
    </row>
    <row r="120" spans="1:22" ht="15" customHeight="1" x14ac:dyDescent="0.3">
      <c r="A120" s="31"/>
      <c r="B120" s="52"/>
      <c r="C120" s="31"/>
      <c r="D120" s="32"/>
      <c r="E120" s="31"/>
      <c r="F120" s="32"/>
      <c r="G120" s="31"/>
      <c r="H120" s="32"/>
      <c r="I120" s="31"/>
      <c r="J120" s="32"/>
      <c r="K120" s="31"/>
      <c r="L120" s="32"/>
      <c r="M120" s="203"/>
      <c r="N120" s="32"/>
      <c r="O120" s="31"/>
      <c r="P120" s="32"/>
      <c r="Q120" s="31"/>
      <c r="R120" s="32"/>
      <c r="T120" s="32"/>
      <c r="V120" s="32"/>
    </row>
    <row r="121" spans="1:22" ht="15" customHeight="1" x14ac:dyDescent="0.3">
      <c r="A121" s="31"/>
      <c r="B121" s="52"/>
      <c r="C121" s="31"/>
      <c r="D121" s="32"/>
      <c r="E121" s="31"/>
      <c r="F121" s="32"/>
      <c r="G121" s="31"/>
      <c r="H121" s="32"/>
      <c r="I121" s="31"/>
      <c r="J121" s="32"/>
      <c r="K121" s="31"/>
      <c r="L121" s="32"/>
      <c r="M121" s="203"/>
      <c r="N121" s="32"/>
      <c r="O121" s="31"/>
      <c r="P121" s="32"/>
      <c r="Q121" s="31"/>
      <c r="R121" s="32"/>
      <c r="T121" s="32"/>
      <c r="V121" s="32"/>
    </row>
    <row r="122" spans="1:22" ht="15" customHeight="1" x14ac:dyDescent="0.3">
      <c r="A122" s="31"/>
      <c r="B122" s="52"/>
      <c r="C122" s="31"/>
      <c r="D122" s="32"/>
      <c r="E122" s="31"/>
      <c r="F122" s="32"/>
      <c r="G122" s="31"/>
      <c r="H122" s="32"/>
      <c r="I122" s="31"/>
      <c r="J122" s="32"/>
      <c r="K122" s="31"/>
      <c r="L122" s="32"/>
      <c r="M122" s="203"/>
      <c r="N122" s="32"/>
      <c r="O122" s="31"/>
      <c r="P122" s="32"/>
      <c r="Q122" s="31"/>
      <c r="R122" s="32"/>
      <c r="T122" s="32"/>
      <c r="V122" s="32"/>
    </row>
    <row r="123" spans="1:22" ht="15" customHeight="1" x14ac:dyDescent="0.3">
      <c r="A123" s="31"/>
      <c r="B123" s="52"/>
      <c r="C123" s="31"/>
      <c r="D123" s="32"/>
      <c r="E123" s="31"/>
      <c r="F123" s="32"/>
      <c r="G123" s="31"/>
      <c r="H123" s="32"/>
      <c r="I123" s="31"/>
      <c r="J123" s="32"/>
      <c r="K123" s="31"/>
      <c r="L123" s="32"/>
      <c r="M123" s="203"/>
      <c r="N123" s="32"/>
      <c r="O123" s="31"/>
      <c r="P123" s="32"/>
      <c r="Q123" s="31"/>
      <c r="R123" s="32"/>
      <c r="T123" s="32"/>
      <c r="V123" s="32"/>
    </row>
    <row r="124" spans="1:22" ht="15" customHeight="1" x14ac:dyDescent="0.3">
      <c r="A124" s="31"/>
      <c r="B124" s="52"/>
      <c r="C124" s="31"/>
      <c r="D124" s="32"/>
      <c r="E124" s="31"/>
      <c r="F124" s="32"/>
      <c r="G124" s="31"/>
      <c r="H124" s="32"/>
      <c r="I124" s="31"/>
      <c r="J124" s="32"/>
      <c r="K124" s="31"/>
      <c r="L124" s="32"/>
      <c r="M124" s="203"/>
      <c r="N124" s="32"/>
      <c r="O124" s="31"/>
      <c r="P124" s="32"/>
      <c r="Q124" s="31"/>
      <c r="R124" s="32"/>
      <c r="T124" s="32"/>
      <c r="V124" s="32"/>
    </row>
    <row r="125" spans="1:22" ht="15" customHeight="1" x14ac:dyDescent="0.3">
      <c r="A125" s="31"/>
      <c r="B125" s="52"/>
      <c r="C125" s="31"/>
      <c r="D125" s="32"/>
      <c r="E125" s="31"/>
      <c r="F125" s="32"/>
      <c r="G125" s="31"/>
      <c r="H125" s="32"/>
      <c r="I125" s="31"/>
      <c r="J125" s="32"/>
      <c r="K125" s="31"/>
      <c r="L125" s="32"/>
      <c r="M125" s="203"/>
      <c r="N125" s="32"/>
      <c r="O125" s="31"/>
      <c r="P125" s="32"/>
      <c r="Q125" s="31"/>
      <c r="R125" s="32"/>
      <c r="T125" s="32"/>
      <c r="V125" s="32"/>
    </row>
    <row r="126" spans="1:22" ht="15" customHeight="1" x14ac:dyDescent="0.3">
      <c r="A126" s="31"/>
      <c r="B126" s="52"/>
      <c r="C126" s="31"/>
      <c r="D126" s="32"/>
      <c r="E126" s="31"/>
      <c r="F126" s="32"/>
      <c r="G126" s="31"/>
      <c r="H126" s="32"/>
      <c r="I126" s="31"/>
      <c r="J126" s="32"/>
      <c r="K126" s="31"/>
      <c r="L126" s="32"/>
      <c r="M126" s="203"/>
      <c r="N126" s="32"/>
      <c r="O126" s="31"/>
      <c r="P126" s="32"/>
      <c r="Q126" s="31"/>
      <c r="R126" s="32"/>
      <c r="T126" s="32"/>
      <c r="V126" s="32"/>
    </row>
    <row r="127" spans="1:22" ht="15" customHeight="1" x14ac:dyDescent="0.3">
      <c r="A127" s="31"/>
      <c r="B127" s="52"/>
      <c r="C127" s="31"/>
      <c r="D127" s="32"/>
      <c r="E127" s="31"/>
      <c r="F127" s="32"/>
      <c r="G127" s="31"/>
      <c r="H127" s="32"/>
      <c r="I127" s="31"/>
      <c r="J127" s="32"/>
      <c r="K127" s="31"/>
      <c r="L127" s="32"/>
      <c r="M127" s="203"/>
      <c r="N127" s="32"/>
      <c r="O127" s="31"/>
      <c r="P127" s="32"/>
      <c r="Q127" s="31"/>
      <c r="R127" s="32"/>
      <c r="T127" s="32"/>
      <c r="V127" s="32"/>
    </row>
    <row r="128" spans="1:22" ht="15" customHeight="1" thickBot="1" x14ac:dyDescent="0.35">
      <c r="A128" s="54"/>
      <c r="B128" s="53"/>
      <c r="C128" s="54"/>
      <c r="D128" s="55"/>
      <c r="E128" s="54"/>
      <c r="F128" s="55"/>
      <c r="G128" s="54"/>
      <c r="H128" s="55"/>
      <c r="I128" s="54"/>
      <c r="J128" s="55"/>
      <c r="K128" s="54"/>
      <c r="L128" s="55"/>
      <c r="M128" s="203"/>
      <c r="N128" s="32"/>
      <c r="O128" s="54"/>
      <c r="P128" s="55"/>
      <c r="Q128" s="54"/>
      <c r="R128" s="55"/>
      <c r="T128" s="55"/>
      <c r="V128" s="55"/>
    </row>
    <row r="129" spans="13:14" ht="15" customHeight="1" x14ac:dyDescent="0.3">
      <c r="M129" s="203"/>
      <c r="N129" s="32"/>
    </row>
    <row r="130" spans="13:14" ht="15" customHeight="1" x14ac:dyDescent="0.3">
      <c r="M130" s="203"/>
      <c r="N130" s="32"/>
    </row>
    <row r="131" spans="13:14" ht="15" customHeight="1" thickBot="1" x14ac:dyDescent="0.35">
      <c r="M131" s="204"/>
      <c r="N131" s="55"/>
    </row>
  </sheetData>
  <pageMargins left="0.7" right="0.7" top="0.75" bottom="0.75" header="0.3" footer="0.3"/>
  <pageSetup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194"/>
  <sheetViews>
    <sheetView topLeftCell="R1" zoomScale="25" zoomScaleNormal="25" workbookViewId="0">
      <selection activeCell="Z2" sqref="Z2"/>
    </sheetView>
  </sheetViews>
  <sheetFormatPr defaultColWidth="8.6640625" defaultRowHeight="33.6" x14ac:dyDescent="0.3"/>
  <cols>
    <col min="1" max="1" width="30.6640625" style="75" customWidth="1"/>
    <col min="2" max="4" width="52.44140625" style="83" customWidth="1"/>
    <col min="5" max="5" width="98.5546875" style="84" customWidth="1"/>
    <col min="6" max="6" width="51.6640625" style="83" customWidth="1"/>
    <col min="7" max="7" width="30.6640625" style="83" customWidth="1"/>
    <col min="8" max="8" width="55.33203125" style="83" customWidth="1"/>
    <col min="9" max="9" width="30.6640625" style="83" customWidth="1"/>
    <col min="10" max="10" width="46.6640625" style="83" customWidth="1"/>
    <col min="11" max="12" width="131.5546875" style="132" bestFit="1" customWidth="1"/>
    <col min="13" max="13" width="30.6640625" style="83" customWidth="1"/>
    <col min="14" max="14" width="40.5546875" style="83" customWidth="1"/>
    <col min="15" max="15" width="43.6640625" style="132" customWidth="1"/>
    <col min="16" max="16" width="118.6640625" style="74" customWidth="1"/>
    <col min="17" max="17" width="30.6640625" style="74" customWidth="1"/>
    <col min="18" max="18" width="32.6640625" style="74" customWidth="1"/>
    <col min="19" max="19" width="35.33203125" style="74" customWidth="1"/>
    <col min="20" max="21" width="30.6640625" style="74" customWidth="1"/>
    <col min="22" max="22" width="31.6640625" style="74" customWidth="1"/>
    <col min="23" max="24" width="30.6640625" style="74" customWidth="1"/>
    <col min="25" max="25" width="55.33203125" style="74" customWidth="1"/>
    <col min="26" max="26" width="33" style="74" customWidth="1"/>
    <col min="27" max="27" width="30.6640625" style="74" customWidth="1"/>
    <col min="28" max="28" width="36.33203125" style="74" customWidth="1"/>
    <col min="29" max="29" width="46.33203125" style="74" customWidth="1"/>
    <col min="30" max="30" width="55.33203125" style="74" customWidth="1"/>
    <col min="31" max="31" width="53.6640625" style="74" customWidth="1"/>
    <col min="32" max="196" width="30.6640625" style="74" customWidth="1"/>
    <col min="197" max="16384" width="8.6640625" style="74"/>
  </cols>
  <sheetData>
    <row r="1" spans="1:33" ht="30" customHeight="1" thickBot="1" x14ac:dyDescent="0.35">
      <c r="A1" s="98" t="s">
        <v>336</v>
      </c>
      <c r="B1" s="174" t="s">
        <v>337</v>
      </c>
      <c r="C1" s="160" t="s">
        <v>338</v>
      </c>
      <c r="D1" s="160" t="s">
        <v>339</v>
      </c>
      <c r="E1" s="161" t="s">
        <v>340</v>
      </c>
      <c r="F1" s="160" t="s">
        <v>341</v>
      </c>
      <c r="G1" s="160" t="s">
        <v>342</v>
      </c>
      <c r="H1" s="160" t="s">
        <v>343</v>
      </c>
      <c r="I1" s="165" t="s">
        <v>344</v>
      </c>
      <c r="J1" s="160" t="s">
        <v>345</v>
      </c>
      <c r="K1" s="165" t="s">
        <v>346</v>
      </c>
      <c r="L1" s="165" t="s">
        <v>347</v>
      </c>
      <c r="M1" s="160" t="s">
        <v>348</v>
      </c>
      <c r="N1" s="160" t="s">
        <v>349</v>
      </c>
      <c r="O1" s="165" t="s">
        <v>350</v>
      </c>
      <c r="P1" s="166" t="s">
        <v>154</v>
      </c>
      <c r="Q1" s="160" t="s">
        <v>351</v>
      </c>
      <c r="R1" s="160" t="s">
        <v>352</v>
      </c>
      <c r="S1" s="160" t="s">
        <v>353</v>
      </c>
      <c r="T1" s="161" t="s">
        <v>354</v>
      </c>
      <c r="U1" s="160" t="s">
        <v>355</v>
      </c>
      <c r="V1" s="160" t="s">
        <v>356</v>
      </c>
      <c r="W1" s="160" t="s">
        <v>357</v>
      </c>
      <c r="X1" s="160" t="s">
        <v>358</v>
      </c>
      <c r="Y1" s="160" t="s">
        <v>359</v>
      </c>
      <c r="Z1" s="160" t="s">
        <v>360</v>
      </c>
      <c r="AA1" s="160" t="s">
        <v>361</v>
      </c>
      <c r="AB1" s="160" t="s">
        <v>362</v>
      </c>
      <c r="AC1" s="160" t="s">
        <v>363</v>
      </c>
      <c r="AD1" s="162" t="s">
        <v>364</v>
      </c>
      <c r="AE1" s="99"/>
    </row>
    <row r="2" spans="1:33" ht="30" customHeight="1" x14ac:dyDescent="0.3">
      <c r="A2" s="238" t="s">
        <v>365</v>
      </c>
      <c r="B2" s="168" t="s">
        <v>166</v>
      </c>
      <c r="C2" s="89" t="s">
        <v>168</v>
      </c>
      <c r="D2" s="89" t="s">
        <v>136</v>
      </c>
      <c r="E2" s="115" t="s">
        <v>182</v>
      </c>
      <c r="F2" s="88" t="s">
        <v>207</v>
      </c>
      <c r="G2" s="88" t="s">
        <v>183</v>
      </c>
      <c r="H2" s="88" t="s">
        <v>184</v>
      </c>
      <c r="I2" s="103" t="s">
        <v>198</v>
      </c>
      <c r="J2" s="113" t="s">
        <v>219</v>
      </c>
      <c r="K2" s="133" t="s">
        <v>366</v>
      </c>
      <c r="L2" s="133" t="s">
        <v>366</v>
      </c>
      <c r="M2" s="88">
        <v>1</v>
      </c>
      <c r="N2" s="88" t="s">
        <v>175</v>
      </c>
      <c r="O2" s="130" t="s">
        <v>367</v>
      </c>
      <c r="P2" s="126" t="e">
        <f>Q2&amp;R2&amp;S2&amp;T2&amp;U2&amp;V2&amp;W2&amp;X2&amp;Y2&amp;Z2&amp;AA2&amp;AD2&amp;AC2&amp;AB2</f>
        <v>#N/A</v>
      </c>
      <c r="Q2" s="119" t="str">
        <f>VLOOKUP($B2,'Component List'!$A$2:$B$30,2,FALSE)</f>
        <v>HD2</v>
      </c>
      <c r="R2" s="77" t="str">
        <f>VLOOKUP($C2,'Component List'!C$2:D$28,2,FALSE)</f>
        <v>RHD</v>
      </c>
      <c r="S2" s="77" t="str">
        <f>VLOOKUP($D2,'Component List'!E$2:F$30,2,FALSE)</f>
        <v>D</v>
      </c>
      <c r="T2" s="77">
        <f>VLOOKUP($E2,'Component List'!G$2:H$30,2,FALSE)</f>
        <v>101</v>
      </c>
      <c r="U2" s="77">
        <f>VLOOKUP($F2,'Component List'!I$2:J$30,2,FALSE)</f>
        <v>103</v>
      </c>
      <c r="V2" s="77">
        <f>VLOOKUP(G2,'Component List'!K$2:L$30,2,FALSE)</f>
        <v>101</v>
      </c>
      <c r="W2" s="77">
        <f>VLOOKUP(H2,'Component List'!M$2:N$31,2,FALSE)</f>
        <v>101</v>
      </c>
      <c r="X2" s="77">
        <f>VLOOKUP(I2,'Component List'!O$2:P$30,2,FALSE)</f>
        <v>100</v>
      </c>
      <c r="Y2" s="77">
        <f>VLOOKUP(J2,'Component List'!Q$2:R$30,2,FALSE)</f>
        <v>101</v>
      </c>
      <c r="Z2" s="77" t="e">
        <f>VLOOKUP(K2,'Component List'!S$2:T$30,2,FALSE)</f>
        <v>#N/A</v>
      </c>
      <c r="AA2" s="77" t="e">
        <f>VLOOKUP(L2,'Component List'!U$2:V$30,2,FALSE)</f>
        <v>#N/A</v>
      </c>
      <c r="AB2" s="77">
        <f>VLOOKUP(M2,'Component List'!AA$2:AB$30,2,FALSE)</f>
        <v>1</v>
      </c>
      <c r="AC2" s="77" t="str">
        <f>VLOOKUP(N2,'Component List'!Y$2:Z$30,2,FALSE)</f>
        <v>P</v>
      </c>
      <c r="AD2" s="159" t="e">
        <f>VLOOKUP(O2,'Component List'!W$3:X$30,2,FALSE)</f>
        <v>#N/A</v>
      </c>
      <c r="AE2" s="91"/>
      <c r="AF2" s="91"/>
      <c r="AG2" s="92"/>
    </row>
    <row r="3" spans="1:33" ht="30" customHeight="1" x14ac:dyDescent="0.3">
      <c r="A3" s="239"/>
      <c r="B3" s="101" t="s">
        <v>166</v>
      </c>
      <c r="C3" s="82" t="s">
        <v>168</v>
      </c>
      <c r="D3" s="82" t="s">
        <v>136</v>
      </c>
      <c r="E3" s="116" t="s">
        <v>182</v>
      </c>
      <c r="F3" s="82" t="s">
        <v>207</v>
      </c>
      <c r="G3" s="82" t="s">
        <v>183</v>
      </c>
      <c r="H3" s="82" t="s">
        <v>184</v>
      </c>
      <c r="I3" s="104" t="s">
        <v>198</v>
      </c>
      <c r="J3" s="85" t="s">
        <v>219</v>
      </c>
      <c r="K3" s="134" t="s">
        <v>366</v>
      </c>
      <c r="L3" s="134" t="s">
        <v>366</v>
      </c>
      <c r="M3" s="82">
        <v>1</v>
      </c>
      <c r="N3" s="82" t="s">
        <v>187</v>
      </c>
      <c r="O3" s="117" t="s">
        <v>367</v>
      </c>
      <c r="P3" s="123" t="e">
        <f t="shared" ref="P3:P65" si="0">Q3&amp;R3&amp;S3&amp;T3&amp;U3&amp;V3&amp;W3&amp;X3&amp;Y3&amp;Z3&amp;AA3&amp;AD3&amp;AC3&amp;AB3</f>
        <v>#N/A</v>
      </c>
      <c r="Q3" s="119" t="str">
        <f>VLOOKUP($B3,'Component List'!$A$2:$B$30,2,FALSE)</f>
        <v>HD2</v>
      </c>
      <c r="R3" s="77" t="str">
        <f>VLOOKUP($C3,'Component List'!C$2:D$28,2,FALSE)</f>
        <v>RHD</v>
      </c>
      <c r="S3" s="77" t="str">
        <f>VLOOKUP($D3,'Component List'!E$2:F$30,2,FALSE)</f>
        <v>D</v>
      </c>
      <c r="T3" s="77">
        <f>VLOOKUP($E3,'Component List'!G$2:H$30,2,FALSE)</f>
        <v>101</v>
      </c>
      <c r="U3" s="77">
        <f>VLOOKUP($F3,'Component List'!I$2:J$30,2,FALSE)</f>
        <v>103</v>
      </c>
      <c r="V3" s="77">
        <f>VLOOKUP(G3,'Component List'!K$2:L$30,2,FALSE)</f>
        <v>101</v>
      </c>
      <c r="W3" s="77">
        <f>VLOOKUP(H3,'Component List'!M$2:N$31,2,FALSE)</f>
        <v>101</v>
      </c>
      <c r="X3" s="77">
        <f>VLOOKUP(I3,'Component List'!O$2:P$30,2,FALSE)</f>
        <v>100</v>
      </c>
      <c r="Y3" s="77">
        <f>VLOOKUP(J3,'Component List'!Q$2:R$30,2,FALSE)</f>
        <v>101</v>
      </c>
      <c r="Z3" s="77" t="e">
        <f>VLOOKUP(K3,'Component List'!S$2:T$30,2,FALSE)</f>
        <v>#N/A</v>
      </c>
      <c r="AA3" s="77" t="e">
        <f>VLOOKUP(L3,'Component List'!U$2:V$30,2,FALSE)</f>
        <v>#N/A</v>
      </c>
      <c r="AB3" s="77">
        <f>VLOOKUP(M3,'Component List'!AA$2:AB$30,2,FALSE)</f>
        <v>1</v>
      </c>
      <c r="AC3" s="77" t="str">
        <f>VLOOKUP(N3,'Component List'!Y$2:Z$30,2,FALSE)</f>
        <v>C</v>
      </c>
      <c r="AD3" s="159" t="e">
        <f>VLOOKUP(O3,'Component List'!W$3:X$30,2,FALSE)</f>
        <v>#N/A</v>
      </c>
      <c r="AG3" s="93"/>
    </row>
    <row r="4" spans="1:33" ht="30" customHeight="1" x14ac:dyDescent="0.3">
      <c r="A4" s="239"/>
      <c r="B4" s="101" t="s">
        <v>166</v>
      </c>
      <c r="C4" s="82" t="s">
        <v>168</v>
      </c>
      <c r="D4" s="82" t="s">
        <v>136</v>
      </c>
      <c r="E4" s="116" t="s">
        <v>182</v>
      </c>
      <c r="F4" s="82" t="s">
        <v>207</v>
      </c>
      <c r="G4" s="82" t="s">
        <v>183</v>
      </c>
      <c r="H4" s="82" t="s">
        <v>184</v>
      </c>
      <c r="I4" s="104" t="s">
        <v>198</v>
      </c>
      <c r="J4" s="85" t="s">
        <v>219</v>
      </c>
      <c r="K4" s="134" t="s">
        <v>366</v>
      </c>
      <c r="L4" s="134" t="s">
        <v>366</v>
      </c>
      <c r="M4" s="82">
        <v>2</v>
      </c>
      <c r="N4" s="82" t="s">
        <v>175</v>
      </c>
      <c r="O4" s="117" t="s">
        <v>367</v>
      </c>
      <c r="P4" s="123" t="e">
        <f t="shared" si="0"/>
        <v>#N/A</v>
      </c>
      <c r="Q4" s="119" t="str">
        <f>VLOOKUP($B4,'Component List'!$A$2:$B$30,2,FALSE)</f>
        <v>HD2</v>
      </c>
      <c r="R4" s="77" t="str">
        <f>VLOOKUP($C4,'Component List'!C$2:D$28,2,FALSE)</f>
        <v>RHD</v>
      </c>
      <c r="S4" s="77" t="str">
        <f>VLOOKUP($D4,'Component List'!E$2:F$30,2,FALSE)</f>
        <v>D</v>
      </c>
      <c r="T4" s="77">
        <f>VLOOKUP($E4,'Component List'!G$2:H$30,2,FALSE)</f>
        <v>101</v>
      </c>
      <c r="U4" s="77">
        <f>VLOOKUP($F4,'Component List'!I$2:J$30,2,FALSE)</f>
        <v>103</v>
      </c>
      <c r="V4" s="77">
        <f>VLOOKUP(G4,'Component List'!K$2:L$30,2,FALSE)</f>
        <v>101</v>
      </c>
      <c r="W4" s="77">
        <f>VLOOKUP(H4,'Component List'!M$2:N$31,2,FALSE)</f>
        <v>101</v>
      </c>
      <c r="X4" s="77">
        <f>VLOOKUP(I4,'Component List'!O$2:P$30,2,FALSE)</f>
        <v>100</v>
      </c>
      <c r="Y4" s="77">
        <f>VLOOKUP(J4,'Component List'!Q$2:R$30,2,FALSE)</f>
        <v>101</v>
      </c>
      <c r="Z4" s="77" t="e">
        <f>VLOOKUP(K4,'Component List'!S$2:T$30,2,FALSE)</f>
        <v>#N/A</v>
      </c>
      <c r="AA4" s="77" t="e">
        <f>VLOOKUP(L4,'Component List'!U$2:V$30,2,FALSE)</f>
        <v>#N/A</v>
      </c>
      <c r="AB4" s="77">
        <f>VLOOKUP(M4,'Component List'!AA$2:AB$30,2,FALSE)</f>
        <v>2</v>
      </c>
      <c r="AC4" s="77" t="str">
        <f>VLOOKUP(N4,'Component List'!Y$2:Z$30,2,FALSE)</f>
        <v>P</v>
      </c>
      <c r="AD4" s="159" t="e">
        <f>VLOOKUP(O4,'Component List'!W$3:X$30,2,FALSE)</f>
        <v>#N/A</v>
      </c>
      <c r="AG4" s="93"/>
    </row>
    <row r="5" spans="1:33" ht="30" customHeight="1" x14ac:dyDescent="0.3">
      <c r="A5" s="239"/>
      <c r="B5" s="101" t="s">
        <v>166</v>
      </c>
      <c r="C5" s="82" t="s">
        <v>168</v>
      </c>
      <c r="D5" s="82" t="s">
        <v>136</v>
      </c>
      <c r="E5" s="116" t="s">
        <v>182</v>
      </c>
      <c r="F5" s="82" t="s">
        <v>207</v>
      </c>
      <c r="G5" s="82" t="s">
        <v>183</v>
      </c>
      <c r="H5" s="82" t="s">
        <v>184</v>
      </c>
      <c r="I5" s="104" t="s">
        <v>198</v>
      </c>
      <c r="J5" s="85" t="s">
        <v>219</v>
      </c>
      <c r="K5" s="134" t="s">
        <v>366</v>
      </c>
      <c r="L5" s="134" t="s">
        <v>366</v>
      </c>
      <c r="M5" s="82">
        <v>2</v>
      </c>
      <c r="N5" s="82" t="s">
        <v>187</v>
      </c>
      <c r="O5" s="117" t="s">
        <v>367</v>
      </c>
      <c r="P5" s="123" t="e">
        <f t="shared" si="0"/>
        <v>#N/A</v>
      </c>
      <c r="Q5" s="119" t="str">
        <f>VLOOKUP($B5,'Component List'!$A$2:$B$30,2,FALSE)</f>
        <v>HD2</v>
      </c>
      <c r="R5" s="77" t="str">
        <f>VLOOKUP($C5,'Component List'!C$2:D$28,2,FALSE)</f>
        <v>RHD</v>
      </c>
      <c r="S5" s="77" t="str">
        <f>VLOOKUP($D5,'Component List'!E$2:F$30,2,FALSE)</f>
        <v>D</v>
      </c>
      <c r="T5" s="77">
        <f>VLOOKUP($E5,'Component List'!G$2:H$30,2,FALSE)</f>
        <v>101</v>
      </c>
      <c r="U5" s="77">
        <f>VLOOKUP($F5,'Component List'!I$2:J$30,2,FALSE)</f>
        <v>103</v>
      </c>
      <c r="V5" s="77">
        <f>VLOOKUP(G5,'Component List'!K$2:L$30,2,FALSE)</f>
        <v>101</v>
      </c>
      <c r="W5" s="77">
        <f>VLOOKUP(H5,'Component List'!M$2:N$31,2,FALSE)</f>
        <v>101</v>
      </c>
      <c r="X5" s="77">
        <f>VLOOKUP(I5,'Component List'!O$2:P$30,2,FALSE)</f>
        <v>100</v>
      </c>
      <c r="Y5" s="77">
        <f>VLOOKUP(J5,'Component List'!Q$2:R$30,2,FALSE)</f>
        <v>101</v>
      </c>
      <c r="Z5" s="77" t="e">
        <f>VLOOKUP(K5,'Component List'!S$2:T$30,2,FALSE)</f>
        <v>#N/A</v>
      </c>
      <c r="AA5" s="77" t="e">
        <f>VLOOKUP(L5,'Component List'!U$2:V$30,2,FALSE)</f>
        <v>#N/A</v>
      </c>
      <c r="AB5" s="77">
        <f>VLOOKUP(M5,'Component List'!AA$2:AB$30,2,FALSE)</f>
        <v>2</v>
      </c>
      <c r="AC5" s="77" t="str">
        <f>VLOOKUP(N5,'Component List'!Y$2:Z$30,2,FALSE)</f>
        <v>C</v>
      </c>
      <c r="AD5" s="159" t="e">
        <f>VLOOKUP(O5,'Component List'!W$3:X$30,2,FALSE)</f>
        <v>#N/A</v>
      </c>
      <c r="AG5" s="93"/>
    </row>
    <row r="6" spans="1:33" ht="30" customHeight="1" x14ac:dyDescent="0.3">
      <c r="A6" s="239"/>
      <c r="B6" s="101" t="s">
        <v>166</v>
      </c>
      <c r="C6" s="82" t="s">
        <v>168</v>
      </c>
      <c r="D6" s="82" t="s">
        <v>136</v>
      </c>
      <c r="E6" s="116" t="s">
        <v>182</v>
      </c>
      <c r="F6" s="82" t="s">
        <v>207</v>
      </c>
      <c r="G6" s="82" t="s">
        <v>183</v>
      </c>
      <c r="H6" s="82" t="s">
        <v>184</v>
      </c>
      <c r="I6" s="104" t="s">
        <v>198</v>
      </c>
      <c r="J6" s="85" t="s">
        <v>219</v>
      </c>
      <c r="K6" s="135" t="s">
        <v>366</v>
      </c>
      <c r="L6" s="135" t="s">
        <v>366</v>
      </c>
      <c r="M6" s="101">
        <v>3</v>
      </c>
      <c r="N6" s="82" t="s">
        <v>175</v>
      </c>
      <c r="O6" s="117" t="s">
        <v>367</v>
      </c>
      <c r="P6" s="123" t="e">
        <f t="shared" si="0"/>
        <v>#N/A</v>
      </c>
      <c r="Q6" s="119" t="str">
        <f>VLOOKUP($B6,'Component List'!$A$2:$B$30,2,FALSE)</f>
        <v>HD2</v>
      </c>
      <c r="R6" s="77" t="str">
        <f>VLOOKUP($C6,'Component List'!C$2:D$28,2,FALSE)</f>
        <v>RHD</v>
      </c>
      <c r="S6" s="77" t="str">
        <f>VLOOKUP($D6,'Component List'!E$2:F$30,2,FALSE)</f>
        <v>D</v>
      </c>
      <c r="T6" s="77">
        <f>VLOOKUP($E6,'Component List'!G$2:H$30,2,FALSE)</f>
        <v>101</v>
      </c>
      <c r="U6" s="77">
        <f>VLOOKUP($F6,'Component List'!I$2:J$30,2,FALSE)</f>
        <v>103</v>
      </c>
      <c r="V6" s="77">
        <f>VLOOKUP(G6,'Component List'!K$2:L$30,2,FALSE)</f>
        <v>101</v>
      </c>
      <c r="W6" s="77">
        <f>VLOOKUP(H6,'Component List'!M$2:N$31,2,FALSE)</f>
        <v>101</v>
      </c>
      <c r="X6" s="77">
        <f>VLOOKUP(I6,'Component List'!O$2:P$30,2,FALSE)</f>
        <v>100</v>
      </c>
      <c r="Y6" s="77">
        <f>VLOOKUP(J6,'Component List'!Q$2:R$30,2,FALSE)</f>
        <v>101</v>
      </c>
      <c r="Z6" s="77" t="e">
        <f>VLOOKUP(K6,'Component List'!S$2:T$30,2,FALSE)</f>
        <v>#N/A</v>
      </c>
      <c r="AA6" s="77" t="e">
        <f>VLOOKUP(L6,'Component List'!U$2:V$30,2,FALSE)</f>
        <v>#N/A</v>
      </c>
      <c r="AB6" s="77">
        <f>VLOOKUP(M6,'Component List'!AA$2:AB$30,2,FALSE)</f>
        <v>3</v>
      </c>
      <c r="AC6" s="77" t="str">
        <f>VLOOKUP(N6,'Component List'!Y$2:Z$30,2,FALSE)</f>
        <v>P</v>
      </c>
      <c r="AD6" s="159" t="e">
        <f>VLOOKUP(O6,'Component List'!W$3:X$30,2,FALSE)</f>
        <v>#N/A</v>
      </c>
      <c r="AG6" s="93"/>
    </row>
    <row r="7" spans="1:33" ht="30" customHeight="1" x14ac:dyDescent="0.3">
      <c r="A7" s="239"/>
      <c r="B7" s="101" t="s">
        <v>166</v>
      </c>
      <c r="C7" s="82" t="s">
        <v>168</v>
      </c>
      <c r="D7" s="82" t="s">
        <v>136</v>
      </c>
      <c r="E7" s="116" t="s">
        <v>182</v>
      </c>
      <c r="F7" s="82" t="s">
        <v>207</v>
      </c>
      <c r="G7" s="82" t="s">
        <v>183</v>
      </c>
      <c r="H7" s="82" t="s">
        <v>184</v>
      </c>
      <c r="I7" s="104" t="s">
        <v>198</v>
      </c>
      <c r="J7" s="85" t="s">
        <v>219</v>
      </c>
      <c r="K7" s="135" t="s">
        <v>366</v>
      </c>
      <c r="L7" s="135" t="s">
        <v>366</v>
      </c>
      <c r="M7" s="107">
        <v>3</v>
      </c>
      <c r="N7" s="82" t="s">
        <v>187</v>
      </c>
      <c r="O7" s="117" t="s">
        <v>367</v>
      </c>
      <c r="P7" s="123" t="e">
        <f t="shared" si="0"/>
        <v>#N/A</v>
      </c>
      <c r="Q7" s="119" t="str">
        <f>VLOOKUP($B7,'Component List'!$A$2:$B$30,2,FALSE)</f>
        <v>HD2</v>
      </c>
      <c r="R7" s="77" t="str">
        <f>VLOOKUP($C7,'Component List'!C$2:D$28,2,FALSE)</f>
        <v>RHD</v>
      </c>
      <c r="S7" s="77" t="str">
        <f>VLOOKUP($D7,'Component List'!E$2:F$30,2,FALSE)</f>
        <v>D</v>
      </c>
      <c r="T7" s="77">
        <f>VLOOKUP($E7,'Component List'!G$2:H$30,2,FALSE)</f>
        <v>101</v>
      </c>
      <c r="U7" s="77">
        <f>VLOOKUP($F7,'Component List'!I$2:J$30,2,FALSE)</f>
        <v>103</v>
      </c>
      <c r="V7" s="77">
        <f>VLOOKUP(G7,'Component List'!K$2:L$30,2,FALSE)</f>
        <v>101</v>
      </c>
      <c r="W7" s="77">
        <f>VLOOKUP(H7,'Component List'!M$2:N$31,2,FALSE)</f>
        <v>101</v>
      </c>
      <c r="X7" s="77">
        <f>VLOOKUP(I7,'Component List'!O$2:P$30,2,FALSE)</f>
        <v>100</v>
      </c>
      <c r="Y7" s="77">
        <f>VLOOKUP(J7,'Component List'!Q$2:R$30,2,FALSE)</f>
        <v>101</v>
      </c>
      <c r="Z7" s="77" t="e">
        <f>VLOOKUP(K7,'Component List'!S$2:T$30,2,FALSE)</f>
        <v>#N/A</v>
      </c>
      <c r="AA7" s="77" t="e">
        <f>VLOOKUP(L7,'Component List'!U$2:V$30,2,FALSE)</f>
        <v>#N/A</v>
      </c>
      <c r="AB7" s="77">
        <f>VLOOKUP(M7,'Component List'!AA$2:AB$30,2,FALSE)</f>
        <v>3</v>
      </c>
      <c r="AC7" s="77" t="str">
        <f>VLOOKUP(N7,'Component List'!Y$2:Z$30,2,FALSE)</f>
        <v>C</v>
      </c>
      <c r="AD7" s="159" t="e">
        <f>VLOOKUP(O7,'Component List'!W$3:X$30,2,FALSE)</f>
        <v>#N/A</v>
      </c>
      <c r="AG7" s="93"/>
    </row>
    <row r="8" spans="1:33" ht="30" customHeight="1" x14ac:dyDescent="0.3">
      <c r="A8" s="239"/>
      <c r="B8" s="101" t="s">
        <v>135</v>
      </c>
      <c r="C8" s="82" t="s">
        <v>168</v>
      </c>
      <c r="D8" s="82" t="s">
        <v>136</v>
      </c>
      <c r="E8" s="116" t="s">
        <v>182</v>
      </c>
      <c r="F8" s="82" t="s">
        <v>207</v>
      </c>
      <c r="G8" s="82" t="s">
        <v>183</v>
      </c>
      <c r="H8" s="82" t="s">
        <v>184</v>
      </c>
      <c r="I8" s="104" t="s">
        <v>198</v>
      </c>
      <c r="J8" s="85" t="s">
        <v>219</v>
      </c>
      <c r="K8" s="135" t="s">
        <v>366</v>
      </c>
      <c r="L8" s="135" t="s">
        <v>366</v>
      </c>
      <c r="M8" s="82">
        <v>1</v>
      </c>
      <c r="N8" s="82" t="s">
        <v>175</v>
      </c>
      <c r="O8" s="117" t="s">
        <v>367</v>
      </c>
      <c r="P8" s="123" t="e">
        <f t="shared" si="0"/>
        <v>#N/A</v>
      </c>
      <c r="Q8" s="119" t="str">
        <f>VLOOKUP($B8,'Component List'!$A$2:$B$30,2,FALSE)</f>
        <v>HD3</v>
      </c>
      <c r="R8" s="77" t="str">
        <f>VLOOKUP($C8,'Component List'!C$2:D$28,2,FALSE)</f>
        <v>RHD</v>
      </c>
      <c r="S8" s="77" t="str">
        <f>VLOOKUP($D8,'Component List'!E$2:F$30,2,FALSE)</f>
        <v>D</v>
      </c>
      <c r="T8" s="77">
        <f>VLOOKUP($E8,'Component List'!G$2:H$30,2,FALSE)</f>
        <v>101</v>
      </c>
      <c r="U8" s="77">
        <f>VLOOKUP($F8,'Component List'!I$2:J$30,2,FALSE)</f>
        <v>103</v>
      </c>
      <c r="V8" s="77">
        <f>VLOOKUP(G8,'Component List'!K$2:L$30,2,FALSE)</f>
        <v>101</v>
      </c>
      <c r="W8" s="77">
        <f>VLOOKUP(H8,'Component List'!M$2:N$31,2,FALSE)</f>
        <v>101</v>
      </c>
      <c r="X8" s="77">
        <f>VLOOKUP(I8,'Component List'!O$2:P$30,2,FALSE)</f>
        <v>100</v>
      </c>
      <c r="Y8" s="77">
        <f>VLOOKUP(J8,'Component List'!Q$2:R$30,2,FALSE)</f>
        <v>101</v>
      </c>
      <c r="Z8" s="77" t="e">
        <f>VLOOKUP(K8,'Component List'!S$2:T$30,2,FALSE)</f>
        <v>#N/A</v>
      </c>
      <c r="AA8" s="77" t="e">
        <f>VLOOKUP(L8,'Component List'!U$2:V$30,2,FALSE)</f>
        <v>#N/A</v>
      </c>
      <c r="AB8" s="77">
        <f>VLOOKUP(M8,'Component List'!AA$2:AB$30,2,FALSE)</f>
        <v>1</v>
      </c>
      <c r="AC8" s="77" t="str">
        <f>VLOOKUP(N8,'Component List'!Y$2:Z$30,2,FALSE)</f>
        <v>P</v>
      </c>
      <c r="AD8" s="159" t="e">
        <f>VLOOKUP(O8,'Component List'!W$3:X$30,2,FALSE)</f>
        <v>#N/A</v>
      </c>
      <c r="AG8" s="93"/>
    </row>
    <row r="9" spans="1:33" ht="30" customHeight="1" x14ac:dyDescent="0.3">
      <c r="A9" s="239"/>
      <c r="B9" s="101" t="s">
        <v>135</v>
      </c>
      <c r="C9" s="82" t="s">
        <v>168</v>
      </c>
      <c r="D9" s="82" t="s">
        <v>136</v>
      </c>
      <c r="E9" s="116" t="s">
        <v>182</v>
      </c>
      <c r="F9" s="82" t="s">
        <v>207</v>
      </c>
      <c r="G9" s="82" t="s">
        <v>183</v>
      </c>
      <c r="H9" s="82" t="s">
        <v>184</v>
      </c>
      <c r="I9" s="104" t="s">
        <v>198</v>
      </c>
      <c r="J9" s="85" t="s">
        <v>219</v>
      </c>
      <c r="K9" s="135" t="s">
        <v>366</v>
      </c>
      <c r="L9" s="135" t="s">
        <v>366</v>
      </c>
      <c r="M9" s="82">
        <v>1</v>
      </c>
      <c r="N9" s="82" t="s">
        <v>187</v>
      </c>
      <c r="O9" s="117" t="s">
        <v>367</v>
      </c>
      <c r="P9" s="123" t="e">
        <f t="shared" si="0"/>
        <v>#N/A</v>
      </c>
      <c r="Q9" s="119" t="str">
        <f>VLOOKUP($B9,'Component List'!$A$2:$B$30,2,FALSE)</f>
        <v>HD3</v>
      </c>
      <c r="R9" s="77" t="str">
        <f>VLOOKUP($C9,'Component List'!C$2:D$28,2,FALSE)</f>
        <v>RHD</v>
      </c>
      <c r="S9" s="77" t="str">
        <f>VLOOKUP($D9,'Component List'!E$2:F$30,2,FALSE)</f>
        <v>D</v>
      </c>
      <c r="T9" s="77">
        <f>VLOOKUP($E9,'Component List'!G$2:H$30,2,FALSE)</f>
        <v>101</v>
      </c>
      <c r="U9" s="77">
        <f>VLOOKUP($F9,'Component List'!I$2:J$30,2,FALSE)</f>
        <v>103</v>
      </c>
      <c r="V9" s="77">
        <f>VLOOKUP(G9,'Component List'!K$2:L$30,2,FALSE)</f>
        <v>101</v>
      </c>
      <c r="W9" s="77">
        <f>VLOOKUP(H9,'Component List'!M$2:N$31,2,FALSE)</f>
        <v>101</v>
      </c>
      <c r="X9" s="77">
        <f>VLOOKUP(I9,'Component List'!O$2:P$30,2,FALSE)</f>
        <v>100</v>
      </c>
      <c r="Y9" s="77">
        <f>VLOOKUP(J9,'Component List'!Q$2:R$30,2,FALSE)</f>
        <v>101</v>
      </c>
      <c r="Z9" s="77" t="e">
        <f>VLOOKUP(K9,'Component List'!S$2:T$30,2,FALSE)</f>
        <v>#N/A</v>
      </c>
      <c r="AA9" s="77" t="e">
        <f>VLOOKUP(L9,'Component List'!U$2:V$30,2,FALSE)</f>
        <v>#N/A</v>
      </c>
      <c r="AB9" s="77">
        <f>VLOOKUP(M9,'Component List'!AA$2:AB$30,2,FALSE)</f>
        <v>1</v>
      </c>
      <c r="AC9" s="77" t="str">
        <f>VLOOKUP(N9,'Component List'!Y$2:Z$30,2,FALSE)</f>
        <v>C</v>
      </c>
      <c r="AD9" s="159" t="e">
        <f>VLOOKUP(O9,'Component List'!W$3:X$30,2,FALSE)</f>
        <v>#N/A</v>
      </c>
      <c r="AG9" s="93"/>
    </row>
    <row r="10" spans="1:33" ht="30" customHeight="1" x14ac:dyDescent="0.3">
      <c r="A10" s="239"/>
      <c r="B10" s="101" t="s">
        <v>135</v>
      </c>
      <c r="C10" s="82" t="s">
        <v>168</v>
      </c>
      <c r="D10" s="82" t="s">
        <v>136</v>
      </c>
      <c r="E10" s="116" t="s">
        <v>182</v>
      </c>
      <c r="F10" s="82" t="s">
        <v>207</v>
      </c>
      <c r="G10" s="82" t="s">
        <v>183</v>
      </c>
      <c r="H10" s="82" t="s">
        <v>184</v>
      </c>
      <c r="I10" s="104" t="s">
        <v>198</v>
      </c>
      <c r="J10" s="85" t="s">
        <v>219</v>
      </c>
      <c r="K10" s="135" t="s">
        <v>366</v>
      </c>
      <c r="L10" s="135" t="s">
        <v>366</v>
      </c>
      <c r="M10" s="82">
        <v>2</v>
      </c>
      <c r="N10" s="82" t="s">
        <v>175</v>
      </c>
      <c r="O10" s="117" t="s">
        <v>367</v>
      </c>
      <c r="P10" s="123" t="e">
        <f t="shared" si="0"/>
        <v>#N/A</v>
      </c>
      <c r="Q10" s="119" t="str">
        <f>VLOOKUP($B10,'Component List'!$A$2:$B$30,2,FALSE)</f>
        <v>HD3</v>
      </c>
      <c r="R10" s="77" t="str">
        <f>VLOOKUP($C10,'Component List'!C$2:D$28,2,FALSE)</f>
        <v>RHD</v>
      </c>
      <c r="S10" s="77" t="str">
        <f>VLOOKUP($D10,'Component List'!E$2:F$30,2,FALSE)</f>
        <v>D</v>
      </c>
      <c r="T10" s="77">
        <f>VLOOKUP($E10,'Component List'!G$2:H$30,2,FALSE)</f>
        <v>101</v>
      </c>
      <c r="U10" s="77">
        <f>VLOOKUP($F10,'Component List'!I$2:J$30,2,FALSE)</f>
        <v>103</v>
      </c>
      <c r="V10" s="77">
        <f>VLOOKUP(G10,'Component List'!K$2:L$30,2,FALSE)</f>
        <v>101</v>
      </c>
      <c r="W10" s="77">
        <f>VLOOKUP(H10,'Component List'!M$2:N$31,2,FALSE)</f>
        <v>101</v>
      </c>
      <c r="X10" s="77">
        <f>VLOOKUP(I10,'Component List'!O$2:P$30,2,FALSE)</f>
        <v>100</v>
      </c>
      <c r="Y10" s="77">
        <f>VLOOKUP(J10,'Component List'!Q$2:R$30,2,FALSE)</f>
        <v>101</v>
      </c>
      <c r="Z10" s="77" t="e">
        <f>VLOOKUP(K10,'Component List'!S$2:T$30,2,FALSE)</f>
        <v>#N/A</v>
      </c>
      <c r="AA10" s="77" t="e">
        <f>VLOOKUP(L10,'Component List'!U$2:V$30,2,FALSE)</f>
        <v>#N/A</v>
      </c>
      <c r="AB10" s="77">
        <f>VLOOKUP(M10,'Component List'!AA$2:AB$30,2,FALSE)</f>
        <v>2</v>
      </c>
      <c r="AC10" s="77" t="str">
        <f>VLOOKUP(N10,'Component List'!Y$2:Z$30,2,FALSE)</f>
        <v>P</v>
      </c>
      <c r="AD10" s="159" t="e">
        <f>VLOOKUP(O10,'Component List'!W$3:X$30,2,FALSE)</f>
        <v>#N/A</v>
      </c>
      <c r="AG10" s="93"/>
    </row>
    <row r="11" spans="1:33" ht="30" customHeight="1" x14ac:dyDescent="0.3">
      <c r="A11" s="239"/>
      <c r="B11" s="101" t="s">
        <v>135</v>
      </c>
      <c r="C11" s="82" t="s">
        <v>168</v>
      </c>
      <c r="D11" s="82" t="s">
        <v>136</v>
      </c>
      <c r="E11" s="116" t="s">
        <v>182</v>
      </c>
      <c r="F11" s="82" t="s">
        <v>207</v>
      </c>
      <c r="G11" s="82" t="s">
        <v>183</v>
      </c>
      <c r="H11" s="82" t="s">
        <v>184</v>
      </c>
      <c r="I11" s="104" t="s">
        <v>198</v>
      </c>
      <c r="J11" s="82" t="s">
        <v>219</v>
      </c>
      <c r="K11" s="135" t="s">
        <v>366</v>
      </c>
      <c r="L11" s="135" t="s">
        <v>366</v>
      </c>
      <c r="M11" s="82">
        <v>2</v>
      </c>
      <c r="N11" s="82" t="s">
        <v>187</v>
      </c>
      <c r="O11" s="110" t="s">
        <v>367</v>
      </c>
      <c r="P11" s="123" t="e">
        <f t="shared" si="0"/>
        <v>#N/A</v>
      </c>
      <c r="Q11" s="119" t="str">
        <f>VLOOKUP($B11,'Component List'!$A$2:$B$30,2,FALSE)</f>
        <v>HD3</v>
      </c>
      <c r="R11" s="77" t="str">
        <f>VLOOKUP($C11,'Component List'!C$2:D$28,2,FALSE)</f>
        <v>RHD</v>
      </c>
      <c r="S11" s="77" t="str">
        <f>VLOOKUP($D11,'Component List'!E$2:F$30,2,FALSE)</f>
        <v>D</v>
      </c>
      <c r="T11" s="77">
        <f>VLOOKUP($E11,'Component List'!G$2:H$30,2,FALSE)</f>
        <v>101</v>
      </c>
      <c r="U11" s="77">
        <f>VLOOKUP($F11,'Component List'!I$2:J$30,2,FALSE)</f>
        <v>103</v>
      </c>
      <c r="V11" s="77">
        <f>VLOOKUP(G11,'Component List'!K$2:L$30,2,FALSE)</f>
        <v>101</v>
      </c>
      <c r="W11" s="77">
        <f>VLOOKUP(H11,'Component List'!M$2:N$31,2,FALSE)</f>
        <v>101</v>
      </c>
      <c r="X11" s="77">
        <f>VLOOKUP(I11,'Component List'!O$2:P$30,2,FALSE)</f>
        <v>100</v>
      </c>
      <c r="Y11" s="77">
        <f>VLOOKUP(J11,'Component List'!Q$2:R$30,2,FALSE)</f>
        <v>101</v>
      </c>
      <c r="Z11" s="77" t="e">
        <f>VLOOKUP(K11,'Component List'!S$2:T$30,2,FALSE)</f>
        <v>#N/A</v>
      </c>
      <c r="AA11" s="77" t="e">
        <f>VLOOKUP(L11,'Component List'!U$2:V$30,2,FALSE)</f>
        <v>#N/A</v>
      </c>
      <c r="AB11" s="77">
        <f>VLOOKUP(M11,'Component List'!AA$2:AB$30,2,FALSE)</f>
        <v>2</v>
      </c>
      <c r="AC11" s="77" t="str">
        <f>VLOOKUP(N11,'Component List'!Y$2:Z$30,2,FALSE)</f>
        <v>C</v>
      </c>
      <c r="AD11" s="159" t="e">
        <f>VLOOKUP(O11,'Component List'!W$3:X$30,2,FALSE)</f>
        <v>#N/A</v>
      </c>
      <c r="AG11" s="93"/>
    </row>
    <row r="12" spans="1:33" ht="30" customHeight="1" x14ac:dyDescent="0.3">
      <c r="A12" s="239"/>
      <c r="B12" s="101" t="s">
        <v>135</v>
      </c>
      <c r="C12" s="82" t="s">
        <v>168</v>
      </c>
      <c r="D12" s="82" t="s">
        <v>136</v>
      </c>
      <c r="E12" s="116" t="s">
        <v>182</v>
      </c>
      <c r="F12" s="82" t="s">
        <v>207</v>
      </c>
      <c r="G12" s="82" t="s">
        <v>183</v>
      </c>
      <c r="H12" s="82" t="s">
        <v>184</v>
      </c>
      <c r="I12" s="104" t="s">
        <v>198</v>
      </c>
      <c r="J12" s="82" t="s">
        <v>219</v>
      </c>
      <c r="K12" s="135" t="s">
        <v>366</v>
      </c>
      <c r="L12" s="135" t="s">
        <v>366</v>
      </c>
      <c r="M12" s="82">
        <v>3</v>
      </c>
      <c r="N12" s="82" t="s">
        <v>175</v>
      </c>
      <c r="O12" s="110" t="s">
        <v>367</v>
      </c>
      <c r="P12" s="123" t="e">
        <f t="shared" si="0"/>
        <v>#N/A</v>
      </c>
      <c r="Q12" s="119" t="str">
        <f>VLOOKUP($B12,'Component List'!$A$2:$B$30,2,FALSE)</f>
        <v>HD3</v>
      </c>
      <c r="R12" s="77" t="str">
        <f>VLOOKUP($C12,'Component List'!C$2:D$28,2,FALSE)</f>
        <v>RHD</v>
      </c>
      <c r="S12" s="77" t="str">
        <f>VLOOKUP($D12,'Component List'!E$2:F$30,2,FALSE)</f>
        <v>D</v>
      </c>
      <c r="T12" s="77">
        <f>VLOOKUP($E12,'Component List'!G$2:H$30,2,FALSE)</f>
        <v>101</v>
      </c>
      <c r="U12" s="77">
        <f>VLOOKUP($F12,'Component List'!I$2:J$30,2,FALSE)</f>
        <v>103</v>
      </c>
      <c r="V12" s="77">
        <f>VLOOKUP(G12,'Component List'!K$2:L$30,2,FALSE)</f>
        <v>101</v>
      </c>
      <c r="W12" s="77">
        <f>VLOOKUP(H12,'Component List'!M$2:N$31,2,FALSE)</f>
        <v>101</v>
      </c>
      <c r="X12" s="77">
        <f>VLOOKUP(I12,'Component List'!O$2:P$30,2,FALSE)</f>
        <v>100</v>
      </c>
      <c r="Y12" s="77">
        <f>VLOOKUP(J12,'Component List'!Q$2:R$30,2,FALSE)</f>
        <v>101</v>
      </c>
      <c r="Z12" s="77" t="e">
        <f>VLOOKUP(K12,'Component List'!S$2:T$30,2,FALSE)</f>
        <v>#N/A</v>
      </c>
      <c r="AA12" s="77" t="e">
        <f>VLOOKUP(L12,'Component List'!U$2:V$30,2,FALSE)</f>
        <v>#N/A</v>
      </c>
      <c r="AB12" s="77">
        <f>VLOOKUP(M12,'Component List'!AA$2:AB$30,2,FALSE)</f>
        <v>3</v>
      </c>
      <c r="AC12" s="77" t="str">
        <f>VLOOKUP(N12,'Component List'!Y$2:Z$30,2,FALSE)</f>
        <v>P</v>
      </c>
      <c r="AD12" s="159" t="e">
        <f>VLOOKUP(O12,'Component List'!W$3:X$30,2,FALSE)</f>
        <v>#N/A</v>
      </c>
      <c r="AG12" s="93"/>
    </row>
    <row r="13" spans="1:33" ht="30" customHeight="1" x14ac:dyDescent="0.3">
      <c r="A13" s="239"/>
      <c r="B13" s="101" t="s">
        <v>135</v>
      </c>
      <c r="C13" s="82" t="s">
        <v>168</v>
      </c>
      <c r="D13" s="82" t="s">
        <v>136</v>
      </c>
      <c r="E13" s="116" t="s">
        <v>182</v>
      </c>
      <c r="F13" s="82" t="s">
        <v>207</v>
      </c>
      <c r="G13" s="82" t="s">
        <v>183</v>
      </c>
      <c r="H13" s="82" t="s">
        <v>184</v>
      </c>
      <c r="I13" s="104" t="s">
        <v>198</v>
      </c>
      <c r="J13" s="82" t="s">
        <v>219</v>
      </c>
      <c r="K13" s="135" t="s">
        <v>366</v>
      </c>
      <c r="L13" s="135" t="s">
        <v>366</v>
      </c>
      <c r="M13" s="82">
        <v>3</v>
      </c>
      <c r="N13" s="82" t="s">
        <v>187</v>
      </c>
      <c r="O13" s="110" t="s">
        <v>367</v>
      </c>
      <c r="P13" s="123" t="e">
        <f t="shared" si="0"/>
        <v>#N/A</v>
      </c>
      <c r="Q13" s="119" t="str">
        <f>VLOOKUP($B13,'Component List'!$A$2:$B$30,2,FALSE)</f>
        <v>HD3</v>
      </c>
      <c r="R13" s="77" t="str">
        <f>VLOOKUP($C13,'Component List'!C$2:D$28,2,FALSE)</f>
        <v>RHD</v>
      </c>
      <c r="S13" s="77" t="str">
        <f>VLOOKUP($D13,'Component List'!E$2:F$30,2,FALSE)</f>
        <v>D</v>
      </c>
      <c r="T13" s="77">
        <f>VLOOKUP($E13,'Component List'!G$2:H$30,2,FALSE)</f>
        <v>101</v>
      </c>
      <c r="U13" s="77">
        <f>VLOOKUP($F13,'Component List'!I$2:J$30,2,FALSE)</f>
        <v>103</v>
      </c>
      <c r="V13" s="77">
        <f>VLOOKUP(G13,'Component List'!K$2:L$30,2,FALSE)</f>
        <v>101</v>
      </c>
      <c r="W13" s="77">
        <f>VLOOKUP(H13,'Component List'!M$2:N$31,2,FALSE)</f>
        <v>101</v>
      </c>
      <c r="X13" s="77">
        <f>VLOOKUP(I13,'Component List'!O$2:P$30,2,FALSE)</f>
        <v>100</v>
      </c>
      <c r="Y13" s="77">
        <f>VLOOKUP(J13,'Component List'!Q$2:R$30,2,FALSE)</f>
        <v>101</v>
      </c>
      <c r="Z13" s="77" t="e">
        <f>VLOOKUP(K13,'Component List'!S$2:T$30,2,FALSE)</f>
        <v>#N/A</v>
      </c>
      <c r="AA13" s="77" t="e">
        <f>VLOOKUP(L13,'Component List'!U$2:V$30,2,FALSE)</f>
        <v>#N/A</v>
      </c>
      <c r="AB13" s="77">
        <f>VLOOKUP(M13,'Component List'!AA$2:AB$30,2,FALSE)</f>
        <v>3</v>
      </c>
      <c r="AC13" s="77" t="str">
        <f>VLOOKUP(N13,'Component List'!Y$2:Z$30,2,FALSE)</f>
        <v>C</v>
      </c>
      <c r="AD13" s="159" t="e">
        <f>VLOOKUP(O13,'Component List'!W$3:X$30,2,FALSE)</f>
        <v>#N/A</v>
      </c>
      <c r="AG13" s="93"/>
    </row>
    <row r="14" spans="1:33" ht="30" customHeight="1" x14ac:dyDescent="0.3">
      <c r="A14" s="239"/>
      <c r="B14" s="101" t="s">
        <v>135</v>
      </c>
      <c r="C14" s="82" t="s">
        <v>21</v>
      </c>
      <c r="D14" s="82" t="s">
        <v>136</v>
      </c>
      <c r="E14" s="102" t="s">
        <v>182</v>
      </c>
      <c r="F14" s="82" t="s">
        <v>207</v>
      </c>
      <c r="G14" s="82" t="s">
        <v>183</v>
      </c>
      <c r="H14" s="82" t="s">
        <v>184</v>
      </c>
      <c r="I14" s="110" t="s">
        <v>198</v>
      </c>
      <c r="J14" s="82" t="s">
        <v>219</v>
      </c>
      <c r="K14" s="135" t="s">
        <v>366</v>
      </c>
      <c r="L14" s="135" t="s">
        <v>366</v>
      </c>
      <c r="M14" s="82">
        <v>1</v>
      </c>
      <c r="N14" s="82" t="s">
        <v>175</v>
      </c>
      <c r="O14" s="110" t="s">
        <v>367</v>
      </c>
      <c r="P14" s="123" t="e">
        <f t="shared" si="0"/>
        <v>#N/A</v>
      </c>
      <c r="Q14" s="119" t="str">
        <f>VLOOKUP($B14,'Component List'!$A$2:$B$30,2,FALSE)</f>
        <v>HD3</v>
      </c>
      <c r="R14" s="77" t="str">
        <f>VLOOKUP($C14,'Component List'!C$2:D$28,2,FALSE)</f>
        <v>C00</v>
      </c>
      <c r="S14" s="77" t="str">
        <f>VLOOKUP($D14,'Component List'!E$2:F$30,2,FALSE)</f>
        <v>D</v>
      </c>
      <c r="T14" s="77">
        <f>VLOOKUP($E14,'Component List'!G$2:H$30,2,FALSE)</f>
        <v>101</v>
      </c>
      <c r="U14" s="77">
        <f>VLOOKUP($F14,'Component List'!I$2:J$30,2,FALSE)</f>
        <v>103</v>
      </c>
      <c r="V14" s="77">
        <f>VLOOKUP(G14,'Component List'!K$2:L$30,2,FALSE)</f>
        <v>101</v>
      </c>
      <c r="W14" s="77">
        <f>VLOOKUP(H14,'Component List'!M$2:N$31,2,FALSE)</f>
        <v>101</v>
      </c>
      <c r="X14" s="77">
        <f>VLOOKUP(I14,'Component List'!O$2:P$30,2,FALSE)</f>
        <v>100</v>
      </c>
      <c r="Y14" s="77">
        <f>VLOOKUP(J14,'Component List'!Q$2:R$30,2,FALSE)</f>
        <v>101</v>
      </c>
      <c r="Z14" s="77" t="e">
        <f>VLOOKUP(K14,'Component List'!S$2:T$30,2,FALSE)</f>
        <v>#N/A</v>
      </c>
      <c r="AA14" s="77" t="e">
        <f>VLOOKUP(L14,'Component List'!U$2:V$30,2,FALSE)</f>
        <v>#N/A</v>
      </c>
      <c r="AB14" s="77">
        <f>VLOOKUP(M14,'Component List'!AA$2:AB$30,2,FALSE)</f>
        <v>1</v>
      </c>
      <c r="AC14" s="77" t="str">
        <f>VLOOKUP(N14,'Component List'!Y$2:Z$30,2,FALSE)</f>
        <v>P</v>
      </c>
      <c r="AD14" s="159" t="e">
        <f>VLOOKUP(O14,'Component List'!W$3:X$30,2,FALSE)</f>
        <v>#N/A</v>
      </c>
      <c r="AG14" s="93"/>
    </row>
    <row r="15" spans="1:33" ht="30" customHeight="1" x14ac:dyDescent="0.3">
      <c r="A15" s="239"/>
      <c r="B15" s="101" t="s">
        <v>135</v>
      </c>
      <c r="C15" s="82" t="s">
        <v>21</v>
      </c>
      <c r="D15" s="82" t="s">
        <v>136</v>
      </c>
      <c r="E15" s="102" t="s">
        <v>182</v>
      </c>
      <c r="F15" s="82" t="s">
        <v>207</v>
      </c>
      <c r="G15" s="82" t="s">
        <v>183</v>
      </c>
      <c r="H15" s="82" t="s">
        <v>184</v>
      </c>
      <c r="I15" s="110" t="s">
        <v>198</v>
      </c>
      <c r="J15" s="82" t="s">
        <v>219</v>
      </c>
      <c r="K15" s="135" t="s">
        <v>366</v>
      </c>
      <c r="L15" s="135" t="s">
        <v>366</v>
      </c>
      <c r="M15" s="82">
        <v>1</v>
      </c>
      <c r="N15" s="82" t="s">
        <v>187</v>
      </c>
      <c r="O15" s="110" t="s">
        <v>367</v>
      </c>
      <c r="P15" s="123" t="e">
        <f t="shared" si="0"/>
        <v>#N/A</v>
      </c>
      <c r="Q15" s="119" t="str">
        <f>VLOOKUP($B15,'Component List'!$A$2:$B$30,2,FALSE)</f>
        <v>HD3</v>
      </c>
      <c r="R15" s="77" t="str">
        <f>VLOOKUP($C15,'Component List'!C$2:D$28,2,FALSE)</f>
        <v>C00</v>
      </c>
      <c r="S15" s="77" t="str">
        <f>VLOOKUP($D15,'Component List'!E$2:F$30,2,FALSE)</f>
        <v>D</v>
      </c>
      <c r="T15" s="77">
        <f>VLOOKUP($E15,'Component List'!G$2:H$30,2,FALSE)</f>
        <v>101</v>
      </c>
      <c r="U15" s="77">
        <f>VLOOKUP($F15,'Component List'!I$2:J$30,2,FALSE)</f>
        <v>103</v>
      </c>
      <c r="V15" s="77">
        <f>VLOOKUP(G15,'Component List'!K$2:L$30,2,FALSE)</f>
        <v>101</v>
      </c>
      <c r="W15" s="77">
        <f>VLOOKUP(H15,'Component List'!M$2:N$31,2,FALSE)</f>
        <v>101</v>
      </c>
      <c r="X15" s="77">
        <f>VLOOKUP(I15,'Component List'!O$2:P$30,2,FALSE)</f>
        <v>100</v>
      </c>
      <c r="Y15" s="77">
        <f>VLOOKUP(J15,'Component List'!Q$2:R$30,2,FALSE)</f>
        <v>101</v>
      </c>
      <c r="Z15" s="77" t="e">
        <f>VLOOKUP(K15,'Component List'!S$2:T$30,2,FALSE)</f>
        <v>#N/A</v>
      </c>
      <c r="AA15" s="77" t="e">
        <f>VLOOKUP(L15,'Component List'!U$2:V$30,2,FALSE)</f>
        <v>#N/A</v>
      </c>
      <c r="AB15" s="77">
        <f>VLOOKUP(M15,'Component List'!AA$2:AB$30,2,FALSE)</f>
        <v>1</v>
      </c>
      <c r="AC15" s="77" t="str">
        <f>VLOOKUP(N15,'Component List'!Y$2:Z$30,2,FALSE)</f>
        <v>C</v>
      </c>
      <c r="AD15" s="159" t="e">
        <f>VLOOKUP(O15,'Component List'!W$3:X$30,2,FALSE)</f>
        <v>#N/A</v>
      </c>
      <c r="AG15" s="93"/>
    </row>
    <row r="16" spans="1:33" ht="30" customHeight="1" x14ac:dyDescent="0.3">
      <c r="A16" s="239"/>
      <c r="B16" s="101" t="s">
        <v>135</v>
      </c>
      <c r="C16" s="82" t="s">
        <v>21</v>
      </c>
      <c r="D16" s="82" t="s">
        <v>136</v>
      </c>
      <c r="E16" s="102" t="s">
        <v>182</v>
      </c>
      <c r="F16" s="82" t="s">
        <v>207</v>
      </c>
      <c r="G16" s="82" t="s">
        <v>183</v>
      </c>
      <c r="H16" s="82" t="s">
        <v>184</v>
      </c>
      <c r="I16" s="110" t="s">
        <v>198</v>
      </c>
      <c r="J16" s="82" t="s">
        <v>219</v>
      </c>
      <c r="K16" s="135" t="s">
        <v>366</v>
      </c>
      <c r="L16" s="135" t="s">
        <v>366</v>
      </c>
      <c r="M16" s="82">
        <v>2</v>
      </c>
      <c r="N16" s="82" t="s">
        <v>175</v>
      </c>
      <c r="O16" s="110" t="s">
        <v>367</v>
      </c>
      <c r="P16" s="123" t="e">
        <f t="shared" si="0"/>
        <v>#N/A</v>
      </c>
      <c r="Q16" s="119" t="str">
        <f>VLOOKUP($B16,'Component List'!$A$2:$B$30,2,FALSE)</f>
        <v>HD3</v>
      </c>
      <c r="R16" s="77" t="str">
        <f>VLOOKUP($C16,'Component List'!C$2:D$28,2,FALSE)</f>
        <v>C00</v>
      </c>
      <c r="S16" s="77" t="str">
        <f>VLOOKUP($D16,'Component List'!E$2:F$30,2,FALSE)</f>
        <v>D</v>
      </c>
      <c r="T16" s="77">
        <f>VLOOKUP($E16,'Component List'!G$2:H$30,2,FALSE)</f>
        <v>101</v>
      </c>
      <c r="U16" s="77">
        <f>VLOOKUP($F16,'Component List'!I$2:J$30,2,FALSE)</f>
        <v>103</v>
      </c>
      <c r="V16" s="77">
        <f>VLOOKUP(G16,'Component List'!K$2:L$30,2,FALSE)</f>
        <v>101</v>
      </c>
      <c r="W16" s="77">
        <f>VLOOKUP(H16,'Component List'!M$2:N$31,2,FALSE)</f>
        <v>101</v>
      </c>
      <c r="X16" s="77">
        <f>VLOOKUP(I16,'Component List'!O$2:P$30,2,FALSE)</f>
        <v>100</v>
      </c>
      <c r="Y16" s="77">
        <f>VLOOKUP(J16,'Component List'!Q$2:R$30,2,FALSE)</f>
        <v>101</v>
      </c>
      <c r="Z16" s="77" t="e">
        <f>VLOOKUP(K16,'Component List'!S$2:T$30,2,FALSE)</f>
        <v>#N/A</v>
      </c>
      <c r="AA16" s="77" t="e">
        <f>VLOOKUP(L16,'Component List'!U$2:V$30,2,FALSE)</f>
        <v>#N/A</v>
      </c>
      <c r="AB16" s="77">
        <f>VLOOKUP(M16,'Component List'!AA$2:AB$30,2,FALSE)</f>
        <v>2</v>
      </c>
      <c r="AC16" s="77" t="str">
        <f>VLOOKUP(N16,'Component List'!Y$2:Z$30,2,FALSE)</f>
        <v>P</v>
      </c>
      <c r="AD16" s="159" t="e">
        <f>VLOOKUP(O16,'Component List'!W$3:X$30,2,FALSE)</f>
        <v>#N/A</v>
      </c>
      <c r="AG16" s="93"/>
    </row>
    <row r="17" spans="1:33" ht="30" customHeight="1" x14ac:dyDescent="0.3">
      <c r="A17" s="239"/>
      <c r="B17" s="101" t="s">
        <v>135</v>
      </c>
      <c r="C17" s="82" t="s">
        <v>21</v>
      </c>
      <c r="D17" s="82" t="s">
        <v>136</v>
      </c>
      <c r="E17" s="102" t="s">
        <v>182</v>
      </c>
      <c r="F17" s="82" t="s">
        <v>207</v>
      </c>
      <c r="G17" s="82" t="s">
        <v>183</v>
      </c>
      <c r="H17" s="82" t="s">
        <v>184</v>
      </c>
      <c r="I17" s="110" t="s">
        <v>198</v>
      </c>
      <c r="J17" s="82" t="s">
        <v>219</v>
      </c>
      <c r="K17" s="135" t="s">
        <v>366</v>
      </c>
      <c r="L17" s="135" t="s">
        <v>366</v>
      </c>
      <c r="M17" s="82">
        <v>2</v>
      </c>
      <c r="N17" s="82" t="s">
        <v>187</v>
      </c>
      <c r="O17" s="110" t="s">
        <v>367</v>
      </c>
      <c r="P17" s="123" t="e">
        <f t="shared" si="0"/>
        <v>#N/A</v>
      </c>
      <c r="Q17" s="119" t="str">
        <f>VLOOKUP($B17,'Component List'!$A$2:$B$30,2,FALSE)</f>
        <v>HD3</v>
      </c>
      <c r="R17" s="77" t="str">
        <f>VLOOKUP($C17,'Component List'!C$2:D$28,2,FALSE)</f>
        <v>C00</v>
      </c>
      <c r="S17" s="77" t="str">
        <f>VLOOKUP($D17,'Component List'!E$2:F$30,2,FALSE)</f>
        <v>D</v>
      </c>
      <c r="T17" s="77">
        <f>VLOOKUP($E17,'Component List'!G$2:H$30,2,FALSE)</f>
        <v>101</v>
      </c>
      <c r="U17" s="77">
        <f>VLOOKUP($F17,'Component List'!I$2:J$30,2,FALSE)</f>
        <v>103</v>
      </c>
      <c r="V17" s="77">
        <f>VLOOKUP(G17,'Component List'!K$2:L$30,2,FALSE)</f>
        <v>101</v>
      </c>
      <c r="W17" s="77">
        <f>VLOOKUP(H17,'Component List'!M$2:N$31,2,FALSE)</f>
        <v>101</v>
      </c>
      <c r="X17" s="77">
        <f>VLOOKUP(I17,'Component List'!O$2:P$30,2,FALSE)</f>
        <v>100</v>
      </c>
      <c r="Y17" s="77">
        <f>VLOOKUP(J17,'Component List'!Q$2:R$30,2,FALSE)</f>
        <v>101</v>
      </c>
      <c r="Z17" s="77" t="e">
        <f>VLOOKUP(K17,'Component List'!S$2:T$30,2,FALSE)</f>
        <v>#N/A</v>
      </c>
      <c r="AA17" s="77" t="e">
        <f>VLOOKUP(L17,'Component List'!U$2:V$30,2,FALSE)</f>
        <v>#N/A</v>
      </c>
      <c r="AB17" s="77">
        <f>VLOOKUP(M17,'Component List'!AA$2:AB$30,2,FALSE)</f>
        <v>2</v>
      </c>
      <c r="AC17" s="77" t="str">
        <f>VLOOKUP(N17,'Component List'!Y$2:Z$30,2,FALSE)</f>
        <v>C</v>
      </c>
      <c r="AD17" s="159" t="e">
        <f>VLOOKUP(O17,'Component List'!W$3:X$30,2,FALSE)</f>
        <v>#N/A</v>
      </c>
      <c r="AG17" s="93"/>
    </row>
    <row r="18" spans="1:33" ht="30" customHeight="1" x14ac:dyDescent="0.3">
      <c r="A18" s="239"/>
      <c r="B18" s="101" t="s">
        <v>135</v>
      </c>
      <c r="C18" s="82" t="s">
        <v>21</v>
      </c>
      <c r="D18" s="82" t="s">
        <v>136</v>
      </c>
      <c r="E18" s="102" t="s">
        <v>182</v>
      </c>
      <c r="F18" s="82" t="s">
        <v>207</v>
      </c>
      <c r="G18" s="82" t="s">
        <v>183</v>
      </c>
      <c r="H18" s="82" t="s">
        <v>184</v>
      </c>
      <c r="I18" s="110" t="s">
        <v>198</v>
      </c>
      <c r="J18" s="82" t="s">
        <v>219</v>
      </c>
      <c r="K18" s="135" t="s">
        <v>366</v>
      </c>
      <c r="L18" s="135" t="s">
        <v>366</v>
      </c>
      <c r="M18" s="82">
        <v>3</v>
      </c>
      <c r="N18" s="82" t="s">
        <v>175</v>
      </c>
      <c r="O18" s="110" t="s">
        <v>367</v>
      </c>
      <c r="P18" s="123" t="e">
        <f t="shared" si="0"/>
        <v>#N/A</v>
      </c>
      <c r="Q18" s="119" t="str">
        <f>VLOOKUP($B18,'Component List'!$A$2:$B$30,2,FALSE)</f>
        <v>HD3</v>
      </c>
      <c r="R18" s="77" t="str">
        <f>VLOOKUP($C18,'Component List'!C$2:D$28,2,FALSE)</f>
        <v>C00</v>
      </c>
      <c r="S18" s="77" t="str">
        <f>VLOOKUP($D18,'Component List'!E$2:F$30,2,FALSE)</f>
        <v>D</v>
      </c>
      <c r="T18" s="77">
        <f>VLOOKUP($E18,'Component List'!G$2:H$30,2,FALSE)</f>
        <v>101</v>
      </c>
      <c r="U18" s="77">
        <f>VLOOKUP($F18,'Component List'!I$2:J$30,2,FALSE)</f>
        <v>103</v>
      </c>
      <c r="V18" s="77">
        <f>VLOOKUP(G18,'Component List'!K$2:L$30,2,FALSE)</f>
        <v>101</v>
      </c>
      <c r="W18" s="77">
        <f>VLOOKUP(H18,'Component List'!M$2:N$31,2,FALSE)</f>
        <v>101</v>
      </c>
      <c r="X18" s="77">
        <f>VLOOKUP(I18,'Component List'!O$2:P$30,2,FALSE)</f>
        <v>100</v>
      </c>
      <c r="Y18" s="77">
        <f>VLOOKUP(J18,'Component List'!Q$2:R$30,2,FALSE)</f>
        <v>101</v>
      </c>
      <c r="Z18" s="77" t="e">
        <f>VLOOKUP(K18,'Component List'!S$2:T$30,2,FALSE)</f>
        <v>#N/A</v>
      </c>
      <c r="AA18" s="77" t="e">
        <f>VLOOKUP(L18,'Component List'!U$2:V$30,2,FALSE)</f>
        <v>#N/A</v>
      </c>
      <c r="AB18" s="77">
        <f>VLOOKUP(M18,'Component List'!AA$2:AB$30,2,FALSE)</f>
        <v>3</v>
      </c>
      <c r="AC18" s="77" t="str">
        <f>VLOOKUP(N18,'Component List'!Y$2:Z$30,2,FALSE)</f>
        <v>P</v>
      </c>
      <c r="AD18" s="159" t="e">
        <f>VLOOKUP(O18,'Component List'!W$3:X$30,2,FALSE)</f>
        <v>#N/A</v>
      </c>
      <c r="AG18" s="93"/>
    </row>
    <row r="19" spans="1:33" ht="30" customHeight="1" x14ac:dyDescent="0.3">
      <c r="A19" s="239"/>
      <c r="B19" s="101" t="s">
        <v>135</v>
      </c>
      <c r="C19" s="82" t="s">
        <v>21</v>
      </c>
      <c r="D19" s="80" t="s">
        <v>136</v>
      </c>
      <c r="E19" s="81" t="s">
        <v>182</v>
      </c>
      <c r="F19" s="82" t="s">
        <v>207</v>
      </c>
      <c r="G19" s="80" t="s">
        <v>183</v>
      </c>
      <c r="H19" s="80" t="s">
        <v>184</v>
      </c>
      <c r="I19" s="104" t="s">
        <v>198</v>
      </c>
      <c r="J19" s="85" t="s">
        <v>219</v>
      </c>
      <c r="K19" s="135" t="s">
        <v>366</v>
      </c>
      <c r="L19" s="135" t="s">
        <v>366</v>
      </c>
      <c r="M19" s="107">
        <v>3</v>
      </c>
      <c r="N19" s="82" t="s">
        <v>187</v>
      </c>
      <c r="O19" s="117" t="s">
        <v>367</v>
      </c>
      <c r="P19" s="123" t="e">
        <f t="shared" si="0"/>
        <v>#N/A</v>
      </c>
      <c r="Q19" s="119" t="str">
        <f>VLOOKUP($B19,'Component List'!$A$2:$B$30,2,FALSE)</f>
        <v>HD3</v>
      </c>
      <c r="R19" s="77" t="str">
        <f>VLOOKUP($C19,'Component List'!C$2:D$28,2,FALSE)</f>
        <v>C00</v>
      </c>
      <c r="S19" s="77" t="str">
        <f>VLOOKUP($D19,'Component List'!E$2:F$30,2,FALSE)</f>
        <v>D</v>
      </c>
      <c r="T19" s="77">
        <f>VLOOKUP($E19,'Component List'!G$2:H$30,2,FALSE)</f>
        <v>101</v>
      </c>
      <c r="U19" s="77">
        <f>VLOOKUP($F19,'Component List'!I$2:J$30,2,FALSE)</f>
        <v>103</v>
      </c>
      <c r="V19" s="77">
        <f>VLOOKUP(G19,'Component List'!K$2:L$30,2,FALSE)</f>
        <v>101</v>
      </c>
      <c r="W19" s="77">
        <f>VLOOKUP(H19,'Component List'!M$2:N$31,2,FALSE)</f>
        <v>101</v>
      </c>
      <c r="X19" s="77">
        <f>VLOOKUP(I19,'Component List'!O$2:P$30,2,FALSE)</f>
        <v>100</v>
      </c>
      <c r="Y19" s="77">
        <f>VLOOKUP(J19,'Component List'!Q$2:R$30,2,FALSE)</f>
        <v>101</v>
      </c>
      <c r="Z19" s="77" t="e">
        <f>VLOOKUP(K19,'Component List'!S$2:T$30,2,FALSE)</f>
        <v>#N/A</v>
      </c>
      <c r="AA19" s="77" t="e">
        <f>VLOOKUP(L19,'Component List'!U$2:V$30,2,FALSE)</f>
        <v>#N/A</v>
      </c>
      <c r="AB19" s="77">
        <f>VLOOKUP(M19,'Component List'!AA$2:AB$30,2,FALSE)</f>
        <v>3</v>
      </c>
      <c r="AC19" s="77" t="str">
        <f>VLOOKUP(N19,'Component List'!Y$2:Z$30,2,FALSE)</f>
        <v>C</v>
      </c>
      <c r="AD19" s="159" t="e">
        <f>VLOOKUP(O19,'Component List'!W$3:X$30,2,FALSE)</f>
        <v>#N/A</v>
      </c>
      <c r="AG19" s="93"/>
    </row>
    <row r="20" spans="1:33" ht="30" customHeight="1" x14ac:dyDescent="0.3">
      <c r="A20" s="239"/>
      <c r="B20" s="101" t="s">
        <v>135</v>
      </c>
      <c r="C20" s="82" t="s">
        <v>21</v>
      </c>
      <c r="D20" s="80" t="s">
        <v>136</v>
      </c>
      <c r="E20" s="81" t="s">
        <v>137</v>
      </c>
      <c r="F20" s="82" t="s">
        <v>39</v>
      </c>
      <c r="G20" s="80" t="s">
        <v>183</v>
      </c>
      <c r="H20" s="80" t="s">
        <v>138</v>
      </c>
      <c r="I20" s="104" t="s">
        <v>198</v>
      </c>
      <c r="J20" s="117" t="s">
        <v>143</v>
      </c>
      <c r="K20" s="135" t="s">
        <v>366</v>
      </c>
      <c r="L20" s="135" t="s">
        <v>366</v>
      </c>
      <c r="M20" s="82">
        <v>1</v>
      </c>
      <c r="N20" s="82" t="s">
        <v>175</v>
      </c>
      <c r="O20" s="117" t="s">
        <v>367</v>
      </c>
      <c r="P20" s="123" t="e">
        <f t="shared" si="0"/>
        <v>#N/A</v>
      </c>
      <c r="Q20" s="119" t="str">
        <f>VLOOKUP($B20,'Component List'!$A$2:$B$30,2,FALSE)</f>
        <v>HD3</v>
      </c>
      <c r="R20" s="77" t="str">
        <f>VLOOKUP($C20,'Component List'!C$2:D$28,2,FALSE)</f>
        <v>C00</v>
      </c>
      <c r="S20" s="77" t="str">
        <f>VLOOKUP($D20,'Component List'!E$2:F$30,2,FALSE)</f>
        <v>D</v>
      </c>
      <c r="T20" s="77">
        <f>VLOOKUP($E20,'Component List'!G$2:H$30,2,FALSE)</f>
        <v>102</v>
      </c>
      <c r="U20" s="77">
        <f>VLOOKUP($F20,'Component List'!I$2:J$30,2,FALSE)</f>
        <v>105</v>
      </c>
      <c r="V20" s="77">
        <f>VLOOKUP(G20,'Component List'!K$2:L$30,2,FALSE)</f>
        <v>101</v>
      </c>
      <c r="W20" s="77">
        <f>VLOOKUP(H20,'Component List'!M$2:N$31,2,FALSE)</f>
        <v>100</v>
      </c>
      <c r="X20" s="77">
        <f>VLOOKUP(I20,'Component List'!O$2:P$30,2,FALSE)</f>
        <v>100</v>
      </c>
      <c r="Y20" s="77" t="str">
        <f>VLOOKUP(J20,'Component List'!Q$2:R$30,2,FALSE)</f>
        <v>000</v>
      </c>
      <c r="Z20" s="77" t="e">
        <f>VLOOKUP(K20,'Component List'!S$2:T$30,2,FALSE)</f>
        <v>#N/A</v>
      </c>
      <c r="AA20" s="77" t="e">
        <f>VLOOKUP(L20,'Component List'!U$2:V$30,2,FALSE)</f>
        <v>#N/A</v>
      </c>
      <c r="AB20" s="77">
        <f>VLOOKUP(M20,'Component List'!AA$2:AB$30,2,FALSE)</f>
        <v>1</v>
      </c>
      <c r="AC20" s="77" t="str">
        <f>VLOOKUP(N20,'Component List'!Y$2:Z$30,2,FALSE)</f>
        <v>P</v>
      </c>
      <c r="AD20" s="159" t="e">
        <f>VLOOKUP(O20,'Component List'!W$3:X$30,2,FALSE)</f>
        <v>#N/A</v>
      </c>
      <c r="AG20" s="93"/>
    </row>
    <row r="21" spans="1:33" ht="30" customHeight="1" x14ac:dyDescent="0.3">
      <c r="A21" s="239"/>
      <c r="B21" s="101" t="s">
        <v>135</v>
      </c>
      <c r="C21" s="82" t="s">
        <v>21</v>
      </c>
      <c r="D21" s="80" t="s">
        <v>136</v>
      </c>
      <c r="E21" s="81" t="s">
        <v>137</v>
      </c>
      <c r="F21" s="80" t="s">
        <v>39</v>
      </c>
      <c r="G21" s="80" t="s">
        <v>183</v>
      </c>
      <c r="H21" s="80" t="s">
        <v>138</v>
      </c>
      <c r="I21" s="104" t="s">
        <v>198</v>
      </c>
      <c r="J21" s="117" t="s">
        <v>143</v>
      </c>
      <c r="K21" s="135" t="s">
        <v>366</v>
      </c>
      <c r="L21" s="135" t="s">
        <v>366</v>
      </c>
      <c r="M21" s="82">
        <v>1</v>
      </c>
      <c r="N21" s="82" t="s">
        <v>187</v>
      </c>
      <c r="O21" s="117" t="s">
        <v>367</v>
      </c>
      <c r="P21" s="123" t="e">
        <f t="shared" si="0"/>
        <v>#N/A</v>
      </c>
      <c r="Q21" s="119" t="str">
        <f>VLOOKUP($B21,'Component List'!$A$2:$B$30,2,FALSE)</f>
        <v>HD3</v>
      </c>
      <c r="R21" s="77" t="str">
        <f>VLOOKUP($C21,'Component List'!C$2:D$28,2,FALSE)</f>
        <v>C00</v>
      </c>
      <c r="S21" s="77" t="str">
        <f>VLOOKUP($D21,'Component List'!E$2:F$30,2,FALSE)</f>
        <v>D</v>
      </c>
      <c r="T21" s="77">
        <f>VLOOKUP($E21,'Component List'!G$2:H$30,2,FALSE)</f>
        <v>102</v>
      </c>
      <c r="U21" s="77">
        <f>VLOOKUP($F21,'Component List'!I$2:J$30,2,FALSE)</f>
        <v>105</v>
      </c>
      <c r="V21" s="77">
        <f>VLOOKUP(G21,'Component List'!K$2:L$30,2,FALSE)</f>
        <v>101</v>
      </c>
      <c r="W21" s="77">
        <f>VLOOKUP(H21,'Component List'!M$2:N$31,2,FALSE)</f>
        <v>100</v>
      </c>
      <c r="X21" s="77">
        <f>VLOOKUP(I21,'Component List'!O$2:P$30,2,FALSE)</f>
        <v>100</v>
      </c>
      <c r="Y21" s="77" t="str">
        <f>VLOOKUP(J21,'Component List'!Q$2:R$30,2,FALSE)</f>
        <v>000</v>
      </c>
      <c r="Z21" s="77" t="e">
        <f>VLOOKUP(K21,'Component List'!S$2:T$30,2,FALSE)</f>
        <v>#N/A</v>
      </c>
      <c r="AA21" s="77" t="e">
        <f>VLOOKUP(L21,'Component List'!U$2:V$30,2,FALSE)</f>
        <v>#N/A</v>
      </c>
      <c r="AB21" s="77">
        <f>VLOOKUP(M21,'Component List'!AA$2:AB$30,2,FALSE)</f>
        <v>1</v>
      </c>
      <c r="AC21" s="77" t="str">
        <f>VLOOKUP(N21,'Component List'!Y$2:Z$30,2,FALSE)</f>
        <v>C</v>
      </c>
      <c r="AD21" s="159" t="e">
        <f>VLOOKUP(O21,'Component List'!W$3:X$30,2,FALSE)</f>
        <v>#N/A</v>
      </c>
      <c r="AG21" s="93"/>
    </row>
    <row r="22" spans="1:33" ht="30" customHeight="1" x14ac:dyDescent="0.3">
      <c r="A22" s="239"/>
      <c r="B22" s="101" t="s">
        <v>135</v>
      </c>
      <c r="C22" s="82" t="s">
        <v>21</v>
      </c>
      <c r="D22" s="80" t="s">
        <v>136</v>
      </c>
      <c r="E22" s="81" t="s">
        <v>137</v>
      </c>
      <c r="F22" s="80" t="s">
        <v>39</v>
      </c>
      <c r="G22" s="80" t="s">
        <v>183</v>
      </c>
      <c r="H22" s="80" t="s">
        <v>138</v>
      </c>
      <c r="I22" s="104" t="s">
        <v>198</v>
      </c>
      <c r="J22" s="117" t="s">
        <v>143</v>
      </c>
      <c r="K22" s="135" t="s">
        <v>366</v>
      </c>
      <c r="L22" s="135" t="s">
        <v>366</v>
      </c>
      <c r="M22" s="82">
        <v>2</v>
      </c>
      <c r="N22" s="82" t="s">
        <v>175</v>
      </c>
      <c r="O22" s="117" t="s">
        <v>367</v>
      </c>
      <c r="P22" s="123" t="e">
        <f t="shared" si="0"/>
        <v>#N/A</v>
      </c>
      <c r="Q22" s="119" t="str">
        <f>VLOOKUP($B22,'Component List'!$A$2:$B$30,2,FALSE)</f>
        <v>HD3</v>
      </c>
      <c r="R22" s="77" t="str">
        <f>VLOOKUP($C22,'Component List'!C$2:D$28,2,FALSE)</f>
        <v>C00</v>
      </c>
      <c r="S22" s="77" t="str">
        <f>VLOOKUP($D22,'Component List'!E$2:F$30,2,FALSE)</f>
        <v>D</v>
      </c>
      <c r="T22" s="77">
        <f>VLOOKUP($E22,'Component List'!G$2:H$30,2,FALSE)</f>
        <v>102</v>
      </c>
      <c r="U22" s="77">
        <f>VLOOKUP($F22,'Component List'!I$2:J$30,2,FALSE)</f>
        <v>105</v>
      </c>
      <c r="V22" s="77">
        <f>VLOOKUP(G22,'Component List'!K$2:L$30,2,FALSE)</f>
        <v>101</v>
      </c>
      <c r="W22" s="77">
        <f>VLOOKUP(H22,'Component List'!M$2:N$31,2,FALSE)</f>
        <v>100</v>
      </c>
      <c r="X22" s="77">
        <f>VLOOKUP(I22,'Component List'!O$2:P$30,2,FALSE)</f>
        <v>100</v>
      </c>
      <c r="Y22" s="77" t="str">
        <f>VLOOKUP(J22,'Component List'!Q$2:R$30,2,FALSE)</f>
        <v>000</v>
      </c>
      <c r="Z22" s="77" t="e">
        <f>VLOOKUP(K22,'Component List'!S$2:T$30,2,FALSE)</f>
        <v>#N/A</v>
      </c>
      <c r="AA22" s="77" t="e">
        <f>VLOOKUP(L22,'Component List'!U$2:V$30,2,FALSE)</f>
        <v>#N/A</v>
      </c>
      <c r="AB22" s="77">
        <f>VLOOKUP(M22,'Component List'!AA$2:AB$30,2,FALSE)</f>
        <v>2</v>
      </c>
      <c r="AC22" s="77" t="str">
        <f>VLOOKUP(N22,'Component List'!Y$2:Z$30,2,FALSE)</f>
        <v>P</v>
      </c>
      <c r="AD22" s="159" t="e">
        <f>VLOOKUP(O22,'Component List'!W$3:X$30,2,FALSE)</f>
        <v>#N/A</v>
      </c>
      <c r="AG22" s="93"/>
    </row>
    <row r="23" spans="1:33" ht="30" customHeight="1" x14ac:dyDescent="0.3">
      <c r="A23" s="239"/>
      <c r="B23" s="101" t="s">
        <v>135</v>
      </c>
      <c r="C23" s="82" t="s">
        <v>21</v>
      </c>
      <c r="D23" s="80" t="s">
        <v>136</v>
      </c>
      <c r="E23" s="81" t="s">
        <v>137</v>
      </c>
      <c r="F23" s="80" t="s">
        <v>39</v>
      </c>
      <c r="G23" s="80" t="s">
        <v>183</v>
      </c>
      <c r="H23" s="80" t="s">
        <v>138</v>
      </c>
      <c r="I23" s="104" t="s">
        <v>198</v>
      </c>
      <c r="J23" s="117" t="s">
        <v>143</v>
      </c>
      <c r="K23" s="135" t="s">
        <v>366</v>
      </c>
      <c r="L23" s="135" t="s">
        <v>366</v>
      </c>
      <c r="M23" s="82">
        <v>2</v>
      </c>
      <c r="N23" s="82" t="s">
        <v>187</v>
      </c>
      <c r="O23" s="117" t="s">
        <v>367</v>
      </c>
      <c r="P23" s="123" t="e">
        <f t="shared" si="0"/>
        <v>#N/A</v>
      </c>
      <c r="Q23" s="119" t="str">
        <f>VLOOKUP($B23,'Component List'!$A$2:$B$30,2,FALSE)</f>
        <v>HD3</v>
      </c>
      <c r="R23" s="77" t="str">
        <f>VLOOKUP($C23,'Component List'!C$2:D$28,2,FALSE)</f>
        <v>C00</v>
      </c>
      <c r="S23" s="77" t="str">
        <f>VLOOKUP($D23,'Component List'!E$2:F$30,2,FALSE)</f>
        <v>D</v>
      </c>
      <c r="T23" s="77">
        <f>VLOOKUP($E23,'Component List'!G$2:H$30,2,FALSE)</f>
        <v>102</v>
      </c>
      <c r="U23" s="77">
        <f>VLOOKUP($F23,'Component List'!I$2:J$30,2,FALSE)</f>
        <v>105</v>
      </c>
      <c r="V23" s="77">
        <f>VLOOKUP(G23,'Component List'!K$2:L$30,2,FALSE)</f>
        <v>101</v>
      </c>
      <c r="W23" s="77">
        <f>VLOOKUP(H23,'Component List'!M$2:N$31,2,FALSE)</f>
        <v>100</v>
      </c>
      <c r="X23" s="77">
        <f>VLOOKUP(I23,'Component List'!O$2:P$30,2,FALSE)</f>
        <v>100</v>
      </c>
      <c r="Y23" s="77" t="str">
        <f>VLOOKUP(J23,'Component List'!Q$2:R$30,2,FALSE)</f>
        <v>000</v>
      </c>
      <c r="Z23" s="77" t="e">
        <f>VLOOKUP(K23,'Component List'!S$2:T$30,2,FALSE)</f>
        <v>#N/A</v>
      </c>
      <c r="AA23" s="77" t="e">
        <f>VLOOKUP(L23,'Component List'!U$2:V$30,2,FALSE)</f>
        <v>#N/A</v>
      </c>
      <c r="AB23" s="77">
        <f>VLOOKUP(M23,'Component List'!AA$2:AB$30,2,FALSE)</f>
        <v>2</v>
      </c>
      <c r="AC23" s="77" t="str">
        <f>VLOOKUP(N23,'Component List'!Y$2:Z$30,2,FALSE)</f>
        <v>C</v>
      </c>
      <c r="AD23" s="159" t="e">
        <f>VLOOKUP(O23,'Component List'!W$3:X$30,2,FALSE)</f>
        <v>#N/A</v>
      </c>
      <c r="AG23" s="93"/>
    </row>
    <row r="24" spans="1:33" ht="30" customHeight="1" x14ac:dyDescent="0.3">
      <c r="A24" s="239"/>
      <c r="B24" s="101" t="s">
        <v>135</v>
      </c>
      <c r="C24" s="82" t="s">
        <v>21</v>
      </c>
      <c r="D24" s="80" t="s">
        <v>136</v>
      </c>
      <c r="E24" s="81" t="s">
        <v>137</v>
      </c>
      <c r="F24" s="80" t="s">
        <v>39</v>
      </c>
      <c r="G24" s="80" t="s">
        <v>183</v>
      </c>
      <c r="H24" s="80" t="s">
        <v>138</v>
      </c>
      <c r="I24" s="104" t="s">
        <v>198</v>
      </c>
      <c r="J24" s="117" t="s">
        <v>143</v>
      </c>
      <c r="K24" s="135" t="s">
        <v>366</v>
      </c>
      <c r="L24" s="135" t="s">
        <v>366</v>
      </c>
      <c r="M24" s="101">
        <v>3</v>
      </c>
      <c r="N24" s="82" t="s">
        <v>175</v>
      </c>
      <c r="O24" s="117" t="s">
        <v>367</v>
      </c>
      <c r="P24" s="123" t="e">
        <f t="shared" si="0"/>
        <v>#N/A</v>
      </c>
      <c r="Q24" s="119" t="str">
        <f>VLOOKUP($B24,'Component List'!$A$2:$B$30,2,FALSE)</f>
        <v>HD3</v>
      </c>
      <c r="R24" s="77" t="str">
        <f>VLOOKUP($C24,'Component List'!C$2:D$28,2,FALSE)</f>
        <v>C00</v>
      </c>
      <c r="S24" s="77" t="str">
        <f>VLOOKUP($D24,'Component List'!E$2:F$30,2,FALSE)</f>
        <v>D</v>
      </c>
      <c r="T24" s="77">
        <f>VLOOKUP($E24,'Component List'!G$2:H$30,2,FALSE)</f>
        <v>102</v>
      </c>
      <c r="U24" s="77">
        <f>VLOOKUP($F24,'Component List'!I$2:J$30,2,FALSE)</f>
        <v>105</v>
      </c>
      <c r="V24" s="77">
        <f>VLOOKUP(G24,'Component List'!K$2:L$30,2,FALSE)</f>
        <v>101</v>
      </c>
      <c r="W24" s="77">
        <f>VLOOKUP(H24,'Component List'!M$2:N$31,2,FALSE)</f>
        <v>100</v>
      </c>
      <c r="X24" s="77">
        <f>VLOOKUP(I24,'Component List'!O$2:P$30,2,FALSE)</f>
        <v>100</v>
      </c>
      <c r="Y24" s="77" t="str">
        <f>VLOOKUP(J24,'Component List'!Q$2:R$30,2,FALSE)</f>
        <v>000</v>
      </c>
      <c r="Z24" s="77" t="e">
        <f>VLOOKUP(K24,'Component List'!S$2:T$30,2,FALSE)</f>
        <v>#N/A</v>
      </c>
      <c r="AA24" s="77" t="e">
        <f>VLOOKUP(L24,'Component List'!U$2:V$30,2,FALSE)</f>
        <v>#N/A</v>
      </c>
      <c r="AB24" s="77">
        <f>VLOOKUP(M24,'Component List'!AA$2:AB$30,2,FALSE)</f>
        <v>3</v>
      </c>
      <c r="AC24" s="77" t="str">
        <f>VLOOKUP(N24,'Component List'!Y$2:Z$30,2,FALSE)</f>
        <v>P</v>
      </c>
      <c r="AD24" s="159" t="e">
        <f>VLOOKUP(O24,'Component List'!W$3:X$30,2,FALSE)</f>
        <v>#N/A</v>
      </c>
      <c r="AG24" s="93"/>
    </row>
    <row r="25" spans="1:33" ht="30" customHeight="1" x14ac:dyDescent="0.3">
      <c r="A25" s="239"/>
      <c r="B25" s="101" t="s">
        <v>135</v>
      </c>
      <c r="C25" s="82" t="s">
        <v>21</v>
      </c>
      <c r="D25" s="80" t="s">
        <v>136</v>
      </c>
      <c r="E25" s="81" t="s">
        <v>137</v>
      </c>
      <c r="F25" s="80" t="s">
        <v>39</v>
      </c>
      <c r="G25" s="80" t="s">
        <v>183</v>
      </c>
      <c r="H25" s="80" t="s">
        <v>138</v>
      </c>
      <c r="I25" s="104" t="s">
        <v>198</v>
      </c>
      <c r="J25" s="117" t="s">
        <v>143</v>
      </c>
      <c r="K25" s="135" t="s">
        <v>366</v>
      </c>
      <c r="L25" s="135" t="s">
        <v>366</v>
      </c>
      <c r="M25" s="101">
        <v>3</v>
      </c>
      <c r="N25" s="82" t="s">
        <v>187</v>
      </c>
      <c r="O25" s="117" t="s">
        <v>367</v>
      </c>
      <c r="P25" s="123" t="e">
        <f t="shared" si="0"/>
        <v>#N/A</v>
      </c>
      <c r="Q25" s="119" t="str">
        <f>VLOOKUP($B25,'Component List'!$A$2:$B$30,2,FALSE)</f>
        <v>HD3</v>
      </c>
      <c r="R25" s="77" t="str">
        <f>VLOOKUP($C25,'Component List'!C$2:D$28,2,FALSE)</f>
        <v>C00</v>
      </c>
      <c r="S25" s="77" t="str">
        <f>VLOOKUP($D25,'Component List'!E$2:F$30,2,FALSE)</f>
        <v>D</v>
      </c>
      <c r="T25" s="77">
        <f>VLOOKUP($E25,'Component List'!G$2:H$30,2,FALSE)</f>
        <v>102</v>
      </c>
      <c r="U25" s="77">
        <f>VLOOKUP($F25,'Component List'!I$2:J$30,2,FALSE)</f>
        <v>105</v>
      </c>
      <c r="V25" s="77">
        <f>VLOOKUP(G25,'Component List'!K$2:L$30,2,FALSE)</f>
        <v>101</v>
      </c>
      <c r="W25" s="77">
        <f>VLOOKUP(H25,'Component List'!M$2:N$31,2,FALSE)</f>
        <v>100</v>
      </c>
      <c r="X25" s="77">
        <f>VLOOKUP(I25,'Component List'!O$2:P$30,2,FALSE)</f>
        <v>100</v>
      </c>
      <c r="Y25" s="77" t="str">
        <f>VLOOKUP(J25,'Component List'!Q$2:R$30,2,FALSE)</f>
        <v>000</v>
      </c>
      <c r="Z25" s="77" t="e">
        <f>VLOOKUP(K25,'Component List'!S$2:T$30,2,FALSE)</f>
        <v>#N/A</v>
      </c>
      <c r="AA25" s="77" t="e">
        <f>VLOOKUP(L25,'Component List'!U$2:V$30,2,FALSE)</f>
        <v>#N/A</v>
      </c>
      <c r="AB25" s="77">
        <f>VLOOKUP(M25,'Component List'!AA$2:AB$30,2,FALSE)</f>
        <v>3</v>
      </c>
      <c r="AC25" s="77" t="str">
        <f>VLOOKUP(N25,'Component List'!Y$2:Z$30,2,FALSE)</f>
        <v>C</v>
      </c>
      <c r="AD25" s="159" t="e">
        <f>VLOOKUP(O25,'Component List'!W$3:X$30,2,FALSE)</f>
        <v>#N/A</v>
      </c>
      <c r="AG25" s="93"/>
    </row>
    <row r="26" spans="1:33" ht="30" customHeight="1" x14ac:dyDescent="0.3">
      <c r="A26" s="239"/>
      <c r="B26" s="101" t="s">
        <v>135</v>
      </c>
      <c r="C26" s="82" t="s">
        <v>21</v>
      </c>
      <c r="D26" s="80" t="s">
        <v>136</v>
      </c>
      <c r="E26" s="81" t="s">
        <v>137</v>
      </c>
      <c r="F26" s="80" t="s">
        <v>45</v>
      </c>
      <c r="G26" s="80" t="s">
        <v>183</v>
      </c>
      <c r="H26" s="80" t="s">
        <v>208</v>
      </c>
      <c r="I26" s="104" t="s">
        <v>198</v>
      </c>
      <c r="J26" s="117" t="s">
        <v>143</v>
      </c>
      <c r="K26" s="135" t="s">
        <v>366</v>
      </c>
      <c r="L26" s="135" t="s">
        <v>366</v>
      </c>
      <c r="M26" s="82">
        <v>1</v>
      </c>
      <c r="N26" s="82" t="s">
        <v>187</v>
      </c>
      <c r="O26" s="117" t="s">
        <v>367</v>
      </c>
      <c r="P26" s="123" t="e">
        <f t="shared" si="0"/>
        <v>#N/A</v>
      </c>
      <c r="Q26" s="119" t="str">
        <f>VLOOKUP($B26,'Component List'!$A$2:$B$30,2,FALSE)</f>
        <v>HD3</v>
      </c>
      <c r="R26" s="77" t="str">
        <f>VLOOKUP($C26,'Component List'!C$2:D$28,2,FALSE)</f>
        <v>C00</v>
      </c>
      <c r="S26" s="77" t="str">
        <f>VLOOKUP($D26,'Component List'!E$2:F$30,2,FALSE)</f>
        <v>D</v>
      </c>
      <c r="T26" s="77">
        <f>VLOOKUP($E26,'Component List'!G$2:H$30,2,FALSE)</f>
        <v>102</v>
      </c>
      <c r="U26" s="77">
        <f>VLOOKUP($F26,'Component List'!I$2:J$30,2,FALSE)</f>
        <v>106</v>
      </c>
      <c r="V26" s="77">
        <f>VLOOKUP(G26,'Component List'!K$2:L$30,2,FALSE)</f>
        <v>101</v>
      </c>
      <c r="W26" s="77">
        <f>VLOOKUP(H26,'Component List'!M$2:N$31,2,FALSE)</f>
        <v>103</v>
      </c>
      <c r="X26" s="77">
        <f>VLOOKUP(I26,'Component List'!O$2:P$30,2,FALSE)</f>
        <v>100</v>
      </c>
      <c r="Y26" s="77" t="str">
        <f>VLOOKUP(J26,'Component List'!Q$2:R$30,2,FALSE)</f>
        <v>000</v>
      </c>
      <c r="Z26" s="77" t="e">
        <f>VLOOKUP(K26,'Component List'!S$2:T$30,2,FALSE)</f>
        <v>#N/A</v>
      </c>
      <c r="AA26" s="77" t="e">
        <f>VLOOKUP(L26,'Component List'!U$2:V$30,2,FALSE)</f>
        <v>#N/A</v>
      </c>
      <c r="AB26" s="77">
        <f>VLOOKUP(M26,'Component List'!AA$2:AB$30,2,FALSE)</f>
        <v>1</v>
      </c>
      <c r="AC26" s="77" t="str">
        <f>VLOOKUP(N26,'Component List'!Y$2:Z$30,2,FALSE)</f>
        <v>C</v>
      </c>
      <c r="AD26" s="159" t="e">
        <f>VLOOKUP(O26,'Component List'!W$3:X$30,2,FALSE)</f>
        <v>#N/A</v>
      </c>
      <c r="AG26" s="93"/>
    </row>
    <row r="27" spans="1:33" ht="30" customHeight="1" x14ac:dyDescent="0.3">
      <c r="A27" s="239"/>
      <c r="B27" s="101" t="s">
        <v>135</v>
      </c>
      <c r="C27" s="82" t="s">
        <v>21</v>
      </c>
      <c r="D27" s="80" t="s">
        <v>136</v>
      </c>
      <c r="E27" s="81" t="s">
        <v>137</v>
      </c>
      <c r="F27" s="80" t="s">
        <v>45</v>
      </c>
      <c r="G27" s="80" t="s">
        <v>183</v>
      </c>
      <c r="H27" s="80" t="s">
        <v>208</v>
      </c>
      <c r="I27" s="104" t="s">
        <v>198</v>
      </c>
      <c r="J27" s="117" t="s">
        <v>143</v>
      </c>
      <c r="K27" s="135" t="s">
        <v>366</v>
      </c>
      <c r="L27" s="135" t="s">
        <v>366</v>
      </c>
      <c r="M27" s="82">
        <v>2</v>
      </c>
      <c r="N27" s="82" t="s">
        <v>175</v>
      </c>
      <c r="O27" s="117" t="s">
        <v>367</v>
      </c>
      <c r="P27" s="123" t="e">
        <f t="shared" si="0"/>
        <v>#N/A</v>
      </c>
      <c r="Q27" s="119" t="str">
        <f>VLOOKUP($B27,'Component List'!$A$2:$B$30,2,FALSE)</f>
        <v>HD3</v>
      </c>
      <c r="R27" s="77" t="str">
        <f>VLOOKUP($C27,'Component List'!C$2:D$28,2,FALSE)</f>
        <v>C00</v>
      </c>
      <c r="S27" s="77" t="str">
        <f>VLOOKUP($D27,'Component List'!E$2:F$30,2,FALSE)</f>
        <v>D</v>
      </c>
      <c r="T27" s="77">
        <f>VLOOKUP($E27,'Component List'!G$2:H$30,2,FALSE)</f>
        <v>102</v>
      </c>
      <c r="U27" s="77">
        <f>VLOOKUP($F27,'Component List'!I$2:J$30,2,FALSE)</f>
        <v>106</v>
      </c>
      <c r="V27" s="77">
        <f>VLOOKUP(G27,'Component List'!K$2:L$30,2,FALSE)</f>
        <v>101</v>
      </c>
      <c r="W27" s="77">
        <f>VLOOKUP(H27,'Component List'!M$2:N$31,2,FALSE)</f>
        <v>103</v>
      </c>
      <c r="X27" s="77">
        <f>VLOOKUP(I27,'Component List'!O$2:P$30,2,FALSE)</f>
        <v>100</v>
      </c>
      <c r="Y27" s="77" t="str">
        <f>VLOOKUP(J27,'Component List'!Q$2:R$30,2,FALSE)</f>
        <v>000</v>
      </c>
      <c r="Z27" s="77" t="e">
        <f>VLOOKUP(K27,'Component List'!S$2:T$30,2,FALSE)</f>
        <v>#N/A</v>
      </c>
      <c r="AA27" s="77" t="e">
        <f>VLOOKUP(L27,'Component List'!U$2:V$30,2,FALSE)</f>
        <v>#N/A</v>
      </c>
      <c r="AB27" s="77">
        <f>VLOOKUP(M27,'Component List'!AA$2:AB$30,2,FALSE)</f>
        <v>2</v>
      </c>
      <c r="AC27" s="77" t="str">
        <f>VLOOKUP(N27,'Component List'!Y$2:Z$30,2,FALSE)</f>
        <v>P</v>
      </c>
      <c r="AD27" s="159" t="e">
        <f>VLOOKUP(O27,'Component List'!W$3:X$30,2,FALSE)</f>
        <v>#N/A</v>
      </c>
      <c r="AG27" s="93"/>
    </row>
    <row r="28" spans="1:33" ht="30" customHeight="1" x14ac:dyDescent="0.3">
      <c r="A28" s="239"/>
      <c r="B28" s="101" t="s">
        <v>135</v>
      </c>
      <c r="C28" s="82" t="s">
        <v>21</v>
      </c>
      <c r="D28" s="80" t="s">
        <v>136</v>
      </c>
      <c r="E28" s="81" t="s">
        <v>137</v>
      </c>
      <c r="F28" s="80" t="s">
        <v>45</v>
      </c>
      <c r="G28" s="80" t="s">
        <v>183</v>
      </c>
      <c r="H28" s="80" t="s">
        <v>208</v>
      </c>
      <c r="I28" s="104" t="s">
        <v>198</v>
      </c>
      <c r="J28" s="117" t="s">
        <v>143</v>
      </c>
      <c r="K28" s="135" t="s">
        <v>366</v>
      </c>
      <c r="L28" s="135" t="s">
        <v>366</v>
      </c>
      <c r="M28" s="82">
        <v>2</v>
      </c>
      <c r="N28" s="82" t="s">
        <v>187</v>
      </c>
      <c r="O28" s="117" t="s">
        <v>367</v>
      </c>
      <c r="P28" s="123" t="e">
        <f t="shared" si="0"/>
        <v>#N/A</v>
      </c>
      <c r="Q28" s="119" t="str">
        <f>VLOOKUP($B28,'Component List'!$A$2:$B$30,2,FALSE)</f>
        <v>HD3</v>
      </c>
      <c r="R28" s="77" t="str">
        <f>VLOOKUP($C28,'Component List'!C$2:D$28,2,FALSE)</f>
        <v>C00</v>
      </c>
      <c r="S28" s="77" t="str">
        <f>VLOOKUP($D28,'Component List'!E$2:F$30,2,FALSE)</f>
        <v>D</v>
      </c>
      <c r="T28" s="77">
        <f>VLOOKUP($E28,'Component List'!G$2:H$30,2,FALSE)</f>
        <v>102</v>
      </c>
      <c r="U28" s="77">
        <f>VLOOKUP($F28,'Component List'!I$2:J$30,2,FALSE)</f>
        <v>106</v>
      </c>
      <c r="V28" s="77">
        <f>VLOOKUP(G28,'Component List'!K$2:L$30,2,FALSE)</f>
        <v>101</v>
      </c>
      <c r="W28" s="77">
        <f>VLOOKUP(H28,'Component List'!M$2:N$31,2,FALSE)</f>
        <v>103</v>
      </c>
      <c r="X28" s="77">
        <f>VLOOKUP(I28,'Component List'!O$2:P$30,2,FALSE)</f>
        <v>100</v>
      </c>
      <c r="Y28" s="77" t="str">
        <f>VLOOKUP(J28,'Component List'!Q$2:R$30,2,FALSE)</f>
        <v>000</v>
      </c>
      <c r="Z28" s="77" t="e">
        <f>VLOOKUP(K28,'Component List'!S$2:T$30,2,FALSE)</f>
        <v>#N/A</v>
      </c>
      <c r="AA28" s="77" t="e">
        <f>VLOOKUP(L28,'Component List'!U$2:V$30,2,FALSE)</f>
        <v>#N/A</v>
      </c>
      <c r="AB28" s="77">
        <f>VLOOKUP(M28,'Component List'!AA$2:AB$30,2,FALSE)</f>
        <v>2</v>
      </c>
      <c r="AC28" s="77" t="str">
        <f>VLOOKUP(N28,'Component List'!Y$2:Z$30,2,FALSE)</f>
        <v>C</v>
      </c>
      <c r="AD28" s="159" t="e">
        <f>VLOOKUP(O28,'Component List'!W$3:X$30,2,FALSE)</f>
        <v>#N/A</v>
      </c>
      <c r="AG28" s="93"/>
    </row>
    <row r="29" spans="1:33" ht="30" customHeight="1" x14ac:dyDescent="0.3">
      <c r="A29" s="239"/>
      <c r="B29" s="101" t="s">
        <v>135</v>
      </c>
      <c r="C29" s="82" t="s">
        <v>21</v>
      </c>
      <c r="D29" s="80" t="s">
        <v>136</v>
      </c>
      <c r="E29" s="81" t="s">
        <v>137</v>
      </c>
      <c r="F29" s="80" t="s">
        <v>45</v>
      </c>
      <c r="G29" s="80" t="s">
        <v>183</v>
      </c>
      <c r="H29" s="80" t="s">
        <v>208</v>
      </c>
      <c r="I29" s="104" t="s">
        <v>198</v>
      </c>
      <c r="J29" s="117" t="s">
        <v>143</v>
      </c>
      <c r="K29" s="135" t="s">
        <v>366</v>
      </c>
      <c r="L29" s="135" t="s">
        <v>366</v>
      </c>
      <c r="M29" s="101">
        <v>3</v>
      </c>
      <c r="N29" s="82" t="s">
        <v>175</v>
      </c>
      <c r="O29" s="117" t="s">
        <v>367</v>
      </c>
      <c r="P29" s="123" t="e">
        <f t="shared" si="0"/>
        <v>#N/A</v>
      </c>
      <c r="Q29" s="119" t="str">
        <f>VLOOKUP($B29,'Component List'!$A$2:$B$30,2,FALSE)</f>
        <v>HD3</v>
      </c>
      <c r="R29" s="77" t="str">
        <f>VLOOKUP($C29,'Component List'!C$2:D$28,2,FALSE)</f>
        <v>C00</v>
      </c>
      <c r="S29" s="77" t="str">
        <f>VLOOKUP($D29,'Component List'!E$2:F$30,2,FALSE)</f>
        <v>D</v>
      </c>
      <c r="T29" s="77">
        <f>VLOOKUP($E29,'Component List'!G$2:H$30,2,FALSE)</f>
        <v>102</v>
      </c>
      <c r="U29" s="77">
        <f>VLOOKUP($F29,'Component List'!I$2:J$30,2,FALSE)</f>
        <v>106</v>
      </c>
      <c r="V29" s="77">
        <f>VLOOKUP(G29,'Component List'!K$2:L$30,2,FALSE)</f>
        <v>101</v>
      </c>
      <c r="W29" s="77">
        <f>VLOOKUP(H29,'Component List'!M$2:N$31,2,FALSE)</f>
        <v>103</v>
      </c>
      <c r="X29" s="77">
        <f>VLOOKUP(I29,'Component List'!O$2:P$30,2,FALSE)</f>
        <v>100</v>
      </c>
      <c r="Y29" s="77" t="str">
        <f>VLOOKUP(J29,'Component List'!Q$2:R$30,2,FALSE)</f>
        <v>000</v>
      </c>
      <c r="Z29" s="77" t="e">
        <f>VLOOKUP(K29,'Component List'!S$2:T$30,2,FALSE)</f>
        <v>#N/A</v>
      </c>
      <c r="AA29" s="77" t="e">
        <f>VLOOKUP(L29,'Component List'!U$2:V$30,2,FALSE)</f>
        <v>#N/A</v>
      </c>
      <c r="AB29" s="77">
        <f>VLOOKUP(M29,'Component List'!AA$2:AB$30,2,FALSE)</f>
        <v>3</v>
      </c>
      <c r="AC29" s="77" t="str">
        <f>VLOOKUP(N29,'Component List'!Y$2:Z$30,2,FALSE)</f>
        <v>P</v>
      </c>
      <c r="AD29" s="159" t="e">
        <f>VLOOKUP(O29,'Component List'!W$3:X$30,2,FALSE)</f>
        <v>#N/A</v>
      </c>
      <c r="AG29" s="93"/>
    </row>
    <row r="30" spans="1:33" ht="30" customHeight="1" x14ac:dyDescent="0.3">
      <c r="A30" s="239"/>
      <c r="B30" s="101" t="s">
        <v>135</v>
      </c>
      <c r="C30" s="82" t="s">
        <v>21</v>
      </c>
      <c r="D30" s="80" t="s">
        <v>136</v>
      </c>
      <c r="E30" s="81" t="s">
        <v>137</v>
      </c>
      <c r="F30" s="80" t="s">
        <v>45</v>
      </c>
      <c r="G30" s="80" t="s">
        <v>183</v>
      </c>
      <c r="H30" s="80" t="s">
        <v>208</v>
      </c>
      <c r="I30" s="104" t="s">
        <v>198</v>
      </c>
      <c r="J30" s="117" t="s">
        <v>143</v>
      </c>
      <c r="K30" s="135" t="s">
        <v>366</v>
      </c>
      <c r="L30" s="135" t="s">
        <v>366</v>
      </c>
      <c r="M30" s="101">
        <v>3</v>
      </c>
      <c r="N30" s="82" t="s">
        <v>187</v>
      </c>
      <c r="O30" s="117" t="s">
        <v>367</v>
      </c>
      <c r="P30" s="123" t="e">
        <f t="shared" si="0"/>
        <v>#N/A</v>
      </c>
      <c r="Q30" s="119" t="str">
        <f>VLOOKUP($B30,'Component List'!$A$2:$B$30,2,FALSE)</f>
        <v>HD3</v>
      </c>
      <c r="R30" s="77" t="str">
        <f>VLOOKUP($C30,'Component List'!C$2:D$28,2,FALSE)</f>
        <v>C00</v>
      </c>
      <c r="S30" s="77" t="str">
        <f>VLOOKUP($D30,'Component List'!E$2:F$30,2,FALSE)</f>
        <v>D</v>
      </c>
      <c r="T30" s="77">
        <f>VLOOKUP($E30,'Component List'!G$2:H$30,2,FALSE)</f>
        <v>102</v>
      </c>
      <c r="U30" s="77">
        <f>VLOOKUP($F30,'Component List'!I$2:J$30,2,FALSE)</f>
        <v>106</v>
      </c>
      <c r="V30" s="77">
        <f>VLOOKUP(G30,'Component List'!K$2:L$30,2,FALSE)</f>
        <v>101</v>
      </c>
      <c r="W30" s="77">
        <f>VLOOKUP(H30,'Component List'!M$2:N$31,2,FALSE)</f>
        <v>103</v>
      </c>
      <c r="X30" s="77">
        <f>VLOOKUP(I30,'Component List'!O$2:P$30,2,FALSE)</f>
        <v>100</v>
      </c>
      <c r="Y30" s="77" t="str">
        <f>VLOOKUP(J30,'Component List'!Q$2:R$30,2,FALSE)</f>
        <v>000</v>
      </c>
      <c r="Z30" s="77" t="e">
        <f>VLOOKUP(K30,'Component List'!S$2:T$30,2,FALSE)</f>
        <v>#N/A</v>
      </c>
      <c r="AA30" s="77" t="e">
        <f>VLOOKUP(L30,'Component List'!U$2:V$30,2,FALSE)</f>
        <v>#N/A</v>
      </c>
      <c r="AB30" s="77">
        <f>VLOOKUP(M30,'Component List'!AA$2:AB$30,2,FALSE)</f>
        <v>3</v>
      </c>
      <c r="AC30" s="77" t="str">
        <f>VLOOKUP(N30,'Component List'!Y$2:Z$30,2,FALSE)</f>
        <v>C</v>
      </c>
      <c r="AD30" s="159" t="e">
        <f>VLOOKUP(O30,'Component List'!W$3:X$30,2,FALSE)</f>
        <v>#N/A</v>
      </c>
      <c r="AG30" s="93"/>
    </row>
    <row r="31" spans="1:33" ht="30" customHeight="1" x14ac:dyDescent="0.3">
      <c r="A31" s="239"/>
      <c r="B31" s="101" t="s">
        <v>135</v>
      </c>
      <c r="C31" s="82" t="s">
        <v>21</v>
      </c>
      <c r="D31" s="80" t="s">
        <v>136</v>
      </c>
      <c r="E31" s="81" t="s">
        <v>182</v>
      </c>
      <c r="F31" s="80" t="s">
        <v>47</v>
      </c>
      <c r="G31" s="80" t="s">
        <v>183</v>
      </c>
      <c r="H31" s="80" t="s">
        <v>138</v>
      </c>
      <c r="I31" s="104" t="s">
        <v>198</v>
      </c>
      <c r="J31" s="117" t="s">
        <v>143</v>
      </c>
      <c r="K31" s="135" t="s">
        <v>366</v>
      </c>
      <c r="L31" s="135" t="s">
        <v>366</v>
      </c>
      <c r="M31" s="82">
        <v>1</v>
      </c>
      <c r="N31" s="82" t="s">
        <v>175</v>
      </c>
      <c r="O31" s="117" t="s">
        <v>367</v>
      </c>
      <c r="P31" s="123" t="e">
        <f t="shared" si="0"/>
        <v>#N/A</v>
      </c>
      <c r="Q31" s="119" t="str">
        <f>VLOOKUP($B31,'Component List'!$A$2:$B$30,2,FALSE)</f>
        <v>HD3</v>
      </c>
      <c r="R31" s="77" t="str">
        <f>VLOOKUP($C31,'Component List'!C$2:D$28,2,FALSE)</f>
        <v>C00</v>
      </c>
      <c r="S31" s="77" t="str">
        <f>VLOOKUP($D31,'Component List'!E$2:F$30,2,FALSE)</f>
        <v>D</v>
      </c>
      <c r="T31" s="77">
        <f>VLOOKUP($E31,'Component List'!G$2:H$30,2,FALSE)</f>
        <v>101</v>
      </c>
      <c r="U31" s="77">
        <f>VLOOKUP($F31,'Component List'!I$2:J$30,2,FALSE)</f>
        <v>104</v>
      </c>
      <c r="V31" s="77">
        <f>VLOOKUP(G31,'Component List'!K$2:L$30,2,FALSE)</f>
        <v>101</v>
      </c>
      <c r="W31" s="77">
        <f>VLOOKUP(H31,'Component List'!M$2:N$31,2,FALSE)</f>
        <v>100</v>
      </c>
      <c r="X31" s="77">
        <f>VLOOKUP(I31,'Component List'!O$2:P$30,2,FALSE)</f>
        <v>100</v>
      </c>
      <c r="Y31" s="77" t="str">
        <f>VLOOKUP(J31,'Component List'!Q$2:R$30,2,FALSE)</f>
        <v>000</v>
      </c>
      <c r="Z31" s="77" t="e">
        <f>VLOOKUP(K31,'Component List'!S$2:T$30,2,FALSE)</f>
        <v>#N/A</v>
      </c>
      <c r="AA31" s="77" t="e">
        <f>VLOOKUP(L31,'Component List'!U$2:V$30,2,FALSE)</f>
        <v>#N/A</v>
      </c>
      <c r="AB31" s="77">
        <f>VLOOKUP(M31,'Component List'!AA$2:AB$30,2,FALSE)</f>
        <v>1</v>
      </c>
      <c r="AC31" s="77" t="str">
        <f>VLOOKUP(N31,'Component List'!Y$2:Z$30,2,FALSE)</f>
        <v>P</v>
      </c>
      <c r="AD31" s="159" t="e">
        <f>VLOOKUP(O31,'Component List'!W$3:X$30,2,FALSE)</f>
        <v>#N/A</v>
      </c>
      <c r="AG31" s="93"/>
    </row>
    <row r="32" spans="1:33" ht="30" customHeight="1" x14ac:dyDescent="0.3">
      <c r="A32" s="239"/>
      <c r="B32" s="101" t="s">
        <v>135</v>
      </c>
      <c r="C32" s="82" t="s">
        <v>21</v>
      </c>
      <c r="D32" s="80" t="s">
        <v>136</v>
      </c>
      <c r="E32" s="81" t="s">
        <v>182</v>
      </c>
      <c r="F32" s="80" t="s">
        <v>47</v>
      </c>
      <c r="G32" s="80" t="s">
        <v>183</v>
      </c>
      <c r="H32" s="80" t="s">
        <v>138</v>
      </c>
      <c r="I32" s="104" t="s">
        <v>198</v>
      </c>
      <c r="J32" s="117" t="s">
        <v>143</v>
      </c>
      <c r="K32" s="135" t="s">
        <v>366</v>
      </c>
      <c r="L32" s="135" t="s">
        <v>366</v>
      </c>
      <c r="M32" s="82">
        <v>1</v>
      </c>
      <c r="N32" s="82" t="s">
        <v>187</v>
      </c>
      <c r="O32" s="117" t="s">
        <v>367</v>
      </c>
      <c r="P32" s="123" t="e">
        <f t="shared" si="0"/>
        <v>#N/A</v>
      </c>
      <c r="Q32" s="119" t="str">
        <f>VLOOKUP($B32,'Component List'!$A$2:$B$30,2,FALSE)</f>
        <v>HD3</v>
      </c>
      <c r="R32" s="77" t="str">
        <f>VLOOKUP($C32,'Component List'!C$2:D$28,2,FALSE)</f>
        <v>C00</v>
      </c>
      <c r="S32" s="77" t="str">
        <f>VLOOKUP($D32,'Component List'!E$2:F$30,2,FALSE)</f>
        <v>D</v>
      </c>
      <c r="T32" s="77">
        <f>VLOOKUP($E32,'Component List'!G$2:H$30,2,FALSE)</f>
        <v>101</v>
      </c>
      <c r="U32" s="77">
        <f>VLOOKUP($F32,'Component List'!I$2:J$30,2,FALSE)</f>
        <v>104</v>
      </c>
      <c r="V32" s="77">
        <f>VLOOKUP(G32,'Component List'!K$2:L$30,2,FALSE)</f>
        <v>101</v>
      </c>
      <c r="W32" s="77">
        <f>VLOOKUP(H32,'Component List'!M$2:N$31,2,FALSE)</f>
        <v>100</v>
      </c>
      <c r="X32" s="77">
        <f>VLOOKUP(I32,'Component List'!O$2:P$30,2,FALSE)</f>
        <v>100</v>
      </c>
      <c r="Y32" s="77" t="str">
        <f>VLOOKUP(J32,'Component List'!Q$2:R$30,2,FALSE)</f>
        <v>000</v>
      </c>
      <c r="Z32" s="77" t="e">
        <f>VLOOKUP(K32,'Component List'!S$2:T$30,2,FALSE)</f>
        <v>#N/A</v>
      </c>
      <c r="AA32" s="77" t="e">
        <f>VLOOKUP(L32,'Component List'!U$2:V$30,2,FALSE)</f>
        <v>#N/A</v>
      </c>
      <c r="AB32" s="77">
        <f>VLOOKUP(M32,'Component List'!AA$2:AB$30,2,FALSE)</f>
        <v>1</v>
      </c>
      <c r="AC32" s="77" t="str">
        <f>VLOOKUP(N32,'Component List'!Y$2:Z$30,2,FALSE)</f>
        <v>C</v>
      </c>
      <c r="AD32" s="159" t="e">
        <f>VLOOKUP(O32,'Component List'!W$3:X$30,2,FALSE)</f>
        <v>#N/A</v>
      </c>
      <c r="AG32" s="93"/>
    </row>
    <row r="33" spans="1:33" ht="30" customHeight="1" x14ac:dyDescent="0.3">
      <c r="A33" s="239"/>
      <c r="B33" s="101" t="s">
        <v>135</v>
      </c>
      <c r="C33" s="82" t="s">
        <v>21</v>
      </c>
      <c r="D33" s="80" t="s">
        <v>136</v>
      </c>
      <c r="E33" s="81" t="s">
        <v>182</v>
      </c>
      <c r="F33" s="80" t="s">
        <v>47</v>
      </c>
      <c r="G33" s="80" t="s">
        <v>183</v>
      </c>
      <c r="H33" s="80" t="s">
        <v>138</v>
      </c>
      <c r="I33" s="104" t="s">
        <v>198</v>
      </c>
      <c r="J33" s="117" t="s">
        <v>143</v>
      </c>
      <c r="K33" s="135" t="s">
        <v>366</v>
      </c>
      <c r="L33" s="135" t="s">
        <v>366</v>
      </c>
      <c r="M33" s="82">
        <v>2</v>
      </c>
      <c r="N33" s="82" t="s">
        <v>175</v>
      </c>
      <c r="O33" s="117" t="s">
        <v>367</v>
      </c>
      <c r="P33" s="123" t="e">
        <f t="shared" si="0"/>
        <v>#N/A</v>
      </c>
      <c r="Q33" s="119" t="str">
        <f>VLOOKUP($B33,'Component List'!$A$2:$B$30,2,FALSE)</f>
        <v>HD3</v>
      </c>
      <c r="R33" s="77" t="str">
        <f>VLOOKUP($C33,'Component List'!C$2:D$28,2,FALSE)</f>
        <v>C00</v>
      </c>
      <c r="S33" s="77" t="str">
        <f>VLOOKUP($D33,'Component List'!E$2:F$30,2,FALSE)</f>
        <v>D</v>
      </c>
      <c r="T33" s="77">
        <f>VLOOKUP($E33,'Component List'!G$2:H$30,2,FALSE)</f>
        <v>101</v>
      </c>
      <c r="U33" s="77">
        <f>VLOOKUP($F33,'Component List'!I$2:J$30,2,FALSE)</f>
        <v>104</v>
      </c>
      <c r="V33" s="77">
        <f>VLOOKUP(G33,'Component List'!K$2:L$30,2,FALSE)</f>
        <v>101</v>
      </c>
      <c r="W33" s="77">
        <f>VLOOKUP(H33,'Component List'!M$2:N$31,2,FALSE)</f>
        <v>100</v>
      </c>
      <c r="X33" s="77">
        <f>VLOOKUP(I33,'Component List'!O$2:P$30,2,FALSE)</f>
        <v>100</v>
      </c>
      <c r="Y33" s="77" t="str">
        <f>VLOOKUP(J33,'Component List'!Q$2:R$30,2,FALSE)</f>
        <v>000</v>
      </c>
      <c r="Z33" s="77" t="e">
        <f>VLOOKUP(K33,'Component List'!S$2:T$30,2,FALSE)</f>
        <v>#N/A</v>
      </c>
      <c r="AA33" s="77" t="e">
        <f>VLOOKUP(L33,'Component List'!U$2:V$30,2,FALSE)</f>
        <v>#N/A</v>
      </c>
      <c r="AB33" s="77">
        <f>VLOOKUP(M33,'Component List'!AA$2:AB$30,2,FALSE)</f>
        <v>2</v>
      </c>
      <c r="AC33" s="77" t="str">
        <f>VLOOKUP(N33,'Component List'!Y$2:Z$30,2,FALSE)</f>
        <v>P</v>
      </c>
      <c r="AD33" s="159" t="e">
        <f>VLOOKUP(O33,'Component List'!W$3:X$30,2,FALSE)</f>
        <v>#N/A</v>
      </c>
      <c r="AG33" s="93"/>
    </row>
    <row r="34" spans="1:33" ht="30" customHeight="1" x14ac:dyDescent="0.3">
      <c r="A34" s="239"/>
      <c r="B34" s="101" t="s">
        <v>135</v>
      </c>
      <c r="C34" s="82" t="s">
        <v>21</v>
      </c>
      <c r="D34" s="80" t="s">
        <v>136</v>
      </c>
      <c r="E34" s="81" t="s">
        <v>182</v>
      </c>
      <c r="F34" s="80" t="s">
        <v>47</v>
      </c>
      <c r="G34" s="80" t="s">
        <v>183</v>
      </c>
      <c r="H34" s="80" t="s">
        <v>138</v>
      </c>
      <c r="I34" s="104" t="s">
        <v>198</v>
      </c>
      <c r="J34" s="117" t="s">
        <v>143</v>
      </c>
      <c r="K34" s="135" t="s">
        <v>366</v>
      </c>
      <c r="L34" s="135" t="s">
        <v>366</v>
      </c>
      <c r="M34" s="82">
        <v>2</v>
      </c>
      <c r="N34" s="82" t="s">
        <v>187</v>
      </c>
      <c r="O34" s="117" t="s">
        <v>367</v>
      </c>
      <c r="P34" s="123" t="e">
        <f t="shared" si="0"/>
        <v>#N/A</v>
      </c>
      <c r="Q34" s="119" t="str">
        <f>VLOOKUP($B34,'Component List'!$A$2:$B$30,2,FALSE)</f>
        <v>HD3</v>
      </c>
      <c r="R34" s="77" t="str">
        <f>VLOOKUP($C34,'Component List'!C$2:D$28,2,FALSE)</f>
        <v>C00</v>
      </c>
      <c r="S34" s="77" t="str">
        <f>VLOOKUP($D34,'Component List'!E$2:F$30,2,FALSE)</f>
        <v>D</v>
      </c>
      <c r="T34" s="77">
        <f>VLOOKUP($E34,'Component List'!G$2:H$30,2,FALSE)</f>
        <v>101</v>
      </c>
      <c r="U34" s="77">
        <f>VLOOKUP($F34,'Component List'!I$2:J$30,2,FALSE)</f>
        <v>104</v>
      </c>
      <c r="V34" s="77">
        <f>VLOOKUP(G34,'Component List'!K$2:L$30,2,FALSE)</f>
        <v>101</v>
      </c>
      <c r="W34" s="77">
        <f>VLOOKUP(H34,'Component List'!M$2:N$31,2,FALSE)</f>
        <v>100</v>
      </c>
      <c r="X34" s="77">
        <f>VLOOKUP(I34,'Component List'!O$2:P$30,2,FALSE)</f>
        <v>100</v>
      </c>
      <c r="Y34" s="77" t="str">
        <f>VLOOKUP(J34,'Component List'!Q$2:R$30,2,FALSE)</f>
        <v>000</v>
      </c>
      <c r="Z34" s="77" t="e">
        <f>VLOOKUP(K34,'Component List'!S$2:T$30,2,FALSE)</f>
        <v>#N/A</v>
      </c>
      <c r="AA34" s="77" t="e">
        <f>VLOOKUP(L34,'Component List'!U$2:V$30,2,FALSE)</f>
        <v>#N/A</v>
      </c>
      <c r="AB34" s="77">
        <f>VLOOKUP(M34,'Component List'!AA$2:AB$30,2,FALSE)</f>
        <v>2</v>
      </c>
      <c r="AC34" s="77" t="str">
        <f>VLOOKUP(N34,'Component List'!Y$2:Z$30,2,FALSE)</f>
        <v>C</v>
      </c>
      <c r="AD34" s="159" t="e">
        <f>VLOOKUP(O34,'Component List'!W$3:X$30,2,FALSE)</f>
        <v>#N/A</v>
      </c>
      <c r="AG34" s="93"/>
    </row>
    <row r="35" spans="1:33" ht="30" customHeight="1" x14ac:dyDescent="0.3">
      <c r="A35" s="239"/>
      <c r="B35" s="101" t="s">
        <v>135</v>
      </c>
      <c r="C35" s="82" t="s">
        <v>21</v>
      </c>
      <c r="D35" s="80" t="s">
        <v>136</v>
      </c>
      <c r="E35" s="81" t="s">
        <v>182</v>
      </c>
      <c r="F35" s="80" t="s">
        <v>47</v>
      </c>
      <c r="G35" s="80" t="s">
        <v>183</v>
      </c>
      <c r="H35" s="80" t="s">
        <v>138</v>
      </c>
      <c r="I35" s="104" t="s">
        <v>198</v>
      </c>
      <c r="J35" s="117" t="s">
        <v>143</v>
      </c>
      <c r="K35" s="135" t="s">
        <v>366</v>
      </c>
      <c r="L35" s="135" t="s">
        <v>366</v>
      </c>
      <c r="M35" s="82">
        <v>3</v>
      </c>
      <c r="N35" s="82" t="s">
        <v>175</v>
      </c>
      <c r="O35" s="117" t="s">
        <v>367</v>
      </c>
      <c r="P35" s="123" t="e">
        <f t="shared" si="0"/>
        <v>#N/A</v>
      </c>
      <c r="Q35" s="119" t="str">
        <f>VLOOKUP($B35,'Component List'!$A$2:$B$30,2,FALSE)</f>
        <v>HD3</v>
      </c>
      <c r="R35" s="77" t="str">
        <f>VLOOKUP($C35,'Component List'!C$2:D$28,2,FALSE)</f>
        <v>C00</v>
      </c>
      <c r="S35" s="77" t="str">
        <f>VLOOKUP($D35,'Component List'!E$2:F$30,2,FALSE)</f>
        <v>D</v>
      </c>
      <c r="T35" s="77">
        <f>VLOOKUP($E35,'Component List'!G$2:H$30,2,FALSE)</f>
        <v>101</v>
      </c>
      <c r="U35" s="77">
        <f>VLOOKUP($F35,'Component List'!I$2:J$30,2,FALSE)</f>
        <v>104</v>
      </c>
      <c r="V35" s="77">
        <f>VLOOKUP(G35,'Component List'!K$2:L$30,2,FALSE)</f>
        <v>101</v>
      </c>
      <c r="W35" s="77">
        <f>VLOOKUP(H35,'Component List'!M$2:N$31,2,FALSE)</f>
        <v>100</v>
      </c>
      <c r="X35" s="77">
        <f>VLOOKUP(I35,'Component List'!O$2:P$30,2,FALSE)</f>
        <v>100</v>
      </c>
      <c r="Y35" s="77" t="str">
        <f>VLOOKUP(J35,'Component List'!Q$2:R$30,2,FALSE)</f>
        <v>000</v>
      </c>
      <c r="Z35" s="77" t="e">
        <f>VLOOKUP(K35,'Component List'!S$2:T$30,2,FALSE)</f>
        <v>#N/A</v>
      </c>
      <c r="AA35" s="77" t="e">
        <f>VLOOKUP(L35,'Component List'!U$2:V$30,2,FALSE)</f>
        <v>#N/A</v>
      </c>
      <c r="AB35" s="77">
        <f>VLOOKUP(M35,'Component List'!AA$2:AB$30,2,FALSE)</f>
        <v>3</v>
      </c>
      <c r="AC35" s="77" t="str">
        <f>VLOOKUP(N35,'Component List'!Y$2:Z$30,2,FALSE)</f>
        <v>P</v>
      </c>
      <c r="AD35" s="159" t="e">
        <f>VLOOKUP(O35,'Component List'!W$3:X$30,2,FALSE)</f>
        <v>#N/A</v>
      </c>
      <c r="AG35" s="93"/>
    </row>
    <row r="36" spans="1:33" ht="32.700000000000003" customHeight="1" x14ac:dyDescent="0.3">
      <c r="A36" s="239"/>
      <c r="B36" s="101" t="s">
        <v>135</v>
      </c>
      <c r="C36" s="82" t="s">
        <v>21</v>
      </c>
      <c r="D36" s="80" t="s">
        <v>136</v>
      </c>
      <c r="E36" s="81" t="s">
        <v>182</v>
      </c>
      <c r="F36" s="80" t="s">
        <v>47</v>
      </c>
      <c r="G36" s="80" t="s">
        <v>183</v>
      </c>
      <c r="H36" s="80" t="s">
        <v>138</v>
      </c>
      <c r="I36" s="104" t="s">
        <v>198</v>
      </c>
      <c r="J36" s="117" t="s">
        <v>143</v>
      </c>
      <c r="K36" s="135" t="s">
        <v>366</v>
      </c>
      <c r="L36" s="135" t="s">
        <v>366</v>
      </c>
      <c r="M36" s="82">
        <v>3</v>
      </c>
      <c r="N36" s="82" t="s">
        <v>187</v>
      </c>
      <c r="O36" s="117" t="s">
        <v>367</v>
      </c>
      <c r="P36" s="123" t="e">
        <f t="shared" si="0"/>
        <v>#N/A</v>
      </c>
      <c r="Q36" s="119" t="str">
        <f>VLOOKUP($B36,'Component List'!$A$2:$B$30,2,FALSE)</f>
        <v>HD3</v>
      </c>
      <c r="R36" s="77" t="str">
        <f>VLOOKUP($C36,'Component List'!C$2:D$28,2,FALSE)</f>
        <v>C00</v>
      </c>
      <c r="S36" s="77" t="str">
        <f>VLOOKUP($D36,'Component List'!E$2:F$30,2,FALSE)</f>
        <v>D</v>
      </c>
      <c r="T36" s="77">
        <f>VLOOKUP($E36,'Component List'!G$2:H$30,2,FALSE)</f>
        <v>101</v>
      </c>
      <c r="U36" s="77">
        <f>VLOOKUP($F36,'Component List'!I$2:J$30,2,FALSE)</f>
        <v>104</v>
      </c>
      <c r="V36" s="77">
        <f>VLOOKUP(G36,'Component List'!K$2:L$30,2,FALSE)</f>
        <v>101</v>
      </c>
      <c r="W36" s="77">
        <f>VLOOKUP(H36,'Component List'!M$2:N$31,2,FALSE)</f>
        <v>100</v>
      </c>
      <c r="X36" s="77">
        <f>VLOOKUP(I36,'Component List'!O$2:P$30,2,FALSE)</f>
        <v>100</v>
      </c>
      <c r="Y36" s="77" t="str">
        <f>VLOOKUP(J36,'Component List'!Q$2:R$30,2,FALSE)</f>
        <v>000</v>
      </c>
      <c r="Z36" s="77" t="e">
        <f>VLOOKUP(K36,'Component List'!S$2:T$30,2,FALSE)</f>
        <v>#N/A</v>
      </c>
      <c r="AA36" s="77" t="e">
        <f>VLOOKUP(L36,'Component List'!U$2:V$30,2,FALSE)</f>
        <v>#N/A</v>
      </c>
      <c r="AB36" s="77">
        <f>VLOOKUP(M36,'Component List'!AA$2:AB$30,2,FALSE)</f>
        <v>3</v>
      </c>
      <c r="AC36" s="77" t="str">
        <f>VLOOKUP(N36,'Component List'!Y$2:Z$30,2,FALSE)</f>
        <v>C</v>
      </c>
      <c r="AD36" s="159" t="e">
        <f>VLOOKUP(O36,'Component List'!W$3:X$30,2,FALSE)</f>
        <v>#N/A</v>
      </c>
      <c r="AG36" s="93"/>
    </row>
    <row r="37" spans="1:33" ht="30" customHeight="1" x14ac:dyDescent="0.3">
      <c r="A37" s="239"/>
      <c r="B37" s="169" t="s">
        <v>135</v>
      </c>
      <c r="C37" s="80" t="s">
        <v>178</v>
      </c>
      <c r="D37" s="80" t="s">
        <v>136</v>
      </c>
      <c r="E37" s="81" t="s">
        <v>182</v>
      </c>
      <c r="F37" s="80" t="s">
        <v>207</v>
      </c>
      <c r="G37" s="80" t="s">
        <v>183</v>
      </c>
      <c r="H37" s="80" t="s">
        <v>184</v>
      </c>
      <c r="I37" s="104" t="s">
        <v>198</v>
      </c>
      <c r="J37" s="85" t="s">
        <v>219</v>
      </c>
      <c r="K37" s="135" t="s">
        <v>366</v>
      </c>
      <c r="L37" s="135" t="s">
        <v>366</v>
      </c>
      <c r="M37" s="101">
        <v>1</v>
      </c>
      <c r="N37" s="82" t="s">
        <v>175</v>
      </c>
      <c r="O37" s="117" t="s">
        <v>367</v>
      </c>
      <c r="P37" s="123" t="e">
        <f t="shared" si="0"/>
        <v>#N/A</v>
      </c>
      <c r="Q37" s="119" t="str">
        <f>VLOOKUP($B37,'Component List'!$A$2:$B$30,2,FALSE)</f>
        <v>HD3</v>
      </c>
      <c r="R37" s="77" t="e">
        <f>VLOOKUP($C37,'Component List'!C$2:D$28,2,FALSE)</f>
        <v>#N/A</v>
      </c>
      <c r="S37" s="77" t="str">
        <f>VLOOKUP($D37,'Component List'!E$2:F$30,2,FALSE)</f>
        <v>D</v>
      </c>
      <c r="T37" s="77">
        <f>VLOOKUP($E37,'Component List'!G$2:H$30,2,FALSE)</f>
        <v>101</v>
      </c>
      <c r="U37" s="77">
        <f>VLOOKUP($F37,'Component List'!I$2:J$30,2,FALSE)</f>
        <v>103</v>
      </c>
      <c r="V37" s="77">
        <f>VLOOKUP(G37,'Component List'!K$2:L$30,2,FALSE)</f>
        <v>101</v>
      </c>
      <c r="W37" s="77">
        <f>VLOOKUP(H37,'Component List'!M$2:N$31,2,FALSE)</f>
        <v>101</v>
      </c>
      <c r="X37" s="77">
        <f>VLOOKUP(I37,'Component List'!O$2:P$30,2,FALSE)</f>
        <v>100</v>
      </c>
      <c r="Y37" s="77">
        <f>VLOOKUP(J37,'Component List'!Q$2:R$30,2,FALSE)</f>
        <v>101</v>
      </c>
      <c r="Z37" s="77" t="e">
        <f>VLOOKUP(K37,'Component List'!S$2:T$30,2,FALSE)</f>
        <v>#N/A</v>
      </c>
      <c r="AA37" s="77" t="e">
        <f>VLOOKUP(L37,'Component List'!U$2:V$30,2,FALSE)</f>
        <v>#N/A</v>
      </c>
      <c r="AB37" s="77">
        <f>VLOOKUP(M37,'Component List'!AA$2:AB$30,2,FALSE)</f>
        <v>1</v>
      </c>
      <c r="AC37" s="77" t="str">
        <f>VLOOKUP(N37,'Component List'!Y$2:Z$30,2,FALSE)</f>
        <v>P</v>
      </c>
      <c r="AD37" s="159" t="e">
        <f>VLOOKUP(O37,'Component List'!W$3:X$30,2,FALSE)</f>
        <v>#N/A</v>
      </c>
      <c r="AG37" s="93"/>
    </row>
    <row r="38" spans="1:33" ht="30" customHeight="1" x14ac:dyDescent="0.3">
      <c r="A38" s="239"/>
      <c r="B38" s="101" t="s">
        <v>135</v>
      </c>
      <c r="C38" s="80" t="s">
        <v>178</v>
      </c>
      <c r="D38" s="80" t="s">
        <v>136</v>
      </c>
      <c r="E38" s="81" t="s">
        <v>182</v>
      </c>
      <c r="F38" s="80" t="s">
        <v>207</v>
      </c>
      <c r="G38" s="80" t="s">
        <v>183</v>
      </c>
      <c r="H38" s="80" t="s">
        <v>184</v>
      </c>
      <c r="I38" s="104" t="s">
        <v>198</v>
      </c>
      <c r="J38" s="85" t="s">
        <v>219</v>
      </c>
      <c r="K38" s="135" t="s">
        <v>366</v>
      </c>
      <c r="L38" s="135" t="s">
        <v>366</v>
      </c>
      <c r="M38" s="101">
        <v>1</v>
      </c>
      <c r="N38" s="82" t="s">
        <v>187</v>
      </c>
      <c r="O38" s="117" t="s">
        <v>367</v>
      </c>
      <c r="P38" s="123" t="e">
        <f t="shared" si="0"/>
        <v>#N/A</v>
      </c>
      <c r="Q38" s="119" t="str">
        <f>VLOOKUP($B38,'Component List'!$A$2:$B$30,2,FALSE)</f>
        <v>HD3</v>
      </c>
      <c r="R38" s="77" t="e">
        <f>VLOOKUP($C38,'Component List'!C$2:D$28,2,FALSE)</f>
        <v>#N/A</v>
      </c>
      <c r="S38" s="77" t="str">
        <f>VLOOKUP($D38,'Component List'!E$2:F$30,2,FALSE)</f>
        <v>D</v>
      </c>
      <c r="T38" s="77">
        <f>VLOOKUP($E38,'Component List'!G$2:H$30,2,FALSE)</f>
        <v>101</v>
      </c>
      <c r="U38" s="77">
        <f>VLOOKUP($F38,'Component List'!I$2:J$30,2,FALSE)</f>
        <v>103</v>
      </c>
      <c r="V38" s="77">
        <f>VLOOKUP(G38,'Component List'!K$2:L$30,2,FALSE)</f>
        <v>101</v>
      </c>
      <c r="W38" s="77">
        <f>VLOOKUP(H38,'Component List'!M$2:N$31,2,FALSE)</f>
        <v>101</v>
      </c>
      <c r="X38" s="77">
        <f>VLOOKUP(I38,'Component List'!O$2:P$30,2,FALSE)</f>
        <v>100</v>
      </c>
      <c r="Y38" s="77">
        <f>VLOOKUP(J38,'Component List'!Q$2:R$30,2,FALSE)</f>
        <v>101</v>
      </c>
      <c r="Z38" s="77" t="e">
        <f>VLOOKUP(K38,'Component List'!S$2:T$30,2,FALSE)</f>
        <v>#N/A</v>
      </c>
      <c r="AA38" s="77" t="e">
        <f>VLOOKUP(L38,'Component List'!U$2:V$30,2,FALSE)</f>
        <v>#N/A</v>
      </c>
      <c r="AB38" s="77">
        <f>VLOOKUP(M38,'Component List'!AA$2:AB$30,2,FALSE)</f>
        <v>1</v>
      </c>
      <c r="AC38" s="77" t="str">
        <f>VLOOKUP(N38,'Component List'!Y$2:Z$30,2,FALSE)</f>
        <v>C</v>
      </c>
      <c r="AD38" s="159" t="e">
        <f>VLOOKUP(O38,'Component List'!W$3:X$30,2,FALSE)</f>
        <v>#N/A</v>
      </c>
      <c r="AG38" s="93"/>
    </row>
    <row r="39" spans="1:33" ht="30" customHeight="1" x14ac:dyDescent="0.3">
      <c r="A39" s="239"/>
      <c r="B39" s="101" t="s">
        <v>135</v>
      </c>
      <c r="C39" s="80" t="s">
        <v>178</v>
      </c>
      <c r="D39" s="80" t="s">
        <v>136</v>
      </c>
      <c r="E39" s="81" t="s">
        <v>182</v>
      </c>
      <c r="F39" s="80" t="s">
        <v>207</v>
      </c>
      <c r="G39" s="80" t="s">
        <v>183</v>
      </c>
      <c r="H39" s="80" t="s">
        <v>184</v>
      </c>
      <c r="I39" s="104" t="s">
        <v>198</v>
      </c>
      <c r="J39" s="85" t="s">
        <v>219</v>
      </c>
      <c r="K39" s="135" t="s">
        <v>366</v>
      </c>
      <c r="L39" s="135" t="s">
        <v>366</v>
      </c>
      <c r="M39" s="101">
        <v>2</v>
      </c>
      <c r="N39" s="82" t="s">
        <v>175</v>
      </c>
      <c r="O39" s="117" t="s">
        <v>367</v>
      </c>
      <c r="P39" s="123" t="e">
        <f t="shared" si="0"/>
        <v>#N/A</v>
      </c>
      <c r="Q39" s="119" t="str">
        <f>VLOOKUP($B39,'Component List'!$A$2:$B$30,2,FALSE)</f>
        <v>HD3</v>
      </c>
      <c r="R39" s="77" t="e">
        <f>VLOOKUP($C39,'Component List'!C$2:D$28,2,FALSE)</f>
        <v>#N/A</v>
      </c>
      <c r="S39" s="77" t="str">
        <f>VLOOKUP($D39,'Component List'!E$2:F$30,2,FALSE)</f>
        <v>D</v>
      </c>
      <c r="T39" s="77">
        <f>VLOOKUP($E39,'Component List'!G$2:H$30,2,FALSE)</f>
        <v>101</v>
      </c>
      <c r="U39" s="77">
        <f>VLOOKUP($F39,'Component List'!I$2:J$30,2,FALSE)</f>
        <v>103</v>
      </c>
      <c r="V39" s="77">
        <f>VLOOKUP(G39,'Component List'!K$2:L$30,2,FALSE)</f>
        <v>101</v>
      </c>
      <c r="W39" s="77">
        <f>VLOOKUP(H39,'Component List'!M$2:N$31,2,FALSE)</f>
        <v>101</v>
      </c>
      <c r="X39" s="77">
        <f>VLOOKUP(I39,'Component List'!O$2:P$30,2,FALSE)</f>
        <v>100</v>
      </c>
      <c r="Y39" s="77">
        <f>VLOOKUP(J39,'Component List'!Q$2:R$30,2,FALSE)</f>
        <v>101</v>
      </c>
      <c r="Z39" s="77" t="e">
        <f>VLOOKUP(K39,'Component List'!S$2:T$30,2,FALSE)</f>
        <v>#N/A</v>
      </c>
      <c r="AA39" s="77" t="e">
        <f>VLOOKUP(L39,'Component List'!U$2:V$30,2,FALSE)</f>
        <v>#N/A</v>
      </c>
      <c r="AB39" s="77">
        <f>VLOOKUP(M39,'Component List'!AA$2:AB$30,2,FALSE)</f>
        <v>2</v>
      </c>
      <c r="AC39" s="77" t="str">
        <f>VLOOKUP(N39,'Component List'!Y$2:Z$30,2,FALSE)</f>
        <v>P</v>
      </c>
      <c r="AD39" s="159" t="e">
        <f>VLOOKUP(O39,'Component List'!W$3:X$30,2,FALSE)</f>
        <v>#N/A</v>
      </c>
      <c r="AG39" s="93"/>
    </row>
    <row r="40" spans="1:33" ht="30" customHeight="1" x14ac:dyDescent="0.3">
      <c r="A40" s="239"/>
      <c r="B40" s="101" t="s">
        <v>135</v>
      </c>
      <c r="C40" s="80" t="s">
        <v>178</v>
      </c>
      <c r="D40" s="80" t="s">
        <v>136</v>
      </c>
      <c r="E40" s="81" t="s">
        <v>182</v>
      </c>
      <c r="F40" s="80" t="s">
        <v>207</v>
      </c>
      <c r="G40" s="80" t="s">
        <v>183</v>
      </c>
      <c r="H40" s="80" t="s">
        <v>184</v>
      </c>
      <c r="I40" s="104" t="s">
        <v>198</v>
      </c>
      <c r="J40" s="85" t="s">
        <v>219</v>
      </c>
      <c r="K40" s="135" t="s">
        <v>366</v>
      </c>
      <c r="L40" s="135" t="s">
        <v>366</v>
      </c>
      <c r="M40" s="101">
        <v>2</v>
      </c>
      <c r="N40" s="82" t="s">
        <v>187</v>
      </c>
      <c r="O40" s="117" t="s">
        <v>367</v>
      </c>
      <c r="P40" s="123" t="e">
        <f t="shared" si="0"/>
        <v>#N/A</v>
      </c>
      <c r="Q40" s="119" t="str">
        <f>VLOOKUP($B40,'Component List'!$A$2:$B$30,2,FALSE)</f>
        <v>HD3</v>
      </c>
      <c r="R40" s="77" t="e">
        <f>VLOOKUP($C40,'Component List'!C$2:D$28,2,FALSE)</f>
        <v>#N/A</v>
      </c>
      <c r="S40" s="77" t="str">
        <f>VLOOKUP($D40,'Component List'!E$2:F$30,2,FALSE)</f>
        <v>D</v>
      </c>
      <c r="T40" s="77">
        <f>VLOOKUP($E40,'Component List'!G$2:H$30,2,FALSE)</f>
        <v>101</v>
      </c>
      <c r="U40" s="77">
        <f>VLOOKUP($F40,'Component List'!I$2:J$30,2,FALSE)</f>
        <v>103</v>
      </c>
      <c r="V40" s="77">
        <f>VLOOKUP(G40,'Component List'!K$2:L$30,2,FALSE)</f>
        <v>101</v>
      </c>
      <c r="W40" s="77">
        <f>VLOOKUP(H40,'Component List'!M$2:N$31,2,FALSE)</f>
        <v>101</v>
      </c>
      <c r="X40" s="77">
        <f>VLOOKUP(I40,'Component List'!O$2:P$30,2,FALSE)</f>
        <v>100</v>
      </c>
      <c r="Y40" s="77">
        <f>VLOOKUP(J40,'Component List'!Q$2:R$30,2,FALSE)</f>
        <v>101</v>
      </c>
      <c r="Z40" s="77" t="e">
        <f>VLOOKUP(K40,'Component List'!S$2:T$30,2,FALSE)</f>
        <v>#N/A</v>
      </c>
      <c r="AA40" s="77" t="e">
        <f>VLOOKUP(L40,'Component List'!U$2:V$30,2,FALSE)</f>
        <v>#N/A</v>
      </c>
      <c r="AB40" s="77">
        <f>VLOOKUP(M40,'Component List'!AA$2:AB$30,2,FALSE)</f>
        <v>2</v>
      </c>
      <c r="AC40" s="77" t="str">
        <f>VLOOKUP(N40,'Component List'!Y$2:Z$30,2,FALSE)</f>
        <v>C</v>
      </c>
      <c r="AD40" s="159" t="e">
        <f>VLOOKUP(O40,'Component List'!W$3:X$30,2,FALSE)</f>
        <v>#N/A</v>
      </c>
      <c r="AG40" s="93"/>
    </row>
    <row r="41" spans="1:33" ht="30" customHeight="1" x14ac:dyDescent="0.3">
      <c r="A41" s="239"/>
      <c r="B41" s="101" t="s">
        <v>135</v>
      </c>
      <c r="C41" s="80" t="s">
        <v>178</v>
      </c>
      <c r="D41" s="80" t="s">
        <v>136</v>
      </c>
      <c r="E41" s="81" t="s">
        <v>182</v>
      </c>
      <c r="F41" s="80" t="s">
        <v>207</v>
      </c>
      <c r="G41" s="80" t="s">
        <v>183</v>
      </c>
      <c r="H41" s="80" t="s">
        <v>184</v>
      </c>
      <c r="I41" s="104" t="s">
        <v>198</v>
      </c>
      <c r="J41" s="85" t="s">
        <v>219</v>
      </c>
      <c r="K41" s="135" t="s">
        <v>366</v>
      </c>
      <c r="L41" s="135" t="s">
        <v>366</v>
      </c>
      <c r="M41" s="101">
        <v>3</v>
      </c>
      <c r="N41" s="82" t="s">
        <v>175</v>
      </c>
      <c r="O41" s="117" t="s">
        <v>367</v>
      </c>
      <c r="P41" s="123" t="e">
        <f t="shared" si="0"/>
        <v>#N/A</v>
      </c>
      <c r="Q41" s="119" t="str">
        <f>VLOOKUP($B41,'Component List'!$A$2:$B$30,2,FALSE)</f>
        <v>HD3</v>
      </c>
      <c r="R41" s="77" t="e">
        <f>VLOOKUP($C41,'Component List'!C$2:D$28,2,FALSE)</f>
        <v>#N/A</v>
      </c>
      <c r="S41" s="77" t="str">
        <f>VLOOKUP($D41,'Component List'!E$2:F$30,2,FALSE)</f>
        <v>D</v>
      </c>
      <c r="T41" s="77">
        <f>VLOOKUP($E41,'Component List'!G$2:H$30,2,FALSE)</f>
        <v>101</v>
      </c>
      <c r="U41" s="77">
        <f>VLOOKUP($F41,'Component List'!I$2:J$30,2,FALSE)</f>
        <v>103</v>
      </c>
      <c r="V41" s="77">
        <f>VLOOKUP(G41,'Component List'!K$2:L$30,2,FALSE)</f>
        <v>101</v>
      </c>
      <c r="W41" s="77">
        <f>VLOOKUP(H41,'Component List'!M$2:N$31,2,FALSE)</f>
        <v>101</v>
      </c>
      <c r="X41" s="77">
        <f>VLOOKUP(I41,'Component List'!O$2:P$30,2,FALSE)</f>
        <v>100</v>
      </c>
      <c r="Y41" s="77">
        <f>VLOOKUP(J41,'Component List'!Q$2:R$30,2,FALSE)</f>
        <v>101</v>
      </c>
      <c r="Z41" s="77" t="e">
        <f>VLOOKUP(K41,'Component List'!S$2:T$30,2,FALSE)</f>
        <v>#N/A</v>
      </c>
      <c r="AA41" s="77" t="e">
        <f>VLOOKUP(L41,'Component List'!U$2:V$30,2,FALSE)</f>
        <v>#N/A</v>
      </c>
      <c r="AB41" s="77">
        <f>VLOOKUP(M41,'Component List'!AA$2:AB$30,2,FALSE)</f>
        <v>3</v>
      </c>
      <c r="AC41" s="77" t="str">
        <f>VLOOKUP(N41,'Component List'!Y$2:Z$30,2,FALSE)</f>
        <v>P</v>
      </c>
      <c r="AD41" s="159" t="e">
        <f>VLOOKUP(O41,'Component List'!W$3:X$30,2,FALSE)</f>
        <v>#N/A</v>
      </c>
      <c r="AG41" s="93"/>
    </row>
    <row r="42" spans="1:33" ht="30" customHeight="1" x14ac:dyDescent="0.3">
      <c r="A42" s="239"/>
      <c r="B42" s="101" t="s">
        <v>135</v>
      </c>
      <c r="C42" s="80" t="s">
        <v>178</v>
      </c>
      <c r="D42" s="80" t="s">
        <v>136</v>
      </c>
      <c r="E42" s="81" t="s">
        <v>182</v>
      </c>
      <c r="F42" s="80" t="s">
        <v>207</v>
      </c>
      <c r="G42" s="80" t="s">
        <v>183</v>
      </c>
      <c r="H42" s="80" t="s">
        <v>184</v>
      </c>
      <c r="I42" s="104" t="s">
        <v>198</v>
      </c>
      <c r="J42" s="85" t="s">
        <v>219</v>
      </c>
      <c r="K42" s="135" t="s">
        <v>366</v>
      </c>
      <c r="L42" s="135" t="s">
        <v>366</v>
      </c>
      <c r="M42" s="101">
        <v>3</v>
      </c>
      <c r="N42" s="82" t="s">
        <v>187</v>
      </c>
      <c r="O42" s="117" t="s">
        <v>367</v>
      </c>
      <c r="P42" s="123" t="e">
        <f t="shared" si="0"/>
        <v>#N/A</v>
      </c>
      <c r="Q42" s="119" t="str">
        <f>VLOOKUP($B42,'Component List'!$A$2:$B$30,2,FALSE)</f>
        <v>HD3</v>
      </c>
      <c r="R42" s="77" t="e">
        <f>VLOOKUP($C42,'Component List'!C$2:D$28,2,FALSE)</f>
        <v>#N/A</v>
      </c>
      <c r="S42" s="77" t="str">
        <f>VLOOKUP($D42,'Component List'!E$2:F$30,2,FALSE)</f>
        <v>D</v>
      </c>
      <c r="T42" s="77">
        <f>VLOOKUP($E42,'Component List'!G$2:H$30,2,FALSE)</f>
        <v>101</v>
      </c>
      <c r="U42" s="77">
        <f>VLOOKUP($F42,'Component List'!I$2:J$30,2,FALSE)</f>
        <v>103</v>
      </c>
      <c r="V42" s="77">
        <f>VLOOKUP(G42,'Component List'!K$2:L$30,2,FALSE)</f>
        <v>101</v>
      </c>
      <c r="W42" s="77">
        <f>VLOOKUP(H42,'Component List'!M$2:N$31,2,FALSE)</f>
        <v>101</v>
      </c>
      <c r="X42" s="77">
        <f>VLOOKUP(I42,'Component List'!O$2:P$30,2,FALSE)</f>
        <v>100</v>
      </c>
      <c r="Y42" s="77">
        <f>VLOOKUP(J42,'Component List'!Q$2:R$30,2,FALSE)</f>
        <v>101</v>
      </c>
      <c r="Z42" s="77" t="e">
        <f>VLOOKUP(K42,'Component List'!S$2:T$30,2,FALSE)</f>
        <v>#N/A</v>
      </c>
      <c r="AA42" s="77" t="e">
        <f>VLOOKUP(L42,'Component List'!U$2:V$30,2,FALSE)</f>
        <v>#N/A</v>
      </c>
      <c r="AB42" s="77">
        <f>VLOOKUP(M42,'Component List'!AA$2:AB$30,2,FALSE)</f>
        <v>3</v>
      </c>
      <c r="AC42" s="77" t="str">
        <f>VLOOKUP(N42,'Component List'!Y$2:Z$30,2,FALSE)</f>
        <v>C</v>
      </c>
      <c r="AD42" s="159" t="e">
        <f>VLOOKUP(O42,'Component List'!W$3:X$30,2,FALSE)</f>
        <v>#N/A</v>
      </c>
      <c r="AG42" s="93"/>
    </row>
    <row r="43" spans="1:33" ht="30" customHeight="1" x14ac:dyDescent="0.3">
      <c r="A43" s="239"/>
      <c r="B43" s="101" t="s">
        <v>135</v>
      </c>
      <c r="C43" s="80" t="s">
        <v>178</v>
      </c>
      <c r="D43" s="80" t="s">
        <v>136</v>
      </c>
      <c r="E43" s="81" t="s">
        <v>137</v>
      </c>
      <c r="F43" s="80" t="s">
        <v>39</v>
      </c>
      <c r="G43" s="80" t="s">
        <v>183</v>
      </c>
      <c r="H43" s="80" t="s">
        <v>138</v>
      </c>
      <c r="I43" s="104" t="s">
        <v>198</v>
      </c>
      <c r="J43" s="117" t="s">
        <v>143</v>
      </c>
      <c r="K43" s="135" t="s">
        <v>366</v>
      </c>
      <c r="L43" s="135" t="s">
        <v>366</v>
      </c>
      <c r="M43" s="101">
        <v>1</v>
      </c>
      <c r="N43" s="82" t="s">
        <v>175</v>
      </c>
      <c r="O43" s="117" t="s">
        <v>367</v>
      </c>
      <c r="P43" s="123" t="e">
        <f t="shared" si="0"/>
        <v>#N/A</v>
      </c>
      <c r="Q43" s="119" t="str">
        <f>VLOOKUP($B43,'Component List'!$A$2:$B$30,2,FALSE)</f>
        <v>HD3</v>
      </c>
      <c r="R43" s="77" t="e">
        <f>VLOOKUP($C43,'Component List'!C$2:D$28,2,FALSE)</f>
        <v>#N/A</v>
      </c>
      <c r="S43" s="77" t="str">
        <f>VLOOKUP($D43,'Component List'!E$2:F$30,2,FALSE)</f>
        <v>D</v>
      </c>
      <c r="T43" s="77">
        <f>VLOOKUP($E43,'Component List'!G$2:H$30,2,FALSE)</f>
        <v>102</v>
      </c>
      <c r="U43" s="77">
        <f>VLOOKUP($F43,'Component List'!I$2:J$30,2,FALSE)</f>
        <v>105</v>
      </c>
      <c r="V43" s="77">
        <f>VLOOKUP(G43,'Component List'!K$2:L$30,2,FALSE)</f>
        <v>101</v>
      </c>
      <c r="W43" s="77">
        <f>VLOOKUP(H43,'Component List'!M$2:N$31,2,FALSE)</f>
        <v>100</v>
      </c>
      <c r="X43" s="77">
        <f>VLOOKUP(I43,'Component List'!O$2:P$30,2,FALSE)</f>
        <v>100</v>
      </c>
      <c r="Y43" s="77" t="str">
        <f>VLOOKUP(J43,'Component List'!Q$2:R$30,2,FALSE)</f>
        <v>000</v>
      </c>
      <c r="Z43" s="77" t="e">
        <f>VLOOKUP(K43,'Component List'!S$2:T$30,2,FALSE)</f>
        <v>#N/A</v>
      </c>
      <c r="AA43" s="77" t="e">
        <f>VLOOKUP(L43,'Component List'!U$2:V$30,2,FALSE)</f>
        <v>#N/A</v>
      </c>
      <c r="AB43" s="77">
        <f>VLOOKUP(M43,'Component List'!AA$2:AB$30,2,FALSE)</f>
        <v>1</v>
      </c>
      <c r="AC43" s="77" t="str">
        <f>VLOOKUP(N43,'Component List'!Y$2:Z$30,2,FALSE)</f>
        <v>P</v>
      </c>
      <c r="AD43" s="159" t="e">
        <f>VLOOKUP(O43,'Component List'!W$3:X$30,2,FALSE)</f>
        <v>#N/A</v>
      </c>
      <c r="AG43" s="93"/>
    </row>
    <row r="44" spans="1:33" ht="30" customHeight="1" x14ac:dyDescent="0.3">
      <c r="A44" s="239"/>
      <c r="B44" s="101" t="s">
        <v>135</v>
      </c>
      <c r="C44" s="80" t="s">
        <v>178</v>
      </c>
      <c r="D44" s="80" t="s">
        <v>136</v>
      </c>
      <c r="E44" s="81" t="s">
        <v>137</v>
      </c>
      <c r="F44" s="80" t="s">
        <v>39</v>
      </c>
      <c r="G44" s="80" t="s">
        <v>183</v>
      </c>
      <c r="H44" s="80" t="s">
        <v>138</v>
      </c>
      <c r="I44" s="104" t="s">
        <v>198</v>
      </c>
      <c r="J44" s="117" t="s">
        <v>143</v>
      </c>
      <c r="K44" s="135" t="s">
        <v>366</v>
      </c>
      <c r="L44" s="135" t="s">
        <v>366</v>
      </c>
      <c r="M44" s="101">
        <v>1</v>
      </c>
      <c r="N44" s="82" t="s">
        <v>187</v>
      </c>
      <c r="O44" s="117" t="s">
        <v>367</v>
      </c>
      <c r="P44" s="123" t="e">
        <f t="shared" si="0"/>
        <v>#N/A</v>
      </c>
      <c r="Q44" s="119" t="str">
        <f>VLOOKUP($B44,'Component List'!$A$2:$B$30,2,FALSE)</f>
        <v>HD3</v>
      </c>
      <c r="R44" s="77" t="e">
        <f>VLOOKUP($C44,'Component List'!C$2:D$28,2,FALSE)</f>
        <v>#N/A</v>
      </c>
      <c r="S44" s="77" t="str">
        <f>VLOOKUP($D44,'Component List'!E$2:F$30,2,FALSE)</f>
        <v>D</v>
      </c>
      <c r="T44" s="77">
        <f>VLOOKUP($E44,'Component List'!G$2:H$30,2,FALSE)</f>
        <v>102</v>
      </c>
      <c r="U44" s="77">
        <f>VLOOKUP($F44,'Component List'!I$2:J$30,2,FALSE)</f>
        <v>105</v>
      </c>
      <c r="V44" s="77">
        <f>VLOOKUP(G44,'Component List'!K$2:L$30,2,FALSE)</f>
        <v>101</v>
      </c>
      <c r="W44" s="77">
        <f>VLOOKUP(H44,'Component List'!M$2:N$31,2,FALSE)</f>
        <v>100</v>
      </c>
      <c r="X44" s="77">
        <f>VLOOKUP(I44,'Component List'!O$2:P$30,2,FALSE)</f>
        <v>100</v>
      </c>
      <c r="Y44" s="77" t="str">
        <f>VLOOKUP(J44,'Component List'!Q$2:R$30,2,FALSE)</f>
        <v>000</v>
      </c>
      <c r="Z44" s="77" t="e">
        <f>VLOOKUP(K44,'Component List'!S$2:T$30,2,FALSE)</f>
        <v>#N/A</v>
      </c>
      <c r="AA44" s="77" t="e">
        <f>VLOOKUP(L44,'Component List'!U$2:V$30,2,FALSE)</f>
        <v>#N/A</v>
      </c>
      <c r="AB44" s="77">
        <f>VLOOKUP(M44,'Component List'!AA$2:AB$30,2,FALSE)</f>
        <v>1</v>
      </c>
      <c r="AC44" s="77" t="str">
        <f>VLOOKUP(N44,'Component List'!Y$2:Z$30,2,FALSE)</f>
        <v>C</v>
      </c>
      <c r="AD44" s="159" t="e">
        <f>VLOOKUP(O44,'Component List'!W$3:X$30,2,FALSE)</f>
        <v>#N/A</v>
      </c>
      <c r="AG44" s="93"/>
    </row>
    <row r="45" spans="1:33" ht="30" customHeight="1" x14ac:dyDescent="0.3">
      <c r="A45" s="239"/>
      <c r="B45" s="101" t="s">
        <v>135</v>
      </c>
      <c r="C45" s="80" t="s">
        <v>178</v>
      </c>
      <c r="D45" s="80" t="s">
        <v>136</v>
      </c>
      <c r="E45" s="81" t="s">
        <v>137</v>
      </c>
      <c r="F45" s="80" t="s">
        <v>39</v>
      </c>
      <c r="G45" s="80" t="s">
        <v>183</v>
      </c>
      <c r="H45" s="80" t="s">
        <v>138</v>
      </c>
      <c r="I45" s="104" t="s">
        <v>198</v>
      </c>
      <c r="J45" s="117" t="s">
        <v>143</v>
      </c>
      <c r="K45" s="135" t="s">
        <v>366</v>
      </c>
      <c r="L45" s="135" t="s">
        <v>366</v>
      </c>
      <c r="M45" s="101">
        <v>2</v>
      </c>
      <c r="N45" s="82" t="s">
        <v>175</v>
      </c>
      <c r="O45" s="117" t="s">
        <v>367</v>
      </c>
      <c r="P45" s="123" t="e">
        <f t="shared" si="0"/>
        <v>#N/A</v>
      </c>
      <c r="Q45" s="119" t="str">
        <f>VLOOKUP($B45,'Component List'!$A$2:$B$30,2,FALSE)</f>
        <v>HD3</v>
      </c>
      <c r="R45" s="77" t="e">
        <f>VLOOKUP($C45,'Component List'!C$2:D$28,2,FALSE)</f>
        <v>#N/A</v>
      </c>
      <c r="S45" s="77" t="str">
        <f>VLOOKUP($D45,'Component List'!E$2:F$30,2,FALSE)</f>
        <v>D</v>
      </c>
      <c r="T45" s="77">
        <f>VLOOKUP($E45,'Component List'!G$2:H$30,2,FALSE)</f>
        <v>102</v>
      </c>
      <c r="U45" s="77">
        <f>VLOOKUP($F45,'Component List'!I$2:J$30,2,FALSE)</f>
        <v>105</v>
      </c>
      <c r="V45" s="77">
        <f>VLOOKUP(G45,'Component List'!K$2:L$30,2,FALSE)</f>
        <v>101</v>
      </c>
      <c r="W45" s="77">
        <f>VLOOKUP(H45,'Component List'!M$2:N$31,2,FALSE)</f>
        <v>100</v>
      </c>
      <c r="X45" s="77">
        <f>VLOOKUP(I45,'Component List'!O$2:P$30,2,FALSE)</f>
        <v>100</v>
      </c>
      <c r="Y45" s="77" t="str">
        <f>VLOOKUP(J45,'Component List'!Q$2:R$30,2,FALSE)</f>
        <v>000</v>
      </c>
      <c r="Z45" s="77" t="e">
        <f>VLOOKUP(K45,'Component List'!S$2:T$30,2,FALSE)</f>
        <v>#N/A</v>
      </c>
      <c r="AA45" s="77" t="e">
        <f>VLOOKUP(L45,'Component List'!U$2:V$30,2,FALSE)</f>
        <v>#N/A</v>
      </c>
      <c r="AB45" s="77">
        <f>VLOOKUP(M45,'Component List'!AA$2:AB$30,2,FALSE)</f>
        <v>2</v>
      </c>
      <c r="AC45" s="77" t="str">
        <f>VLOOKUP(N45,'Component List'!Y$2:Z$30,2,FALSE)</f>
        <v>P</v>
      </c>
      <c r="AD45" s="159" t="e">
        <f>VLOOKUP(O45,'Component List'!W$3:X$30,2,FALSE)</f>
        <v>#N/A</v>
      </c>
      <c r="AG45" s="93"/>
    </row>
    <row r="46" spans="1:33" ht="30" customHeight="1" x14ac:dyDescent="0.3">
      <c r="A46" s="239"/>
      <c r="B46" s="101" t="s">
        <v>135</v>
      </c>
      <c r="C46" s="80" t="s">
        <v>178</v>
      </c>
      <c r="D46" s="80" t="s">
        <v>136</v>
      </c>
      <c r="E46" s="81" t="s">
        <v>137</v>
      </c>
      <c r="F46" s="80" t="s">
        <v>39</v>
      </c>
      <c r="G46" s="80" t="s">
        <v>183</v>
      </c>
      <c r="H46" s="80" t="s">
        <v>138</v>
      </c>
      <c r="I46" s="104" t="s">
        <v>198</v>
      </c>
      <c r="J46" s="117" t="s">
        <v>143</v>
      </c>
      <c r="K46" s="135" t="s">
        <v>366</v>
      </c>
      <c r="L46" s="135" t="s">
        <v>366</v>
      </c>
      <c r="M46" s="101">
        <v>2</v>
      </c>
      <c r="N46" s="82" t="s">
        <v>187</v>
      </c>
      <c r="O46" s="117" t="s">
        <v>367</v>
      </c>
      <c r="P46" s="123" t="e">
        <f t="shared" si="0"/>
        <v>#N/A</v>
      </c>
      <c r="Q46" s="119" t="str">
        <f>VLOOKUP($B46,'Component List'!$A$2:$B$30,2,FALSE)</f>
        <v>HD3</v>
      </c>
      <c r="R46" s="77" t="e">
        <f>VLOOKUP($C46,'Component List'!C$2:D$28,2,FALSE)</f>
        <v>#N/A</v>
      </c>
      <c r="S46" s="77" t="str">
        <f>VLOOKUP($D46,'Component List'!E$2:F$30,2,FALSE)</f>
        <v>D</v>
      </c>
      <c r="T46" s="77">
        <f>VLOOKUP($E46,'Component List'!G$2:H$30,2,FALSE)</f>
        <v>102</v>
      </c>
      <c r="U46" s="77">
        <f>VLOOKUP($F46,'Component List'!I$2:J$30,2,FALSE)</f>
        <v>105</v>
      </c>
      <c r="V46" s="77">
        <f>VLOOKUP(G46,'Component List'!K$2:L$30,2,FALSE)</f>
        <v>101</v>
      </c>
      <c r="W46" s="77">
        <f>VLOOKUP(H46,'Component List'!M$2:N$31,2,FALSE)</f>
        <v>100</v>
      </c>
      <c r="X46" s="77">
        <f>VLOOKUP(I46,'Component List'!O$2:P$30,2,FALSE)</f>
        <v>100</v>
      </c>
      <c r="Y46" s="77" t="str">
        <f>VLOOKUP(J46,'Component List'!Q$2:R$30,2,FALSE)</f>
        <v>000</v>
      </c>
      <c r="Z46" s="77" t="e">
        <f>VLOOKUP(K46,'Component List'!S$2:T$30,2,FALSE)</f>
        <v>#N/A</v>
      </c>
      <c r="AA46" s="77" t="e">
        <f>VLOOKUP(L46,'Component List'!U$2:V$30,2,FALSE)</f>
        <v>#N/A</v>
      </c>
      <c r="AB46" s="77">
        <f>VLOOKUP(M46,'Component List'!AA$2:AB$30,2,FALSE)</f>
        <v>2</v>
      </c>
      <c r="AC46" s="77" t="str">
        <f>VLOOKUP(N46,'Component List'!Y$2:Z$30,2,FALSE)</f>
        <v>C</v>
      </c>
      <c r="AD46" s="159" t="e">
        <f>VLOOKUP(O46,'Component List'!W$3:X$30,2,FALSE)</f>
        <v>#N/A</v>
      </c>
      <c r="AG46" s="93"/>
    </row>
    <row r="47" spans="1:33" ht="30" customHeight="1" x14ac:dyDescent="0.3">
      <c r="A47" s="239"/>
      <c r="B47" s="101" t="s">
        <v>135</v>
      </c>
      <c r="C47" s="80" t="s">
        <v>178</v>
      </c>
      <c r="D47" s="80" t="s">
        <v>136</v>
      </c>
      <c r="E47" s="81" t="s">
        <v>137</v>
      </c>
      <c r="F47" s="80" t="s">
        <v>39</v>
      </c>
      <c r="G47" s="80" t="s">
        <v>183</v>
      </c>
      <c r="H47" s="80" t="s">
        <v>138</v>
      </c>
      <c r="I47" s="104" t="s">
        <v>198</v>
      </c>
      <c r="J47" s="117" t="s">
        <v>143</v>
      </c>
      <c r="K47" s="135" t="s">
        <v>366</v>
      </c>
      <c r="L47" s="135" t="s">
        <v>366</v>
      </c>
      <c r="M47" s="101">
        <v>3</v>
      </c>
      <c r="N47" s="82" t="s">
        <v>175</v>
      </c>
      <c r="O47" s="117" t="s">
        <v>367</v>
      </c>
      <c r="P47" s="123" t="e">
        <f t="shared" si="0"/>
        <v>#N/A</v>
      </c>
      <c r="Q47" s="119" t="str">
        <f>VLOOKUP($B47,'Component List'!$A$2:$B$30,2,FALSE)</f>
        <v>HD3</v>
      </c>
      <c r="R47" s="77" t="e">
        <f>VLOOKUP($C47,'Component List'!C$2:D$28,2,FALSE)</f>
        <v>#N/A</v>
      </c>
      <c r="S47" s="77" t="str">
        <f>VLOOKUP($D47,'Component List'!E$2:F$30,2,FALSE)</f>
        <v>D</v>
      </c>
      <c r="T47" s="77">
        <f>VLOOKUP($E47,'Component List'!G$2:H$30,2,FALSE)</f>
        <v>102</v>
      </c>
      <c r="U47" s="77">
        <f>VLOOKUP($F47,'Component List'!I$2:J$30,2,FALSE)</f>
        <v>105</v>
      </c>
      <c r="V47" s="77">
        <f>VLOOKUP(G47,'Component List'!K$2:L$30,2,FALSE)</f>
        <v>101</v>
      </c>
      <c r="W47" s="77">
        <f>VLOOKUP(H47,'Component List'!M$2:N$31,2,FALSE)</f>
        <v>100</v>
      </c>
      <c r="X47" s="77">
        <f>VLOOKUP(I47,'Component List'!O$2:P$30,2,FALSE)</f>
        <v>100</v>
      </c>
      <c r="Y47" s="77" t="str">
        <f>VLOOKUP(J47,'Component List'!Q$2:R$30,2,FALSE)</f>
        <v>000</v>
      </c>
      <c r="Z47" s="77" t="e">
        <f>VLOOKUP(K47,'Component List'!S$2:T$30,2,FALSE)</f>
        <v>#N/A</v>
      </c>
      <c r="AA47" s="77" t="e">
        <f>VLOOKUP(L47,'Component List'!U$2:V$30,2,FALSE)</f>
        <v>#N/A</v>
      </c>
      <c r="AB47" s="77">
        <f>VLOOKUP(M47,'Component List'!AA$2:AB$30,2,FALSE)</f>
        <v>3</v>
      </c>
      <c r="AC47" s="77" t="str">
        <f>VLOOKUP(N47,'Component List'!Y$2:Z$30,2,FALSE)</f>
        <v>P</v>
      </c>
      <c r="AD47" s="159" t="e">
        <f>VLOOKUP(O47,'Component List'!W$3:X$30,2,FALSE)</f>
        <v>#N/A</v>
      </c>
      <c r="AG47" s="93"/>
    </row>
    <row r="48" spans="1:33" ht="30" customHeight="1" x14ac:dyDescent="0.3">
      <c r="A48" s="239"/>
      <c r="B48" s="101" t="s">
        <v>135</v>
      </c>
      <c r="C48" s="80" t="s">
        <v>178</v>
      </c>
      <c r="D48" s="80" t="s">
        <v>136</v>
      </c>
      <c r="E48" s="81" t="s">
        <v>137</v>
      </c>
      <c r="F48" s="80" t="s">
        <v>39</v>
      </c>
      <c r="G48" s="80" t="s">
        <v>183</v>
      </c>
      <c r="H48" s="80" t="s">
        <v>138</v>
      </c>
      <c r="I48" s="104" t="s">
        <v>198</v>
      </c>
      <c r="J48" s="117" t="s">
        <v>143</v>
      </c>
      <c r="K48" s="135" t="s">
        <v>366</v>
      </c>
      <c r="L48" s="135" t="s">
        <v>366</v>
      </c>
      <c r="M48" s="101">
        <v>3</v>
      </c>
      <c r="N48" s="82" t="s">
        <v>187</v>
      </c>
      <c r="O48" s="117" t="s">
        <v>367</v>
      </c>
      <c r="P48" s="123" t="e">
        <f t="shared" si="0"/>
        <v>#N/A</v>
      </c>
      <c r="Q48" s="119" t="str">
        <f>VLOOKUP($B48,'Component List'!$A$2:$B$30,2,FALSE)</f>
        <v>HD3</v>
      </c>
      <c r="R48" s="77" t="e">
        <f>VLOOKUP($C48,'Component List'!C$2:D$28,2,FALSE)</f>
        <v>#N/A</v>
      </c>
      <c r="S48" s="77" t="str">
        <f>VLOOKUP($D48,'Component List'!E$2:F$30,2,FALSE)</f>
        <v>D</v>
      </c>
      <c r="T48" s="77">
        <f>VLOOKUP($E48,'Component List'!G$2:H$30,2,FALSE)</f>
        <v>102</v>
      </c>
      <c r="U48" s="77">
        <f>VLOOKUP($F48,'Component List'!I$2:J$30,2,FALSE)</f>
        <v>105</v>
      </c>
      <c r="V48" s="77">
        <f>VLOOKUP(G48,'Component List'!K$2:L$30,2,FALSE)</f>
        <v>101</v>
      </c>
      <c r="W48" s="77">
        <f>VLOOKUP(H48,'Component List'!M$2:N$31,2,FALSE)</f>
        <v>100</v>
      </c>
      <c r="X48" s="77">
        <f>VLOOKUP(I48,'Component List'!O$2:P$30,2,FALSE)</f>
        <v>100</v>
      </c>
      <c r="Y48" s="77" t="str">
        <f>VLOOKUP(J48,'Component List'!Q$2:R$30,2,FALSE)</f>
        <v>000</v>
      </c>
      <c r="Z48" s="77" t="e">
        <f>VLOOKUP(K48,'Component List'!S$2:T$30,2,FALSE)</f>
        <v>#N/A</v>
      </c>
      <c r="AA48" s="77" t="e">
        <f>VLOOKUP(L48,'Component List'!U$2:V$30,2,FALSE)</f>
        <v>#N/A</v>
      </c>
      <c r="AB48" s="77">
        <f>VLOOKUP(M48,'Component List'!AA$2:AB$30,2,FALSE)</f>
        <v>3</v>
      </c>
      <c r="AC48" s="77" t="str">
        <f>VLOOKUP(N48,'Component List'!Y$2:Z$30,2,FALSE)</f>
        <v>C</v>
      </c>
      <c r="AD48" s="159" t="e">
        <f>VLOOKUP(O48,'Component List'!W$3:X$30,2,FALSE)</f>
        <v>#N/A</v>
      </c>
      <c r="AG48" s="93"/>
    </row>
    <row r="49" spans="1:33" ht="30" customHeight="1" x14ac:dyDescent="0.3">
      <c r="A49" s="239"/>
      <c r="B49" s="101" t="s">
        <v>135</v>
      </c>
      <c r="C49" s="80" t="s">
        <v>178</v>
      </c>
      <c r="D49" s="80" t="s">
        <v>136</v>
      </c>
      <c r="E49" s="81" t="s">
        <v>137</v>
      </c>
      <c r="F49" s="80" t="s">
        <v>45</v>
      </c>
      <c r="G49" s="80" t="s">
        <v>183</v>
      </c>
      <c r="H49" s="80" t="s">
        <v>208</v>
      </c>
      <c r="I49" s="104" t="s">
        <v>198</v>
      </c>
      <c r="J49" s="117" t="s">
        <v>143</v>
      </c>
      <c r="K49" s="135" t="s">
        <v>366</v>
      </c>
      <c r="L49" s="135" t="s">
        <v>366</v>
      </c>
      <c r="M49" s="101">
        <v>1</v>
      </c>
      <c r="N49" s="82" t="s">
        <v>175</v>
      </c>
      <c r="O49" s="117" t="s">
        <v>367</v>
      </c>
      <c r="P49" s="123" t="e">
        <f t="shared" si="0"/>
        <v>#N/A</v>
      </c>
      <c r="Q49" s="119" t="str">
        <f>VLOOKUP($B49,'Component List'!$A$2:$B$30,2,FALSE)</f>
        <v>HD3</v>
      </c>
      <c r="R49" s="77" t="e">
        <f>VLOOKUP($C49,'Component List'!C$2:D$28,2,FALSE)</f>
        <v>#N/A</v>
      </c>
      <c r="S49" s="77" t="str">
        <f>VLOOKUP($D49,'Component List'!E$2:F$30,2,FALSE)</f>
        <v>D</v>
      </c>
      <c r="T49" s="77">
        <f>VLOOKUP($E49,'Component List'!G$2:H$30,2,FALSE)</f>
        <v>102</v>
      </c>
      <c r="U49" s="77">
        <f>VLOOKUP($F49,'Component List'!I$2:J$30,2,FALSE)</f>
        <v>106</v>
      </c>
      <c r="V49" s="77">
        <f>VLOOKUP(G49,'Component List'!K$2:L$30,2,FALSE)</f>
        <v>101</v>
      </c>
      <c r="W49" s="77">
        <f>VLOOKUP(H49,'Component List'!M$2:N$31,2,FALSE)</f>
        <v>103</v>
      </c>
      <c r="X49" s="77">
        <f>VLOOKUP(I49,'Component List'!O$2:P$30,2,FALSE)</f>
        <v>100</v>
      </c>
      <c r="Y49" s="77" t="str">
        <f>VLOOKUP(J49,'Component List'!Q$2:R$30,2,FALSE)</f>
        <v>000</v>
      </c>
      <c r="Z49" s="77" t="e">
        <f>VLOOKUP(K49,'Component List'!S$2:T$30,2,FALSE)</f>
        <v>#N/A</v>
      </c>
      <c r="AA49" s="77" t="e">
        <f>VLOOKUP(L49,'Component List'!U$2:V$30,2,FALSE)</f>
        <v>#N/A</v>
      </c>
      <c r="AB49" s="77">
        <f>VLOOKUP(M49,'Component List'!AA$2:AB$30,2,FALSE)</f>
        <v>1</v>
      </c>
      <c r="AC49" s="77" t="str">
        <f>VLOOKUP(N49,'Component List'!Y$2:Z$30,2,FALSE)</f>
        <v>P</v>
      </c>
      <c r="AD49" s="159" t="e">
        <f>VLOOKUP(O49,'Component List'!W$3:X$30,2,FALSE)</f>
        <v>#N/A</v>
      </c>
      <c r="AG49" s="93"/>
    </row>
    <row r="50" spans="1:33" ht="30" customHeight="1" x14ac:dyDescent="0.3">
      <c r="A50" s="239"/>
      <c r="B50" s="101" t="s">
        <v>135</v>
      </c>
      <c r="C50" s="80" t="s">
        <v>178</v>
      </c>
      <c r="D50" s="80" t="s">
        <v>136</v>
      </c>
      <c r="E50" s="81" t="s">
        <v>137</v>
      </c>
      <c r="F50" s="80" t="s">
        <v>45</v>
      </c>
      <c r="G50" s="80" t="s">
        <v>183</v>
      </c>
      <c r="H50" s="80" t="s">
        <v>208</v>
      </c>
      <c r="I50" s="104" t="s">
        <v>198</v>
      </c>
      <c r="J50" s="117" t="s">
        <v>143</v>
      </c>
      <c r="K50" s="135" t="s">
        <v>366</v>
      </c>
      <c r="L50" s="135" t="s">
        <v>366</v>
      </c>
      <c r="M50" s="101">
        <v>1</v>
      </c>
      <c r="N50" s="82" t="s">
        <v>187</v>
      </c>
      <c r="O50" s="117" t="s">
        <v>367</v>
      </c>
      <c r="P50" s="123" t="e">
        <f t="shared" si="0"/>
        <v>#N/A</v>
      </c>
      <c r="Q50" s="119" t="str">
        <f>VLOOKUP($B50,'Component List'!$A$2:$B$30,2,FALSE)</f>
        <v>HD3</v>
      </c>
      <c r="R50" s="77" t="e">
        <f>VLOOKUP($C50,'Component List'!C$2:D$28,2,FALSE)</f>
        <v>#N/A</v>
      </c>
      <c r="S50" s="77" t="str">
        <f>VLOOKUP($D50,'Component List'!E$2:F$30,2,FALSE)</f>
        <v>D</v>
      </c>
      <c r="T50" s="77">
        <f>VLOOKUP($E50,'Component List'!G$2:H$30,2,FALSE)</f>
        <v>102</v>
      </c>
      <c r="U50" s="77">
        <f>VLOOKUP($F50,'Component List'!I$2:J$30,2,FALSE)</f>
        <v>106</v>
      </c>
      <c r="V50" s="77">
        <f>VLOOKUP(G50,'Component List'!K$2:L$30,2,FALSE)</f>
        <v>101</v>
      </c>
      <c r="W50" s="77">
        <f>VLOOKUP(H50,'Component List'!M$2:N$31,2,FALSE)</f>
        <v>103</v>
      </c>
      <c r="X50" s="77">
        <f>VLOOKUP(I50,'Component List'!O$2:P$30,2,FALSE)</f>
        <v>100</v>
      </c>
      <c r="Y50" s="77" t="str">
        <f>VLOOKUP(J50,'Component List'!Q$2:R$30,2,FALSE)</f>
        <v>000</v>
      </c>
      <c r="Z50" s="77" t="e">
        <f>VLOOKUP(K50,'Component List'!S$2:T$30,2,FALSE)</f>
        <v>#N/A</v>
      </c>
      <c r="AA50" s="77" t="e">
        <f>VLOOKUP(L50,'Component List'!U$2:V$30,2,FALSE)</f>
        <v>#N/A</v>
      </c>
      <c r="AB50" s="77">
        <f>VLOOKUP(M50,'Component List'!AA$2:AB$30,2,FALSE)</f>
        <v>1</v>
      </c>
      <c r="AC50" s="77" t="str">
        <f>VLOOKUP(N50,'Component List'!Y$2:Z$30,2,FALSE)</f>
        <v>C</v>
      </c>
      <c r="AD50" s="159" t="e">
        <f>VLOOKUP(O50,'Component List'!W$3:X$30,2,FALSE)</f>
        <v>#N/A</v>
      </c>
      <c r="AG50" s="93"/>
    </row>
    <row r="51" spans="1:33" ht="30" customHeight="1" x14ac:dyDescent="0.3">
      <c r="A51" s="239"/>
      <c r="B51" s="101" t="s">
        <v>135</v>
      </c>
      <c r="C51" s="80" t="s">
        <v>178</v>
      </c>
      <c r="D51" s="80" t="s">
        <v>136</v>
      </c>
      <c r="E51" s="81" t="s">
        <v>137</v>
      </c>
      <c r="F51" s="80" t="s">
        <v>45</v>
      </c>
      <c r="G51" s="80" t="s">
        <v>183</v>
      </c>
      <c r="H51" s="80" t="s">
        <v>208</v>
      </c>
      <c r="I51" s="104" t="s">
        <v>198</v>
      </c>
      <c r="J51" s="117" t="s">
        <v>143</v>
      </c>
      <c r="K51" s="135" t="s">
        <v>366</v>
      </c>
      <c r="L51" s="135" t="s">
        <v>366</v>
      </c>
      <c r="M51" s="101">
        <v>2</v>
      </c>
      <c r="N51" s="82" t="s">
        <v>175</v>
      </c>
      <c r="O51" s="117" t="s">
        <v>367</v>
      </c>
      <c r="P51" s="123" t="e">
        <f t="shared" si="0"/>
        <v>#N/A</v>
      </c>
      <c r="Q51" s="119" t="str">
        <f>VLOOKUP($B51,'Component List'!$A$2:$B$30,2,FALSE)</f>
        <v>HD3</v>
      </c>
      <c r="R51" s="77" t="e">
        <f>VLOOKUP($C51,'Component List'!C$2:D$28,2,FALSE)</f>
        <v>#N/A</v>
      </c>
      <c r="S51" s="77" t="str">
        <f>VLOOKUP($D51,'Component List'!E$2:F$30,2,FALSE)</f>
        <v>D</v>
      </c>
      <c r="T51" s="77">
        <f>VLOOKUP($E51,'Component List'!G$2:H$30,2,FALSE)</f>
        <v>102</v>
      </c>
      <c r="U51" s="77">
        <f>VLOOKUP($F51,'Component List'!I$2:J$30,2,FALSE)</f>
        <v>106</v>
      </c>
      <c r="V51" s="77">
        <f>VLOOKUP(G51,'Component List'!K$2:L$30,2,FALSE)</f>
        <v>101</v>
      </c>
      <c r="W51" s="77">
        <f>VLOOKUP(H51,'Component List'!M$2:N$31,2,FALSE)</f>
        <v>103</v>
      </c>
      <c r="X51" s="77">
        <f>VLOOKUP(I51,'Component List'!O$2:P$30,2,FALSE)</f>
        <v>100</v>
      </c>
      <c r="Y51" s="77" t="str">
        <f>VLOOKUP(J51,'Component List'!Q$2:R$30,2,FALSE)</f>
        <v>000</v>
      </c>
      <c r="Z51" s="77" t="e">
        <f>VLOOKUP(K51,'Component List'!S$2:T$30,2,FALSE)</f>
        <v>#N/A</v>
      </c>
      <c r="AA51" s="77" t="e">
        <f>VLOOKUP(L51,'Component List'!U$2:V$30,2,FALSE)</f>
        <v>#N/A</v>
      </c>
      <c r="AB51" s="77">
        <f>VLOOKUP(M51,'Component List'!AA$2:AB$30,2,FALSE)</f>
        <v>2</v>
      </c>
      <c r="AC51" s="77" t="str">
        <f>VLOOKUP(N51,'Component List'!Y$2:Z$30,2,FALSE)</f>
        <v>P</v>
      </c>
      <c r="AD51" s="159" t="e">
        <f>VLOOKUP(O51,'Component List'!W$3:X$30,2,FALSE)</f>
        <v>#N/A</v>
      </c>
      <c r="AG51" s="93"/>
    </row>
    <row r="52" spans="1:33" ht="30" customHeight="1" x14ac:dyDescent="0.3">
      <c r="A52" s="239"/>
      <c r="B52" s="101" t="s">
        <v>135</v>
      </c>
      <c r="C52" s="80" t="s">
        <v>178</v>
      </c>
      <c r="D52" s="80" t="s">
        <v>136</v>
      </c>
      <c r="E52" s="81" t="s">
        <v>137</v>
      </c>
      <c r="F52" s="80" t="s">
        <v>45</v>
      </c>
      <c r="G52" s="80" t="s">
        <v>183</v>
      </c>
      <c r="H52" s="80" t="s">
        <v>208</v>
      </c>
      <c r="I52" s="104" t="s">
        <v>198</v>
      </c>
      <c r="J52" s="117" t="s">
        <v>143</v>
      </c>
      <c r="K52" s="135" t="s">
        <v>366</v>
      </c>
      <c r="L52" s="135" t="s">
        <v>366</v>
      </c>
      <c r="M52" s="101">
        <v>2</v>
      </c>
      <c r="N52" s="82" t="s">
        <v>187</v>
      </c>
      <c r="O52" s="117" t="s">
        <v>367</v>
      </c>
      <c r="P52" s="123" t="e">
        <f t="shared" si="0"/>
        <v>#N/A</v>
      </c>
      <c r="Q52" s="119" t="str">
        <f>VLOOKUP($B52,'Component List'!$A$2:$B$30,2,FALSE)</f>
        <v>HD3</v>
      </c>
      <c r="R52" s="77" t="e">
        <f>VLOOKUP($C52,'Component List'!C$2:D$28,2,FALSE)</f>
        <v>#N/A</v>
      </c>
      <c r="S52" s="77" t="str">
        <f>VLOOKUP($D52,'Component List'!E$2:F$30,2,FALSE)</f>
        <v>D</v>
      </c>
      <c r="T52" s="77">
        <f>VLOOKUP($E52,'Component List'!G$2:H$30,2,FALSE)</f>
        <v>102</v>
      </c>
      <c r="U52" s="77">
        <f>VLOOKUP($F52,'Component List'!I$2:J$30,2,FALSE)</f>
        <v>106</v>
      </c>
      <c r="V52" s="77">
        <f>VLOOKUP(G52,'Component List'!K$2:L$30,2,FALSE)</f>
        <v>101</v>
      </c>
      <c r="W52" s="77">
        <f>VLOOKUP(H52,'Component List'!M$2:N$31,2,FALSE)</f>
        <v>103</v>
      </c>
      <c r="X52" s="77">
        <f>VLOOKUP(I52,'Component List'!O$2:P$30,2,FALSE)</f>
        <v>100</v>
      </c>
      <c r="Y52" s="77" t="str">
        <f>VLOOKUP(J52,'Component List'!Q$2:R$30,2,FALSE)</f>
        <v>000</v>
      </c>
      <c r="Z52" s="77" t="e">
        <f>VLOOKUP(K52,'Component List'!S$2:T$30,2,FALSE)</f>
        <v>#N/A</v>
      </c>
      <c r="AA52" s="77" t="e">
        <f>VLOOKUP(L52,'Component List'!U$2:V$30,2,FALSE)</f>
        <v>#N/A</v>
      </c>
      <c r="AB52" s="77">
        <f>VLOOKUP(M52,'Component List'!AA$2:AB$30,2,FALSE)</f>
        <v>2</v>
      </c>
      <c r="AC52" s="77" t="str">
        <f>VLOOKUP(N52,'Component List'!Y$2:Z$30,2,FALSE)</f>
        <v>C</v>
      </c>
      <c r="AD52" s="159" t="e">
        <f>VLOOKUP(O52,'Component List'!W$3:X$30,2,FALSE)</f>
        <v>#N/A</v>
      </c>
      <c r="AG52" s="93"/>
    </row>
    <row r="53" spans="1:33" ht="30" customHeight="1" x14ac:dyDescent="0.3">
      <c r="A53" s="239"/>
      <c r="B53" s="101" t="s">
        <v>135</v>
      </c>
      <c r="C53" s="80" t="s">
        <v>178</v>
      </c>
      <c r="D53" s="80" t="s">
        <v>136</v>
      </c>
      <c r="E53" s="81" t="s">
        <v>137</v>
      </c>
      <c r="F53" s="80" t="s">
        <v>45</v>
      </c>
      <c r="G53" s="80" t="s">
        <v>183</v>
      </c>
      <c r="H53" s="80" t="s">
        <v>208</v>
      </c>
      <c r="I53" s="104" t="s">
        <v>198</v>
      </c>
      <c r="J53" s="117" t="s">
        <v>143</v>
      </c>
      <c r="K53" s="135" t="s">
        <v>366</v>
      </c>
      <c r="L53" s="135" t="s">
        <v>366</v>
      </c>
      <c r="M53" s="101">
        <v>3</v>
      </c>
      <c r="N53" s="82" t="s">
        <v>175</v>
      </c>
      <c r="O53" s="117" t="s">
        <v>367</v>
      </c>
      <c r="P53" s="123" t="e">
        <f t="shared" si="0"/>
        <v>#N/A</v>
      </c>
      <c r="Q53" s="119" t="str">
        <f>VLOOKUP($B53,'Component List'!$A$2:$B$30,2,FALSE)</f>
        <v>HD3</v>
      </c>
      <c r="R53" s="77" t="e">
        <f>VLOOKUP($C53,'Component List'!C$2:D$28,2,FALSE)</f>
        <v>#N/A</v>
      </c>
      <c r="S53" s="77" t="str">
        <f>VLOOKUP($D53,'Component List'!E$2:F$30,2,FALSE)</f>
        <v>D</v>
      </c>
      <c r="T53" s="77">
        <f>VLOOKUP($E53,'Component List'!G$2:H$30,2,FALSE)</f>
        <v>102</v>
      </c>
      <c r="U53" s="77">
        <f>VLOOKUP($F53,'Component List'!I$2:J$30,2,FALSE)</f>
        <v>106</v>
      </c>
      <c r="V53" s="77">
        <f>VLOOKUP(G53,'Component List'!K$2:L$30,2,FALSE)</f>
        <v>101</v>
      </c>
      <c r="W53" s="77">
        <f>VLOOKUP(H53,'Component List'!M$2:N$31,2,FALSE)</f>
        <v>103</v>
      </c>
      <c r="X53" s="77">
        <f>VLOOKUP(I53,'Component List'!O$2:P$30,2,FALSE)</f>
        <v>100</v>
      </c>
      <c r="Y53" s="77" t="str">
        <f>VLOOKUP(J53,'Component List'!Q$2:R$30,2,FALSE)</f>
        <v>000</v>
      </c>
      <c r="Z53" s="77" t="e">
        <f>VLOOKUP(K53,'Component List'!S$2:T$30,2,FALSE)</f>
        <v>#N/A</v>
      </c>
      <c r="AA53" s="77" t="e">
        <f>VLOOKUP(L53,'Component List'!U$2:V$30,2,FALSE)</f>
        <v>#N/A</v>
      </c>
      <c r="AB53" s="77">
        <f>VLOOKUP(M53,'Component List'!AA$2:AB$30,2,FALSE)</f>
        <v>3</v>
      </c>
      <c r="AC53" s="77" t="str">
        <f>VLOOKUP(N53,'Component List'!Y$2:Z$30,2,FALSE)</f>
        <v>P</v>
      </c>
      <c r="AD53" s="159" t="e">
        <f>VLOOKUP(O53,'Component List'!W$3:X$30,2,FALSE)</f>
        <v>#N/A</v>
      </c>
      <c r="AG53" s="93"/>
    </row>
    <row r="54" spans="1:33" ht="30" customHeight="1" x14ac:dyDescent="0.3">
      <c r="A54" s="239"/>
      <c r="B54" s="101" t="s">
        <v>135</v>
      </c>
      <c r="C54" s="80" t="s">
        <v>178</v>
      </c>
      <c r="D54" s="80" t="s">
        <v>136</v>
      </c>
      <c r="E54" s="81" t="s">
        <v>137</v>
      </c>
      <c r="F54" s="80" t="s">
        <v>45</v>
      </c>
      <c r="G54" s="80" t="s">
        <v>183</v>
      </c>
      <c r="H54" s="80" t="s">
        <v>208</v>
      </c>
      <c r="I54" s="104" t="s">
        <v>198</v>
      </c>
      <c r="J54" s="117" t="s">
        <v>143</v>
      </c>
      <c r="K54" s="135" t="s">
        <v>366</v>
      </c>
      <c r="L54" s="135" t="s">
        <v>366</v>
      </c>
      <c r="M54" s="101">
        <v>3</v>
      </c>
      <c r="N54" s="82" t="s">
        <v>187</v>
      </c>
      <c r="O54" s="117" t="s">
        <v>367</v>
      </c>
      <c r="P54" s="123" t="e">
        <f t="shared" si="0"/>
        <v>#N/A</v>
      </c>
      <c r="Q54" s="119" t="str">
        <f>VLOOKUP($B54,'Component List'!$A$2:$B$30,2,FALSE)</f>
        <v>HD3</v>
      </c>
      <c r="R54" s="77" t="e">
        <f>VLOOKUP($C54,'Component List'!C$2:D$28,2,FALSE)</f>
        <v>#N/A</v>
      </c>
      <c r="S54" s="77" t="str">
        <f>VLOOKUP($D54,'Component List'!E$2:F$30,2,FALSE)</f>
        <v>D</v>
      </c>
      <c r="T54" s="77">
        <f>VLOOKUP($E54,'Component List'!G$2:H$30,2,FALSE)</f>
        <v>102</v>
      </c>
      <c r="U54" s="77">
        <f>VLOOKUP($F54,'Component List'!I$2:J$30,2,FALSE)</f>
        <v>106</v>
      </c>
      <c r="V54" s="77">
        <f>VLOOKUP(G54,'Component List'!K$2:L$30,2,FALSE)</f>
        <v>101</v>
      </c>
      <c r="W54" s="77">
        <f>VLOOKUP(H54,'Component List'!M$2:N$31,2,FALSE)</f>
        <v>103</v>
      </c>
      <c r="X54" s="77">
        <f>VLOOKUP(I54,'Component List'!O$2:P$30,2,FALSE)</f>
        <v>100</v>
      </c>
      <c r="Y54" s="77" t="str">
        <f>VLOOKUP(J54,'Component List'!Q$2:R$30,2,FALSE)</f>
        <v>000</v>
      </c>
      <c r="Z54" s="77" t="e">
        <f>VLOOKUP(K54,'Component List'!S$2:T$30,2,FALSE)</f>
        <v>#N/A</v>
      </c>
      <c r="AA54" s="77" t="e">
        <f>VLOOKUP(L54,'Component List'!U$2:V$30,2,FALSE)</f>
        <v>#N/A</v>
      </c>
      <c r="AB54" s="77">
        <f>VLOOKUP(M54,'Component List'!AA$2:AB$30,2,FALSE)</f>
        <v>3</v>
      </c>
      <c r="AC54" s="77" t="str">
        <f>VLOOKUP(N54,'Component List'!Y$2:Z$30,2,FALSE)</f>
        <v>C</v>
      </c>
      <c r="AD54" s="159" t="e">
        <f>VLOOKUP(O54,'Component List'!W$3:X$30,2,FALSE)</f>
        <v>#N/A</v>
      </c>
      <c r="AG54" s="93"/>
    </row>
    <row r="55" spans="1:33" ht="30" customHeight="1" x14ac:dyDescent="0.3">
      <c r="A55" s="239"/>
      <c r="B55" s="101" t="s">
        <v>135</v>
      </c>
      <c r="C55" s="80" t="s">
        <v>178</v>
      </c>
      <c r="D55" s="80" t="s">
        <v>136</v>
      </c>
      <c r="E55" s="81" t="s">
        <v>182</v>
      </c>
      <c r="F55" s="80" t="s">
        <v>47</v>
      </c>
      <c r="G55" s="80" t="s">
        <v>183</v>
      </c>
      <c r="H55" s="80" t="s">
        <v>138</v>
      </c>
      <c r="I55" s="104" t="s">
        <v>198</v>
      </c>
      <c r="J55" s="117" t="s">
        <v>143</v>
      </c>
      <c r="K55" s="135" t="s">
        <v>366</v>
      </c>
      <c r="L55" s="135" t="s">
        <v>366</v>
      </c>
      <c r="M55" s="101">
        <v>1</v>
      </c>
      <c r="N55" s="82" t="s">
        <v>175</v>
      </c>
      <c r="O55" s="117" t="s">
        <v>367</v>
      </c>
      <c r="P55" s="123" t="e">
        <f t="shared" si="0"/>
        <v>#N/A</v>
      </c>
      <c r="Q55" s="119" t="str">
        <f>VLOOKUP($B55,'Component List'!$A$2:$B$30,2,FALSE)</f>
        <v>HD3</v>
      </c>
      <c r="R55" s="77" t="e">
        <f>VLOOKUP($C55,'Component List'!C$2:D$28,2,FALSE)</f>
        <v>#N/A</v>
      </c>
      <c r="S55" s="77" t="str">
        <f>VLOOKUP($D55,'Component List'!E$2:F$30,2,FALSE)</f>
        <v>D</v>
      </c>
      <c r="T55" s="77">
        <f>VLOOKUP($E55,'Component List'!G$2:H$30,2,FALSE)</f>
        <v>101</v>
      </c>
      <c r="U55" s="77">
        <f>VLOOKUP($F55,'Component List'!I$2:J$30,2,FALSE)</f>
        <v>104</v>
      </c>
      <c r="V55" s="77">
        <f>VLOOKUP(G55,'Component List'!K$2:L$30,2,FALSE)</f>
        <v>101</v>
      </c>
      <c r="W55" s="77">
        <f>VLOOKUP(H55,'Component List'!M$2:N$31,2,FALSE)</f>
        <v>100</v>
      </c>
      <c r="X55" s="77">
        <f>VLOOKUP(I55,'Component List'!O$2:P$30,2,FALSE)</f>
        <v>100</v>
      </c>
      <c r="Y55" s="77" t="str">
        <f>VLOOKUP(J55,'Component List'!Q$2:R$30,2,FALSE)</f>
        <v>000</v>
      </c>
      <c r="Z55" s="77" t="e">
        <f>VLOOKUP(K55,'Component List'!S$2:T$30,2,FALSE)</f>
        <v>#N/A</v>
      </c>
      <c r="AA55" s="77" t="e">
        <f>VLOOKUP(L55,'Component List'!U$2:V$30,2,FALSE)</f>
        <v>#N/A</v>
      </c>
      <c r="AB55" s="77">
        <f>VLOOKUP(M55,'Component List'!AA$2:AB$30,2,FALSE)</f>
        <v>1</v>
      </c>
      <c r="AC55" s="77" t="str">
        <f>VLOOKUP(N55,'Component List'!Y$2:Z$30,2,FALSE)</f>
        <v>P</v>
      </c>
      <c r="AD55" s="159" t="e">
        <f>VLOOKUP(O55,'Component List'!W$3:X$30,2,FALSE)</f>
        <v>#N/A</v>
      </c>
      <c r="AG55" s="93"/>
    </row>
    <row r="56" spans="1:33" ht="30" customHeight="1" x14ac:dyDescent="0.3">
      <c r="A56" s="239"/>
      <c r="B56" s="101" t="s">
        <v>135</v>
      </c>
      <c r="C56" s="80" t="s">
        <v>178</v>
      </c>
      <c r="D56" s="80" t="s">
        <v>136</v>
      </c>
      <c r="E56" s="81" t="s">
        <v>182</v>
      </c>
      <c r="F56" s="80" t="s">
        <v>47</v>
      </c>
      <c r="G56" s="80" t="s">
        <v>183</v>
      </c>
      <c r="H56" s="80" t="s">
        <v>138</v>
      </c>
      <c r="I56" s="104" t="s">
        <v>198</v>
      </c>
      <c r="J56" s="117" t="s">
        <v>143</v>
      </c>
      <c r="K56" s="135" t="s">
        <v>366</v>
      </c>
      <c r="L56" s="135" t="s">
        <v>366</v>
      </c>
      <c r="M56" s="101">
        <v>1</v>
      </c>
      <c r="N56" s="82" t="s">
        <v>187</v>
      </c>
      <c r="O56" s="117" t="s">
        <v>367</v>
      </c>
      <c r="P56" s="123" t="e">
        <f t="shared" si="0"/>
        <v>#N/A</v>
      </c>
      <c r="Q56" s="119" t="str">
        <f>VLOOKUP($B56,'Component List'!$A$2:$B$30,2,FALSE)</f>
        <v>HD3</v>
      </c>
      <c r="R56" s="77" t="e">
        <f>VLOOKUP($C56,'Component List'!C$2:D$28,2,FALSE)</f>
        <v>#N/A</v>
      </c>
      <c r="S56" s="77" t="str">
        <f>VLOOKUP($D56,'Component List'!E$2:F$30,2,FALSE)</f>
        <v>D</v>
      </c>
      <c r="T56" s="77">
        <f>VLOOKUP($E56,'Component List'!G$2:H$30,2,FALSE)</f>
        <v>101</v>
      </c>
      <c r="U56" s="77">
        <f>VLOOKUP($F56,'Component List'!I$2:J$30,2,FALSE)</f>
        <v>104</v>
      </c>
      <c r="V56" s="77">
        <f>VLOOKUP(G56,'Component List'!K$2:L$30,2,FALSE)</f>
        <v>101</v>
      </c>
      <c r="W56" s="77">
        <f>VLOOKUP(H56,'Component List'!M$2:N$31,2,FALSE)</f>
        <v>100</v>
      </c>
      <c r="X56" s="77">
        <f>VLOOKUP(I56,'Component List'!O$2:P$30,2,FALSE)</f>
        <v>100</v>
      </c>
      <c r="Y56" s="77" t="str">
        <f>VLOOKUP(J56,'Component List'!Q$2:R$30,2,FALSE)</f>
        <v>000</v>
      </c>
      <c r="Z56" s="77" t="e">
        <f>VLOOKUP(K56,'Component List'!S$2:T$30,2,FALSE)</f>
        <v>#N/A</v>
      </c>
      <c r="AA56" s="77" t="e">
        <f>VLOOKUP(L56,'Component List'!U$2:V$30,2,FALSE)</f>
        <v>#N/A</v>
      </c>
      <c r="AB56" s="77">
        <f>VLOOKUP(M56,'Component List'!AA$2:AB$30,2,FALSE)</f>
        <v>1</v>
      </c>
      <c r="AC56" s="77" t="str">
        <f>VLOOKUP(N56,'Component List'!Y$2:Z$30,2,FALSE)</f>
        <v>C</v>
      </c>
      <c r="AD56" s="159" t="e">
        <f>VLOOKUP(O56,'Component List'!W$3:X$30,2,FALSE)</f>
        <v>#N/A</v>
      </c>
      <c r="AG56" s="93"/>
    </row>
    <row r="57" spans="1:33" ht="30" customHeight="1" x14ac:dyDescent="0.3">
      <c r="A57" s="239"/>
      <c r="B57" s="101" t="s">
        <v>135</v>
      </c>
      <c r="C57" s="80" t="s">
        <v>178</v>
      </c>
      <c r="D57" s="80" t="s">
        <v>136</v>
      </c>
      <c r="E57" s="81" t="s">
        <v>182</v>
      </c>
      <c r="F57" s="80" t="s">
        <v>47</v>
      </c>
      <c r="G57" s="80" t="s">
        <v>183</v>
      </c>
      <c r="H57" s="80" t="s">
        <v>138</v>
      </c>
      <c r="I57" s="104" t="s">
        <v>198</v>
      </c>
      <c r="J57" s="117" t="s">
        <v>143</v>
      </c>
      <c r="K57" s="135" t="s">
        <v>366</v>
      </c>
      <c r="L57" s="135" t="s">
        <v>366</v>
      </c>
      <c r="M57" s="101">
        <v>2</v>
      </c>
      <c r="N57" s="82" t="s">
        <v>175</v>
      </c>
      <c r="O57" s="117" t="s">
        <v>367</v>
      </c>
      <c r="P57" s="123" t="e">
        <f t="shared" si="0"/>
        <v>#N/A</v>
      </c>
      <c r="Q57" s="119" t="str">
        <f>VLOOKUP($B57,'Component List'!$A$2:$B$30,2,FALSE)</f>
        <v>HD3</v>
      </c>
      <c r="R57" s="77" t="e">
        <f>VLOOKUP($C57,'Component List'!C$2:D$28,2,FALSE)</f>
        <v>#N/A</v>
      </c>
      <c r="S57" s="77" t="str">
        <f>VLOOKUP($D57,'Component List'!E$2:F$30,2,FALSE)</f>
        <v>D</v>
      </c>
      <c r="T57" s="77">
        <f>VLOOKUP($E57,'Component List'!G$2:H$30,2,FALSE)</f>
        <v>101</v>
      </c>
      <c r="U57" s="77">
        <f>VLOOKUP($F57,'Component List'!I$2:J$30,2,FALSE)</f>
        <v>104</v>
      </c>
      <c r="V57" s="77">
        <f>VLOOKUP(G57,'Component List'!K$2:L$30,2,FALSE)</f>
        <v>101</v>
      </c>
      <c r="W57" s="77">
        <f>VLOOKUP(H57,'Component List'!M$2:N$31,2,FALSE)</f>
        <v>100</v>
      </c>
      <c r="X57" s="77">
        <f>VLOOKUP(I57,'Component List'!O$2:P$30,2,FALSE)</f>
        <v>100</v>
      </c>
      <c r="Y57" s="77" t="str">
        <f>VLOOKUP(J57,'Component List'!Q$2:R$30,2,FALSE)</f>
        <v>000</v>
      </c>
      <c r="Z57" s="77" t="e">
        <f>VLOOKUP(K57,'Component List'!S$2:T$30,2,FALSE)</f>
        <v>#N/A</v>
      </c>
      <c r="AA57" s="77" t="e">
        <f>VLOOKUP(L57,'Component List'!U$2:V$30,2,FALSE)</f>
        <v>#N/A</v>
      </c>
      <c r="AB57" s="77">
        <f>VLOOKUP(M57,'Component List'!AA$2:AB$30,2,FALSE)</f>
        <v>2</v>
      </c>
      <c r="AC57" s="77" t="str">
        <f>VLOOKUP(N57,'Component List'!Y$2:Z$30,2,FALSE)</f>
        <v>P</v>
      </c>
      <c r="AD57" s="159" t="e">
        <f>VLOOKUP(O57,'Component List'!W$3:X$30,2,FALSE)</f>
        <v>#N/A</v>
      </c>
      <c r="AG57" s="93"/>
    </row>
    <row r="58" spans="1:33" ht="30" customHeight="1" x14ac:dyDescent="0.3">
      <c r="A58" s="239"/>
      <c r="B58" s="101" t="s">
        <v>135</v>
      </c>
      <c r="C58" s="80" t="s">
        <v>178</v>
      </c>
      <c r="D58" s="80" t="s">
        <v>136</v>
      </c>
      <c r="E58" s="81" t="s">
        <v>182</v>
      </c>
      <c r="F58" s="80" t="s">
        <v>47</v>
      </c>
      <c r="G58" s="80" t="s">
        <v>183</v>
      </c>
      <c r="H58" s="80" t="s">
        <v>138</v>
      </c>
      <c r="I58" s="104" t="s">
        <v>198</v>
      </c>
      <c r="J58" s="117" t="s">
        <v>143</v>
      </c>
      <c r="K58" s="135" t="s">
        <v>366</v>
      </c>
      <c r="L58" s="135" t="s">
        <v>366</v>
      </c>
      <c r="M58" s="101">
        <v>2</v>
      </c>
      <c r="N58" s="82" t="s">
        <v>187</v>
      </c>
      <c r="O58" s="117" t="s">
        <v>367</v>
      </c>
      <c r="P58" s="123" t="e">
        <f t="shared" si="0"/>
        <v>#N/A</v>
      </c>
      <c r="Q58" s="119" t="str">
        <f>VLOOKUP($B58,'Component List'!$A$2:$B$30,2,FALSE)</f>
        <v>HD3</v>
      </c>
      <c r="R58" s="77" t="e">
        <f>VLOOKUP($C58,'Component List'!C$2:D$28,2,FALSE)</f>
        <v>#N/A</v>
      </c>
      <c r="S58" s="77" t="str">
        <f>VLOOKUP($D58,'Component List'!E$2:F$30,2,FALSE)</f>
        <v>D</v>
      </c>
      <c r="T58" s="77">
        <f>VLOOKUP($E58,'Component List'!G$2:H$30,2,FALSE)</f>
        <v>101</v>
      </c>
      <c r="U58" s="77">
        <f>VLOOKUP($F58,'Component List'!I$2:J$30,2,FALSE)</f>
        <v>104</v>
      </c>
      <c r="V58" s="77">
        <f>VLOOKUP(G58,'Component List'!K$2:L$30,2,FALSE)</f>
        <v>101</v>
      </c>
      <c r="W58" s="77">
        <f>VLOOKUP(H58,'Component List'!M$2:N$31,2,FALSE)</f>
        <v>100</v>
      </c>
      <c r="X58" s="77">
        <f>VLOOKUP(I58,'Component List'!O$2:P$30,2,FALSE)</f>
        <v>100</v>
      </c>
      <c r="Y58" s="77" t="str">
        <f>VLOOKUP(J58,'Component List'!Q$2:R$30,2,FALSE)</f>
        <v>000</v>
      </c>
      <c r="Z58" s="77" t="e">
        <f>VLOOKUP(K58,'Component List'!S$2:T$30,2,FALSE)</f>
        <v>#N/A</v>
      </c>
      <c r="AA58" s="77" t="e">
        <f>VLOOKUP(L58,'Component List'!U$2:V$30,2,FALSE)</f>
        <v>#N/A</v>
      </c>
      <c r="AB58" s="77">
        <f>VLOOKUP(M58,'Component List'!AA$2:AB$30,2,FALSE)</f>
        <v>2</v>
      </c>
      <c r="AC58" s="77" t="str">
        <f>VLOOKUP(N58,'Component List'!Y$2:Z$30,2,FALSE)</f>
        <v>C</v>
      </c>
      <c r="AD58" s="159" t="e">
        <f>VLOOKUP(O58,'Component List'!W$3:X$30,2,FALSE)</f>
        <v>#N/A</v>
      </c>
      <c r="AG58" s="93"/>
    </row>
    <row r="59" spans="1:33" ht="30" customHeight="1" x14ac:dyDescent="0.3">
      <c r="A59" s="239"/>
      <c r="B59" s="101" t="s">
        <v>135</v>
      </c>
      <c r="C59" s="80" t="s">
        <v>178</v>
      </c>
      <c r="D59" s="80" t="s">
        <v>136</v>
      </c>
      <c r="E59" s="81" t="s">
        <v>182</v>
      </c>
      <c r="F59" s="80" t="s">
        <v>47</v>
      </c>
      <c r="G59" s="80" t="s">
        <v>183</v>
      </c>
      <c r="H59" s="80" t="s">
        <v>138</v>
      </c>
      <c r="I59" s="104" t="s">
        <v>198</v>
      </c>
      <c r="J59" s="117" t="s">
        <v>143</v>
      </c>
      <c r="K59" s="135" t="s">
        <v>366</v>
      </c>
      <c r="L59" s="135" t="s">
        <v>366</v>
      </c>
      <c r="M59" s="101">
        <v>3</v>
      </c>
      <c r="N59" s="82" t="s">
        <v>175</v>
      </c>
      <c r="O59" s="117" t="s">
        <v>367</v>
      </c>
      <c r="P59" s="123" t="e">
        <f t="shared" si="0"/>
        <v>#N/A</v>
      </c>
      <c r="Q59" s="119" t="str">
        <f>VLOOKUP($B59,'Component List'!$A$2:$B$30,2,FALSE)</f>
        <v>HD3</v>
      </c>
      <c r="R59" s="77" t="e">
        <f>VLOOKUP($C59,'Component List'!C$2:D$28,2,FALSE)</f>
        <v>#N/A</v>
      </c>
      <c r="S59" s="77" t="str">
        <f>VLOOKUP($D59,'Component List'!E$2:F$30,2,FALSE)</f>
        <v>D</v>
      </c>
      <c r="T59" s="77">
        <f>VLOOKUP($E59,'Component List'!G$2:H$30,2,FALSE)</f>
        <v>101</v>
      </c>
      <c r="U59" s="77">
        <f>VLOOKUP($F59,'Component List'!I$2:J$30,2,FALSE)</f>
        <v>104</v>
      </c>
      <c r="V59" s="77">
        <f>VLOOKUP(G59,'Component List'!K$2:L$30,2,FALSE)</f>
        <v>101</v>
      </c>
      <c r="W59" s="77">
        <f>VLOOKUP(H59,'Component List'!M$2:N$31,2,FALSE)</f>
        <v>100</v>
      </c>
      <c r="X59" s="77">
        <f>VLOOKUP(I59,'Component List'!O$2:P$30,2,FALSE)</f>
        <v>100</v>
      </c>
      <c r="Y59" s="77" t="str">
        <f>VLOOKUP(J59,'Component List'!Q$2:R$30,2,FALSE)</f>
        <v>000</v>
      </c>
      <c r="Z59" s="77" t="e">
        <f>VLOOKUP(K59,'Component List'!S$2:T$30,2,FALSE)</f>
        <v>#N/A</v>
      </c>
      <c r="AA59" s="77" t="e">
        <f>VLOOKUP(L59,'Component List'!U$2:V$30,2,FALSE)</f>
        <v>#N/A</v>
      </c>
      <c r="AB59" s="77">
        <f>VLOOKUP(M59,'Component List'!AA$2:AB$30,2,FALSE)</f>
        <v>3</v>
      </c>
      <c r="AC59" s="77" t="str">
        <f>VLOOKUP(N59,'Component List'!Y$2:Z$30,2,FALSE)</f>
        <v>P</v>
      </c>
      <c r="AD59" s="159" t="e">
        <f>VLOOKUP(O59,'Component List'!W$3:X$30,2,FALSE)</f>
        <v>#N/A</v>
      </c>
      <c r="AG59" s="93"/>
    </row>
    <row r="60" spans="1:33" ht="30" customHeight="1" x14ac:dyDescent="0.3">
      <c r="A60" s="239"/>
      <c r="B60" s="101" t="s">
        <v>135</v>
      </c>
      <c r="C60" s="80" t="s">
        <v>178</v>
      </c>
      <c r="D60" s="80" t="s">
        <v>136</v>
      </c>
      <c r="E60" s="81" t="s">
        <v>182</v>
      </c>
      <c r="F60" s="80" t="s">
        <v>47</v>
      </c>
      <c r="G60" s="80" t="s">
        <v>183</v>
      </c>
      <c r="H60" s="80" t="s">
        <v>138</v>
      </c>
      <c r="I60" s="104" t="s">
        <v>198</v>
      </c>
      <c r="J60" s="117" t="s">
        <v>143</v>
      </c>
      <c r="K60" s="135" t="s">
        <v>366</v>
      </c>
      <c r="L60" s="135" t="s">
        <v>366</v>
      </c>
      <c r="M60" s="101">
        <v>3</v>
      </c>
      <c r="N60" s="82" t="s">
        <v>187</v>
      </c>
      <c r="O60" s="117" t="s">
        <v>367</v>
      </c>
      <c r="P60" s="123" t="e">
        <f t="shared" si="0"/>
        <v>#N/A</v>
      </c>
      <c r="Q60" s="119" t="str">
        <f>VLOOKUP($B60,'Component List'!$A$2:$B$30,2,FALSE)</f>
        <v>HD3</v>
      </c>
      <c r="R60" s="77" t="e">
        <f>VLOOKUP($C60,'Component List'!C$2:D$28,2,FALSE)</f>
        <v>#N/A</v>
      </c>
      <c r="S60" s="77" t="str">
        <f>VLOOKUP($D60,'Component List'!E$2:F$30,2,FALSE)</f>
        <v>D</v>
      </c>
      <c r="T60" s="77">
        <f>VLOOKUP($E60,'Component List'!G$2:H$30,2,FALSE)</f>
        <v>101</v>
      </c>
      <c r="U60" s="77">
        <f>VLOOKUP($F60,'Component List'!I$2:J$30,2,FALSE)</f>
        <v>104</v>
      </c>
      <c r="V60" s="77">
        <f>VLOOKUP(G60,'Component List'!K$2:L$30,2,FALSE)</f>
        <v>101</v>
      </c>
      <c r="W60" s="77">
        <f>VLOOKUP(H60,'Component List'!M$2:N$31,2,FALSE)</f>
        <v>100</v>
      </c>
      <c r="X60" s="77">
        <f>VLOOKUP(I60,'Component List'!O$2:P$30,2,FALSE)</f>
        <v>100</v>
      </c>
      <c r="Y60" s="77" t="str">
        <f>VLOOKUP(J60,'Component List'!Q$2:R$30,2,FALSE)</f>
        <v>000</v>
      </c>
      <c r="Z60" s="77" t="e">
        <f>VLOOKUP(K60,'Component List'!S$2:T$30,2,FALSE)</f>
        <v>#N/A</v>
      </c>
      <c r="AA60" s="77" t="e">
        <f>VLOOKUP(L60,'Component List'!U$2:V$30,2,FALSE)</f>
        <v>#N/A</v>
      </c>
      <c r="AB60" s="77">
        <f>VLOOKUP(M60,'Component List'!AA$2:AB$30,2,FALSE)</f>
        <v>3</v>
      </c>
      <c r="AC60" s="77" t="str">
        <f>VLOOKUP(N60,'Component List'!Y$2:Z$30,2,FALSE)</f>
        <v>C</v>
      </c>
      <c r="AD60" s="159" t="e">
        <f>VLOOKUP(O60,'Component List'!W$3:X$30,2,FALSE)</f>
        <v>#N/A</v>
      </c>
      <c r="AG60" s="93"/>
    </row>
    <row r="61" spans="1:33" ht="30" customHeight="1" x14ac:dyDescent="0.3">
      <c r="A61" s="239"/>
      <c r="B61" s="101" t="s">
        <v>166</v>
      </c>
      <c r="C61" s="82" t="s">
        <v>21</v>
      </c>
      <c r="D61" s="82" t="s">
        <v>136</v>
      </c>
      <c r="E61" s="102" t="s">
        <v>182</v>
      </c>
      <c r="F61" s="82" t="s">
        <v>207</v>
      </c>
      <c r="G61" s="82" t="s">
        <v>183</v>
      </c>
      <c r="H61" s="82" t="s">
        <v>184</v>
      </c>
      <c r="I61" s="110" t="s">
        <v>198</v>
      </c>
      <c r="J61" s="82" t="s">
        <v>219</v>
      </c>
      <c r="K61" s="135" t="s">
        <v>366</v>
      </c>
      <c r="L61" s="135" t="s">
        <v>366</v>
      </c>
      <c r="M61" s="82">
        <v>1</v>
      </c>
      <c r="N61" s="82" t="s">
        <v>175</v>
      </c>
      <c r="O61" s="110" t="s">
        <v>367</v>
      </c>
      <c r="P61" s="123" t="e">
        <f t="shared" si="0"/>
        <v>#N/A</v>
      </c>
      <c r="Q61" s="119" t="str">
        <f>VLOOKUP($B61,'Component List'!$A$2:$B$30,2,FALSE)</f>
        <v>HD2</v>
      </c>
      <c r="R61" s="77" t="str">
        <f>VLOOKUP($C61,'Component List'!C$2:D$28,2,FALSE)</f>
        <v>C00</v>
      </c>
      <c r="S61" s="77" t="str">
        <f>VLOOKUP($D61,'Component List'!E$2:F$30,2,FALSE)</f>
        <v>D</v>
      </c>
      <c r="T61" s="77">
        <f>VLOOKUP($E61,'Component List'!G$2:H$30,2,FALSE)</f>
        <v>101</v>
      </c>
      <c r="U61" s="77">
        <f>VLOOKUP($F61,'Component List'!I$2:J$30,2,FALSE)</f>
        <v>103</v>
      </c>
      <c r="V61" s="77">
        <f>VLOOKUP(G61,'Component List'!K$2:L$30,2,FALSE)</f>
        <v>101</v>
      </c>
      <c r="W61" s="77">
        <f>VLOOKUP(H61,'Component List'!M$2:N$31,2,FALSE)</f>
        <v>101</v>
      </c>
      <c r="X61" s="77">
        <f>VLOOKUP(I61,'Component List'!O$2:P$30,2,FALSE)</f>
        <v>100</v>
      </c>
      <c r="Y61" s="77">
        <f>VLOOKUP(J61,'Component List'!Q$2:R$30,2,FALSE)</f>
        <v>101</v>
      </c>
      <c r="Z61" s="77" t="e">
        <f>VLOOKUP(K61,'Component List'!S$2:T$30,2,FALSE)</f>
        <v>#N/A</v>
      </c>
      <c r="AA61" s="77" t="e">
        <f>VLOOKUP(L61,'Component List'!U$2:V$30,2,FALSE)</f>
        <v>#N/A</v>
      </c>
      <c r="AB61" s="77">
        <f>VLOOKUP(M61,'Component List'!AA$2:AB$30,2,FALSE)</f>
        <v>1</v>
      </c>
      <c r="AC61" s="77" t="str">
        <f>VLOOKUP(N61,'Component List'!Y$2:Z$30,2,FALSE)</f>
        <v>P</v>
      </c>
      <c r="AD61" s="159" t="e">
        <f>VLOOKUP(O61,'Component List'!W$3:X$30,2,FALSE)</f>
        <v>#N/A</v>
      </c>
      <c r="AG61" s="93"/>
    </row>
    <row r="62" spans="1:33" ht="30" customHeight="1" x14ac:dyDescent="0.3">
      <c r="A62" s="239"/>
      <c r="B62" s="101" t="s">
        <v>166</v>
      </c>
      <c r="C62" s="82" t="s">
        <v>21</v>
      </c>
      <c r="D62" s="82" t="s">
        <v>136</v>
      </c>
      <c r="E62" s="102" t="s">
        <v>182</v>
      </c>
      <c r="F62" s="82" t="s">
        <v>207</v>
      </c>
      <c r="G62" s="82" t="s">
        <v>183</v>
      </c>
      <c r="H62" s="82" t="s">
        <v>184</v>
      </c>
      <c r="I62" s="110" t="s">
        <v>198</v>
      </c>
      <c r="J62" s="82" t="s">
        <v>219</v>
      </c>
      <c r="K62" s="135" t="s">
        <v>366</v>
      </c>
      <c r="L62" s="135" t="s">
        <v>366</v>
      </c>
      <c r="M62" s="82">
        <v>1</v>
      </c>
      <c r="N62" s="82" t="s">
        <v>187</v>
      </c>
      <c r="O62" s="110" t="s">
        <v>367</v>
      </c>
      <c r="P62" s="123" t="e">
        <f t="shared" si="0"/>
        <v>#N/A</v>
      </c>
      <c r="Q62" s="119" t="str">
        <f>VLOOKUP($B62,'Component List'!$A$2:$B$30,2,FALSE)</f>
        <v>HD2</v>
      </c>
      <c r="R62" s="77" t="str">
        <f>VLOOKUP($C62,'Component List'!C$2:D$28,2,FALSE)</f>
        <v>C00</v>
      </c>
      <c r="S62" s="77" t="str">
        <f>VLOOKUP($D62,'Component List'!E$2:F$30,2,FALSE)</f>
        <v>D</v>
      </c>
      <c r="T62" s="77">
        <f>VLOOKUP($E62,'Component List'!G$2:H$30,2,FALSE)</f>
        <v>101</v>
      </c>
      <c r="U62" s="77">
        <f>VLOOKUP($F62,'Component List'!I$2:J$30,2,FALSE)</f>
        <v>103</v>
      </c>
      <c r="V62" s="77">
        <f>VLOOKUP(G62,'Component List'!K$2:L$30,2,FALSE)</f>
        <v>101</v>
      </c>
      <c r="W62" s="77">
        <f>VLOOKUP(H62,'Component List'!M$2:N$31,2,FALSE)</f>
        <v>101</v>
      </c>
      <c r="X62" s="77">
        <f>VLOOKUP(I62,'Component List'!O$2:P$30,2,FALSE)</f>
        <v>100</v>
      </c>
      <c r="Y62" s="77">
        <f>VLOOKUP(J62,'Component List'!Q$2:R$30,2,FALSE)</f>
        <v>101</v>
      </c>
      <c r="Z62" s="77" t="e">
        <f>VLOOKUP(K62,'Component List'!S$2:T$30,2,FALSE)</f>
        <v>#N/A</v>
      </c>
      <c r="AA62" s="77" t="e">
        <f>VLOOKUP(L62,'Component List'!U$2:V$30,2,FALSE)</f>
        <v>#N/A</v>
      </c>
      <c r="AB62" s="77">
        <f>VLOOKUP(M62,'Component List'!AA$2:AB$30,2,FALSE)</f>
        <v>1</v>
      </c>
      <c r="AC62" s="77" t="str">
        <f>VLOOKUP(N62,'Component List'!Y$2:Z$30,2,FALSE)</f>
        <v>C</v>
      </c>
      <c r="AD62" s="159" t="e">
        <f>VLOOKUP(O62,'Component List'!W$3:X$30,2,FALSE)</f>
        <v>#N/A</v>
      </c>
      <c r="AG62" s="93"/>
    </row>
    <row r="63" spans="1:33" ht="30" customHeight="1" x14ac:dyDescent="0.3">
      <c r="A63" s="239"/>
      <c r="B63" s="101" t="s">
        <v>166</v>
      </c>
      <c r="C63" s="82" t="s">
        <v>21</v>
      </c>
      <c r="D63" s="82" t="s">
        <v>136</v>
      </c>
      <c r="E63" s="102" t="s">
        <v>182</v>
      </c>
      <c r="F63" s="82" t="s">
        <v>207</v>
      </c>
      <c r="G63" s="82" t="s">
        <v>183</v>
      </c>
      <c r="H63" s="82" t="s">
        <v>184</v>
      </c>
      <c r="I63" s="110" t="s">
        <v>198</v>
      </c>
      <c r="J63" s="82" t="s">
        <v>219</v>
      </c>
      <c r="K63" s="135" t="s">
        <v>366</v>
      </c>
      <c r="L63" s="135" t="s">
        <v>366</v>
      </c>
      <c r="M63" s="82">
        <v>2</v>
      </c>
      <c r="N63" s="82" t="s">
        <v>175</v>
      </c>
      <c r="O63" s="110" t="s">
        <v>367</v>
      </c>
      <c r="P63" s="123" t="e">
        <f t="shared" si="0"/>
        <v>#N/A</v>
      </c>
      <c r="Q63" s="119" t="str">
        <f>VLOOKUP($B63,'Component List'!$A$2:$B$30,2,FALSE)</f>
        <v>HD2</v>
      </c>
      <c r="R63" s="77" t="str">
        <f>VLOOKUP($C63,'Component List'!C$2:D$28,2,FALSE)</f>
        <v>C00</v>
      </c>
      <c r="S63" s="77" t="str">
        <f>VLOOKUP($D63,'Component List'!E$2:F$30,2,FALSE)</f>
        <v>D</v>
      </c>
      <c r="T63" s="77">
        <f>VLOOKUP($E63,'Component List'!G$2:H$30,2,FALSE)</f>
        <v>101</v>
      </c>
      <c r="U63" s="77">
        <f>VLOOKUP($F63,'Component List'!I$2:J$30,2,FALSE)</f>
        <v>103</v>
      </c>
      <c r="V63" s="77">
        <f>VLOOKUP(G63,'Component List'!K$2:L$30,2,FALSE)</f>
        <v>101</v>
      </c>
      <c r="W63" s="77">
        <f>VLOOKUP(H63,'Component List'!M$2:N$31,2,FALSE)</f>
        <v>101</v>
      </c>
      <c r="X63" s="77">
        <f>VLOOKUP(I63,'Component List'!O$2:P$30,2,FALSE)</f>
        <v>100</v>
      </c>
      <c r="Y63" s="77">
        <f>VLOOKUP(J63,'Component List'!Q$2:R$30,2,FALSE)</f>
        <v>101</v>
      </c>
      <c r="Z63" s="77" t="e">
        <f>VLOOKUP(K63,'Component List'!S$2:T$30,2,FALSE)</f>
        <v>#N/A</v>
      </c>
      <c r="AA63" s="77" t="e">
        <f>VLOOKUP(L63,'Component List'!U$2:V$30,2,FALSE)</f>
        <v>#N/A</v>
      </c>
      <c r="AB63" s="77">
        <f>VLOOKUP(M63,'Component List'!AA$2:AB$30,2,FALSE)</f>
        <v>2</v>
      </c>
      <c r="AC63" s="77" t="str">
        <f>VLOOKUP(N63,'Component List'!Y$2:Z$30,2,FALSE)</f>
        <v>P</v>
      </c>
      <c r="AD63" s="159" t="e">
        <f>VLOOKUP(O63,'Component List'!W$3:X$30,2,FALSE)</f>
        <v>#N/A</v>
      </c>
      <c r="AG63" s="93"/>
    </row>
    <row r="64" spans="1:33" ht="30" customHeight="1" x14ac:dyDescent="0.3">
      <c r="A64" s="239"/>
      <c r="B64" s="101" t="s">
        <v>166</v>
      </c>
      <c r="C64" s="82" t="s">
        <v>21</v>
      </c>
      <c r="D64" s="82" t="s">
        <v>136</v>
      </c>
      <c r="E64" s="102" t="s">
        <v>182</v>
      </c>
      <c r="F64" s="82" t="s">
        <v>207</v>
      </c>
      <c r="G64" s="82" t="s">
        <v>183</v>
      </c>
      <c r="H64" s="82" t="s">
        <v>184</v>
      </c>
      <c r="I64" s="110" t="s">
        <v>198</v>
      </c>
      <c r="J64" s="82" t="s">
        <v>219</v>
      </c>
      <c r="K64" s="135" t="s">
        <v>366</v>
      </c>
      <c r="L64" s="135" t="s">
        <v>366</v>
      </c>
      <c r="M64" s="82">
        <v>2</v>
      </c>
      <c r="N64" s="82" t="s">
        <v>187</v>
      </c>
      <c r="O64" s="110" t="s">
        <v>367</v>
      </c>
      <c r="P64" s="123" t="e">
        <f t="shared" si="0"/>
        <v>#N/A</v>
      </c>
      <c r="Q64" s="119" t="str">
        <f>VLOOKUP($B64,'Component List'!$A$2:$B$30,2,FALSE)</f>
        <v>HD2</v>
      </c>
      <c r="R64" s="77" t="str">
        <f>VLOOKUP($C64,'Component List'!C$2:D$28,2,FALSE)</f>
        <v>C00</v>
      </c>
      <c r="S64" s="77" t="str">
        <f>VLOOKUP($D64,'Component List'!E$2:F$30,2,FALSE)</f>
        <v>D</v>
      </c>
      <c r="T64" s="77">
        <f>VLOOKUP($E64,'Component List'!G$2:H$30,2,FALSE)</f>
        <v>101</v>
      </c>
      <c r="U64" s="77">
        <f>VLOOKUP($F64,'Component List'!I$2:J$30,2,FALSE)</f>
        <v>103</v>
      </c>
      <c r="V64" s="77">
        <f>VLOOKUP(G64,'Component List'!K$2:L$30,2,FALSE)</f>
        <v>101</v>
      </c>
      <c r="W64" s="77">
        <f>VLOOKUP(H64,'Component List'!M$2:N$31,2,FALSE)</f>
        <v>101</v>
      </c>
      <c r="X64" s="77">
        <f>VLOOKUP(I64,'Component List'!O$2:P$30,2,FALSE)</f>
        <v>100</v>
      </c>
      <c r="Y64" s="77">
        <f>VLOOKUP(J64,'Component List'!Q$2:R$30,2,FALSE)</f>
        <v>101</v>
      </c>
      <c r="Z64" s="77" t="e">
        <f>VLOOKUP(K64,'Component List'!S$2:T$30,2,FALSE)</f>
        <v>#N/A</v>
      </c>
      <c r="AA64" s="77" t="e">
        <f>VLOOKUP(L64,'Component List'!U$2:V$30,2,FALSE)</f>
        <v>#N/A</v>
      </c>
      <c r="AB64" s="77">
        <f>VLOOKUP(M64,'Component List'!AA$2:AB$30,2,FALSE)</f>
        <v>2</v>
      </c>
      <c r="AC64" s="77" t="str">
        <f>VLOOKUP(N64,'Component List'!Y$2:Z$30,2,FALSE)</f>
        <v>C</v>
      </c>
      <c r="AD64" s="159" t="e">
        <f>VLOOKUP(O64,'Component List'!W$3:X$30,2,FALSE)</f>
        <v>#N/A</v>
      </c>
      <c r="AG64" s="93"/>
    </row>
    <row r="65" spans="1:33" ht="30" customHeight="1" x14ac:dyDescent="0.3">
      <c r="A65" s="239"/>
      <c r="B65" s="101" t="s">
        <v>166</v>
      </c>
      <c r="C65" s="82" t="s">
        <v>21</v>
      </c>
      <c r="D65" s="82" t="s">
        <v>136</v>
      </c>
      <c r="E65" s="102" t="s">
        <v>182</v>
      </c>
      <c r="F65" s="82" t="s">
        <v>207</v>
      </c>
      <c r="G65" s="82" t="s">
        <v>183</v>
      </c>
      <c r="H65" s="82" t="s">
        <v>184</v>
      </c>
      <c r="I65" s="110" t="s">
        <v>198</v>
      </c>
      <c r="J65" s="82" t="s">
        <v>219</v>
      </c>
      <c r="K65" s="135" t="s">
        <v>366</v>
      </c>
      <c r="L65" s="135" t="s">
        <v>366</v>
      </c>
      <c r="M65" s="82">
        <v>3</v>
      </c>
      <c r="N65" s="82" t="s">
        <v>175</v>
      </c>
      <c r="O65" s="110" t="s">
        <v>367</v>
      </c>
      <c r="P65" s="123" t="e">
        <f t="shared" si="0"/>
        <v>#N/A</v>
      </c>
      <c r="Q65" s="119" t="str">
        <f>VLOOKUP($B65,'Component List'!$A$2:$B$30,2,FALSE)</f>
        <v>HD2</v>
      </c>
      <c r="R65" s="77" t="str">
        <f>VLOOKUP($C65,'Component List'!C$2:D$28,2,FALSE)</f>
        <v>C00</v>
      </c>
      <c r="S65" s="77" t="str">
        <f>VLOOKUP($D65,'Component List'!E$2:F$30,2,FALSE)</f>
        <v>D</v>
      </c>
      <c r="T65" s="77">
        <f>VLOOKUP($E65,'Component List'!G$2:H$30,2,FALSE)</f>
        <v>101</v>
      </c>
      <c r="U65" s="77">
        <f>VLOOKUP($F65,'Component List'!I$2:J$30,2,FALSE)</f>
        <v>103</v>
      </c>
      <c r="V65" s="77">
        <f>VLOOKUP(G65,'Component List'!K$2:L$30,2,FALSE)</f>
        <v>101</v>
      </c>
      <c r="W65" s="77">
        <f>VLOOKUP(H65,'Component List'!M$2:N$31,2,FALSE)</f>
        <v>101</v>
      </c>
      <c r="X65" s="77">
        <f>VLOOKUP(I65,'Component List'!O$2:P$30,2,FALSE)</f>
        <v>100</v>
      </c>
      <c r="Y65" s="77">
        <f>VLOOKUP(J65,'Component List'!Q$2:R$30,2,FALSE)</f>
        <v>101</v>
      </c>
      <c r="Z65" s="77" t="e">
        <f>VLOOKUP(K65,'Component List'!S$2:T$30,2,FALSE)</f>
        <v>#N/A</v>
      </c>
      <c r="AA65" s="77" t="e">
        <f>VLOOKUP(L65,'Component List'!U$2:V$30,2,FALSE)</f>
        <v>#N/A</v>
      </c>
      <c r="AB65" s="77">
        <f>VLOOKUP(M65,'Component List'!AA$2:AB$30,2,FALSE)</f>
        <v>3</v>
      </c>
      <c r="AC65" s="77" t="str">
        <f>VLOOKUP(N65,'Component List'!Y$2:Z$30,2,FALSE)</f>
        <v>P</v>
      </c>
      <c r="AD65" s="159" t="e">
        <f>VLOOKUP(O65,'Component List'!W$3:X$30,2,FALSE)</f>
        <v>#N/A</v>
      </c>
      <c r="AG65" s="93"/>
    </row>
    <row r="66" spans="1:33" ht="30" customHeight="1" x14ac:dyDescent="0.3">
      <c r="A66" s="239"/>
      <c r="B66" s="101" t="s">
        <v>166</v>
      </c>
      <c r="C66" s="82" t="s">
        <v>21</v>
      </c>
      <c r="D66" s="80" t="s">
        <v>136</v>
      </c>
      <c r="E66" s="81" t="s">
        <v>182</v>
      </c>
      <c r="F66" s="82" t="s">
        <v>207</v>
      </c>
      <c r="G66" s="80" t="s">
        <v>183</v>
      </c>
      <c r="H66" s="80" t="s">
        <v>184</v>
      </c>
      <c r="I66" s="104" t="s">
        <v>198</v>
      </c>
      <c r="J66" s="85" t="s">
        <v>219</v>
      </c>
      <c r="K66" s="135" t="s">
        <v>366</v>
      </c>
      <c r="L66" s="135" t="s">
        <v>366</v>
      </c>
      <c r="M66" s="107">
        <v>3</v>
      </c>
      <c r="N66" s="82" t="s">
        <v>187</v>
      </c>
      <c r="O66" s="117" t="s">
        <v>367</v>
      </c>
      <c r="P66" s="123" t="e">
        <f t="shared" ref="P66:P107" si="1">Q66&amp;R66&amp;S66&amp;T66&amp;U66&amp;V66&amp;W66&amp;X66&amp;Y66&amp;Z66&amp;AA66&amp;AD66&amp;AC66&amp;AB66</f>
        <v>#N/A</v>
      </c>
      <c r="Q66" s="119" t="str">
        <f>VLOOKUP($B66,'Component List'!$A$2:$B$30,2,FALSE)</f>
        <v>HD2</v>
      </c>
      <c r="R66" s="77" t="str">
        <f>VLOOKUP($C66,'Component List'!C$2:D$28,2,FALSE)</f>
        <v>C00</v>
      </c>
      <c r="S66" s="77" t="str">
        <f>VLOOKUP($D66,'Component List'!E$2:F$30,2,FALSE)</f>
        <v>D</v>
      </c>
      <c r="T66" s="77">
        <f>VLOOKUP($E66,'Component List'!G$2:H$30,2,FALSE)</f>
        <v>101</v>
      </c>
      <c r="U66" s="77">
        <f>VLOOKUP($F66,'Component List'!I$2:J$30,2,FALSE)</f>
        <v>103</v>
      </c>
      <c r="V66" s="77">
        <f>VLOOKUP(G66,'Component List'!K$2:L$30,2,FALSE)</f>
        <v>101</v>
      </c>
      <c r="W66" s="77">
        <f>VLOOKUP(H66,'Component List'!M$2:N$31,2,FALSE)</f>
        <v>101</v>
      </c>
      <c r="X66" s="77">
        <f>VLOOKUP(I66,'Component List'!O$2:P$30,2,FALSE)</f>
        <v>100</v>
      </c>
      <c r="Y66" s="77">
        <f>VLOOKUP(J66,'Component List'!Q$2:R$30,2,FALSE)</f>
        <v>101</v>
      </c>
      <c r="Z66" s="77" t="e">
        <f>VLOOKUP(K66,'Component List'!S$2:T$30,2,FALSE)</f>
        <v>#N/A</v>
      </c>
      <c r="AA66" s="77" t="e">
        <f>VLOOKUP(L66,'Component List'!U$2:V$30,2,FALSE)</f>
        <v>#N/A</v>
      </c>
      <c r="AB66" s="77">
        <f>VLOOKUP(M66,'Component List'!AA$2:AB$30,2,FALSE)</f>
        <v>3</v>
      </c>
      <c r="AC66" s="77" t="str">
        <f>VLOOKUP(N66,'Component List'!Y$2:Z$30,2,FALSE)</f>
        <v>C</v>
      </c>
      <c r="AD66" s="159" t="e">
        <f>VLOOKUP(O66,'Component List'!W$3:X$30,2,FALSE)</f>
        <v>#N/A</v>
      </c>
      <c r="AG66" s="93"/>
    </row>
    <row r="67" spans="1:33" ht="30" customHeight="1" x14ac:dyDescent="0.3">
      <c r="A67" s="239"/>
      <c r="B67" s="101" t="s">
        <v>166</v>
      </c>
      <c r="C67" s="82" t="s">
        <v>21</v>
      </c>
      <c r="D67" s="80" t="s">
        <v>136</v>
      </c>
      <c r="E67" s="81" t="s">
        <v>137</v>
      </c>
      <c r="F67" s="82" t="s">
        <v>39</v>
      </c>
      <c r="G67" s="80" t="s">
        <v>183</v>
      </c>
      <c r="H67" s="80" t="s">
        <v>138</v>
      </c>
      <c r="I67" s="104" t="s">
        <v>198</v>
      </c>
      <c r="J67" s="117" t="s">
        <v>143</v>
      </c>
      <c r="K67" s="135" t="s">
        <v>366</v>
      </c>
      <c r="L67" s="135" t="s">
        <v>366</v>
      </c>
      <c r="M67" s="82">
        <v>1</v>
      </c>
      <c r="N67" s="82" t="s">
        <v>175</v>
      </c>
      <c r="O67" s="117" t="s">
        <v>367</v>
      </c>
      <c r="P67" s="123" t="e">
        <f t="shared" si="1"/>
        <v>#N/A</v>
      </c>
      <c r="Q67" s="119" t="str">
        <f>VLOOKUP($B67,'Component List'!$A$2:$B$30,2,FALSE)</f>
        <v>HD2</v>
      </c>
      <c r="R67" s="77" t="str">
        <f>VLOOKUP($C67,'Component List'!C$2:D$28,2,FALSE)</f>
        <v>C00</v>
      </c>
      <c r="S67" s="77" t="str">
        <f>VLOOKUP($D67,'Component List'!E$2:F$30,2,FALSE)</f>
        <v>D</v>
      </c>
      <c r="T67" s="77">
        <f>VLOOKUP($E67,'Component List'!G$2:H$30,2,FALSE)</f>
        <v>102</v>
      </c>
      <c r="U67" s="77">
        <f>VLOOKUP($F67,'Component List'!I$2:J$30,2,FALSE)</f>
        <v>105</v>
      </c>
      <c r="V67" s="77">
        <f>VLOOKUP(G67,'Component List'!K$2:L$30,2,FALSE)</f>
        <v>101</v>
      </c>
      <c r="W67" s="77">
        <f>VLOOKUP(H67,'Component List'!M$2:N$31,2,FALSE)</f>
        <v>100</v>
      </c>
      <c r="X67" s="77">
        <f>VLOOKUP(I67,'Component List'!O$2:P$30,2,FALSE)</f>
        <v>100</v>
      </c>
      <c r="Y67" s="77" t="str">
        <f>VLOOKUP(J67,'Component List'!Q$2:R$30,2,FALSE)</f>
        <v>000</v>
      </c>
      <c r="Z67" s="77" t="e">
        <f>VLOOKUP(K67,'Component List'!S$2:T$30,2,FALSE)</f>
        <v>#N/A</v>
      </c>
      <c r="AA67" s="77" t="e">
        <f>VLOOKUP(L67,'Component List'!U$2:V$30,2,FALSE)</f>
        <v>#N/A</v>
      </c>
      <c r="AB67" s="77">
        <f>VLOOKUP(M67,'Component List'!AA$2:AB$30,2,FALSE)</f>
        <v>1</v>
      </c>
      <c r="AC67" s="77" t="str">
        <f>VLOOKUP(N67,'Component List'!Y$2:Z$30,2,FALSE)</f>
        <v>P</v>
      </c>
      <c r="AD67" s="159" t="e">
        <f>VLOOKUP(O67,'Component List'!W$3:X$30,2,FALSE)</f>
        <v>#N/A</v>
      </c>
      <c r="AG67" s="93"/>
    </row>
    <row r="68" spans="1:33" ht="30" customHeight="1" x14ac:dyDescent="0.3">
      <c r="A68" s="239"/>
      <c r="B68" s="101" t="s">
        <v>166</v>
      </c>
      <c r="C68" s="82" t="s">
        <v>21</v>
      </c>
      <c r="D68" s="80" t="s">
        <v>136</v>
      </c>
      <c r="E68" s="81" t="s">
        <v>137</v>
      </c>
      <c r="F68" s="80" t="s">
        <v>39</v>
      </c>
      <c r="G68" s="80" t="s">
        <v>183</v>
      </c>
      <c r="H68" s="80" t="s">
        <v>138</v>
      </c>
      <c r="I68" s="104" t="s">
        <v>198</v>
      </c>
      <c r="J68" s="117" t="s">
        <v>143</v>
      </c>
      <c r="K68" s="135" t="s">
        <v>366</v>
      </c>
      <c r="L68" s="135" t="s">
        <v>366</v>
      </c>
      <c r="M68" s="82">
        <v>1</v>
      </c>
      <c r="N68" s="82" t="s">
        <v>187</v>
      </c>
      <c r="O68" s="117" t="s">
        <v>367</v>
      </c>
      <c r="P68" s="123" t="e">
        <f t="shared" si="1"/>
        <v>#N/A</v>
      </c>
      <c r="Q68" s="119" t="str">
        <f>VLOOKUP($B68,'Component List'!$A$2:$B$30,2,FALSE)</f>
        <v>HD2</v>
      </c>
      <c r="R68" s="77" t="str">
        <f>VLOOKUP($C68,'Component List'!C$2:D$28,2,FALSE)</f>
        <v>C00</v>
      </c>
      <c r="S68" s="77" t="str">
        <f>VLOOKUP($D68,'Component List'!E$2:F$30,2,FALSE)</f>
        <v>D</v>
      </c>
      <c r="T68" s="77">
        <f>VLOOKUP($E68,'Component List'!G$2:H$30,2,FALSE)</f>
        <v>102</v>
      </c>
      <c r="U68" s="77">
        <f>VLOOKUP($F68,'Component List'!I$2:J$30,2,FALSE)</f>
        <v>105</v>
      </c>
      <c r="V68" s="77">
        <f>VLOOKUP(G68,'Component List'!K$2:L$30,2,FALSE)</f>
        <v>101</v>
      </c>
      <c r="W68" s="77">
        <f>VLOOKUP(H68,'Component List'!M$2:N$31,2,FALSE)</f>
        <v>100</v>
      </c>
      <c r="X68" s="77">
        <f>VLOOKUP(I68,'Component List'!O$2:P$30,2,FALSE)</f>
        <v>100</v>
      </c>
      <c r="Y68" s="77" t="str">
        <f>VLOOKUP(J68,'Component List'!Q$2:R$30,2,FALSE)</f>
        <v>000</v>
      </c>
      <c r="Z68" s="77" t="e">
        <f>VLOOKUP(K68,'Component List'!S$2:T$30,2,FALSE)</f>
        <v>#N/A</v>
      </c>
      <c r="AA68" s="77" t="e">
        <f>VLOOKUP(L68,'Component List'!U$2:V$30,2,FALSE)</f>
        <v>#N/A</v>
      </c>
      <c r="AB68" s="77">
        <f>VLOOKUP(M68,'Component List'!AA$2:AB$30,2,FALSE)</f>
        <v>1</v>
      </c>
      <c r="AC68" s="77" t="str">
        <f>VLOOKUP(N68,'Component List'!Y$2:Z$30,2,FALSE)</f>
        <v>C</v>
      </c>
      <c r="AD68" s="159" t="e">
        <f>VLOOKUP(O68,'Component List'!W$3:X$30,2,FALSE)</f>
        <v>#N/A</v>
      </c>
      <c r="AG68" s="93"/>
    </row>
    <row r="69" spans="1:33" ht="30" customHeight="1" x14ac:dyDescent="0.3">
      <c r="A69" s="239"/>
      <c r="B69" s="101" t="s">
        <v>166</v>
      </c>
      <c r="C69" s="82" t="s">
        <v>21</v>
      </c>
      <c r="D69" s="80" t="s">
        <v>136</v>
      </c>
      <c r="E69" s="81" t="s">
        <v>137</v>
      </c>
      <c r="F69" s="80" t="s">
        <v>39</v>
      </c>
      <c r="G69" s="80" t="s">
        <v>183</v>
      </c>
      <c r="H69" s="80" t="s">
        <v>138</v>
      </c>
      <c r="I69" s="104" t="s">
        <v>198</v>
      </c>
      <c r="J69" s="117" t="s">
        <v>143</v>
      </c>
      <c r="K69" s="135" t="s">
        <v>366</v>
      </c>
      <c r="L69" s="135" t="s">
        <v>366</v>
      </c>
      <c r="M69" s="82">
        <v>2</v>
      </c>
      <c r="N69" s="82" t="s">
        <v>175</v>
      </c>
      <c r="O69" s="117" t="s">
        <v>367</v>
      </c>
      <c r="P69" s="123" t="e">
        <f t="shared" si="1"/>
        <v>#N/A</v>
      </c>
      <c r="Q69" s="119" t="str">
        <f>VLOOKUP($B69,'Component List'!$A$2:$B$30,2,FALSE)</f>
        <v>HD2</v>
      </c>
      <c r="R69" s="77" t="str">
        <f>VLOOKUP($C69,'Component List'!C$2:D$28,2,FALSE)</f>
        <v>C00</v>
      </c>
      <c r="S69" s="77" t="str">
        <f>VLOOKUP($D69,'Component List'!E$2:F$30,2,FALSE)</f>
        <v>D</v>
      </c>
      <c r="T69" s="77">
        <f>VLOOKUP($E69,'Component List'!G$2:H$30,2,FALSE)</f>
        <v>102</v>
      </c>
      <c r="U69" s="77">
        <f>VLOOKUP($F69,'Component List'!I$2:J$30,2,FALSE)</f>
        <v>105</v>
      </c>
      <c r="V69" s="77">
        <f>VLOOKUP(G69,'Component List'!K$2:L$30,2,FALSE)</f>
        <v>101</v>
      </c>
      <c r="W69" s="77">
        <f>VLOOKUP(H69,'Component List'!M$2:N$31,2,FALSE)</f>
        <v>100</v>
      </c>
      <c r="X69" s="77">
        <f>VLOOKUP(I69,'Component List'!O$2:P$30,2,FALSE)</f>
        <v>100</v>
      </c>
      <c r="Y69" s="77" t="str">
        <f>VLOOKUP(J69,'Component List'!Q$2:R$30,2,FALSE)</f>
        <v>000</v>
      </c>
      <c r="Z69" s="77" t="e">
        <f>VLOOKUP(K69,'Component List'!S$2:T$30,2,FALSE)</f>
        <v>#N/A</v>
      </c>
      <c r="AA69" s="77" t="e">
        <f>VLOOKUP(L69,'Component List'!U$2:V$30,2,FALSE)</f>
        <v>#N/A</v>
      </c>
      <c r="AB69" s="77">
        <f>VLOOKUP(M69,'Component List'!AA$2:AB$30,2,FALSE)</f>
        <v>2</v>
      </c>
      <c r="AC69" s="77" t="str">
        <f>VLOOKUP(N69,'Component List'!Y$2:Z$30,2,FALSE)</f>
        <v>P</v>
      </c>
      <c r="AD69" s="159" t="e">
        <f>VLOOKUP(O69,'Component List'!W$3:X$30,2,FALSE)</f>
        <v>#N/A</v>
      </c>
      <c r="AG69" s="93"/>
    </row>
    <row r="70" spans="1:33" ht="30" customHeight="1" x14ac:dyDescent="0.3">
      <c r="A70" s="239"/>
      <c r="B70" s="101" t="s">
        <v>166</v>
      </c>
      <c r="C70" s="82" t="s">
        <v>21</v>
      </c>
      <c r="D70" s="80" t="s">
        <v>136</v>
      </c>
      <c r="E70" s="81" t="s">
        <v>137</v>
      </c>
      <c r="F70" s="80" t="s">
        <v>39</v>
      </c>
      <c r="G70" s="80" t="s">
        <v>183</v>
      </c>
      <c r="H70" s="80" t="s">
        <v>138</v>
      </c>
      <c r="I70" s="104" t="s">
        <v>198</v>
      </c>
      <c r="J70" s="117" t="s">
        <v>143</v>
      </c>
      <c r="K70" s="135" t="s">
        <v>366</v>
      </c>
      <c r="L70" s="135" t="s">
        <v>366</v>
      </c>
      <c r="M70" s="82">
        <v>2</v>
      </c>
      <c r="N70" s="82" t="s">
        <v>187</v>
      </c>
      <c r="O70" s="117" t="s">
        <v>367</v>
      </c>
      <c r="P70" s="123" t="e">
        <f t="shared" si="1"/>
        <v>#N/A</v>
      </c>
      <c r="Q70" s="119" t="str">
        <f>VLOOKUP($B70,'Component List'!$A$2:$B$30,2,FALSE)</f>
        <v>HD2</v>
      </c>
      <c r="R70" s="77" t="str">
        <f>VLOOKUP($C70,'Component List'!C$2:D$28,2,FALSE)</f>
        <v>C00</v>
      </c>
      <c r="S70" s="77" t="str">
        <f>VLOOKUP($D70,'Component List'!E$2:F$30,2,FALSE)</f>
        <v>D</v>
      </c>
      <c r="T70" s="77">
        <f>VLOOKUP($E70,'Component List'!G$2:H$30,2,FALSE)</f>
        <v>102</v>
      </c>
      <c r="U70" s="77">
        <f>VLOOKUP($F70,'Component List'!I$2:J$30,2,FALSE)</f>
        <v>105</v>
      </c>
      <c r="V70" s="77">
        <f>VLOOKUP(G70,'Component List'!K$2:L$30,2,FALSE)</f>
        <v>101</v>
      </c>
      <c r="W70" s="77">
        <f>VLOOKUP(H70,'Component List'!M$2:N$31,2,FALSE)</f>
        <v>100</v>
      </c>
      <c r="X70" s="77">
        <f>VLOOKUP(I70,'Component List'!O$2:P$30,2,FALSE)</f>
        <v>100</v>
      </c>
      <c r="Y70" s="77" t="str">
        <f>VLOOKUP(J70,'Component List'!Q$2:R$30,2,FALSE)</f>
        <v>000</v>
      </c>
      <c r="Z70" s="77" t="e">
        <f>VLOOKUP(K70,'Component List'!S$2:T$30,2,FALSE)</f>
        <v>#N/A</v>
      </c>
      <c r="AA70" s="77" t="e">
        <f>VLOOKUP(L70,'Component List'!U$2:V$30,2,FALSE)</f>
        <v>#N/A</v>
      </c>
      <c r="AB70" s="77">
        <f>VLOOKUP(M70,'Component List'!AA$2:AB$30,2,FALSE)</f>
        <v>2</v>
      </c>
      <c r="AC70" s="77" t="str">
        <f>VLOOKUP(N70,'Component List'!Y$2:Z$30,2,FALSE)</f>
        <v>C</v>
      </c>
      <c r="AD70" s="159" t="e">
        <f>VLOOKUP(O70,'Component List'!W$3:X$30,2,FALSE)</f>
        <v>#N/A</v>
      </c>
      <c r="AG70" s="93"/>
    </row>
    <row r="71" spans="1:33" ht="30" customHeight="1" x14ac:dyDescent="0.3">
      <c r="A71" s="239"/>
      <c r="B71" s="101" t="s">
        <v>166</v>
      </c>
      <c r="C71" s="82" t="s">
        <v>21</v>
      </c>
      <c r="D71" s="80" t="s">
        <v>136</v>
      </c>
      <c r="E71" s="81" t="s">
        <v>137</v>
      </c>
      <c r="F71" s="80" t="s">
        <v>39</v>
      </c>
      <c r="G71" s="80" t="s">
        <v>183</v>
      </c>
      <c r="H71" s="80" t="s">
        <v>138</v>
      </c>
      <c r="I71" s="104" t="s">
        <v>198</v>
      </c>
      <c r="J71" s="117" t="s">
        <v>143</v>
      </c>
      <c r="K71" s="135" t="s">
        <v>366</v>
      </c>
      <c r="L71" s="135" t="s">
        <v>366</v>
      </c>
      <c r="M71" s="101">
        <v>3</v>
      </c>
      <c r="N71" s="82" t="s">
        <v>175</v>
      </c>
      <c r="O71" s="117" t="s">
        <v>367</v>
      </c>
      <c r="P71" s="123" t="e">
        <f t="shared" si="1"/>
        <v>#N/A</v>
      </c>
      <c r="Q71" s="119" t="str">
        <f>VLOOKUP($B71,'Component List'!$A$2:$B$30,2,FALSE)</f>
        <v>HD2</v>
      </c>
      <c r="R71" s="77" t="str">
        <f>VLOOKUP($C71,'Component List'!C$2:D$28,2,FALSE)</f>
        <v>C00</v>
      </c>
      <c r="S71" s="77" t="str">
        <f>VLOOKUP($D71,'Component List'!E$2:F$30,2,FALSE)</f>
        <v>D</v>
      </c>
      <c r="T71" s="77">
        <f>VLOOKUP($E71,'Component List'!G$2:H$30,2,FALSE)</f>
        <v>102</v>
      </c>
      <c r="U71" s="77">
        <f>VLOOKUP($F71,'Component List'!I$2:J$30,2,FALSE)</f>
        <v>105</v>
      </c>
      <c r="V71" s="77">
        <f>VLOOKUP(G71,'Component List'!K$2:L$30,2,FALSE)</f>
        <v>101</v>
      </c>
      <c r="W71" s="77">
        <f>VLOOKUP(H71,'Component List'!M$2:N$31,2,FALSE)</f>
        <v>100</v>
      </c>
      <c r="X71" s="77">
        <f>VLOOKUP(I71,'Component List'!O$2:P$30,2,FALSE)</f>
        <v>100</v>
      </c>
      <c r="Y71" s="77" t="str">
        <f>VLOOKUP(J71,'Component List'!Q$2:R$30,2,FALSE)</f>
        <v>000</v>
      </c>
      <c r="Z71" s="77" t="e">
        <f>VLOOKUP(K71,'Component List'!S$2:T$30,2,FALSE)</f>
        <v>#N/A</v>
      </c>
      <c r="AA71" s="77" t="e">
        <f>VLOOKUP(L71,'Component List'!U$2:V$30,2,FALSE)</f>
        <v>#N/A</v>
      </c>
      <c r="AB71" s="77">
        <f>VLOOKUP(M71,'Component List'!AA$2:AB$30,2,FALSE)</f>
        <v>3</v>
      </c>
      <c r="AC71" s="77" t="str">
        <f>VLOOKUP(N71,'Component List'!Y$2:Z$30,2,FALSE)</f>
        <v>P</v>
      </c>
      <c r="AD71" s="159" t="e">
        <f>VLOOKUP(O71,'Component List'!W$3:X$30,2,FALSE)</f>
        <v>#N/A</v>
      </c>
      <c r="AG71" s="93"/>
    </row>
    <row r="72" spans="1:33" ht="30" customHeight="1" x14ac:dyDescent="0.3">
      <c r="A72" s="239"/>
      <c r="B72" s="101" t="s">
        <v>166</v>
      </c>
      <c r="C72" s="82" t="s">
        <v>21</v>
      </c>
      <c r="D72" s="80" t="s">
        <v>136</v>
      </c>
      <c r="E72" s="81" t="s">
        <v>137</v>
      </c>
      <c r="F72" s="80" t="s">
        <v>39</v>
      </c>
      <c r="G72" s="80" t="s">
        <v>183</v>
      </c>
      <c r="H72" s="80" t="s">
        <v>138</v>
      </c>
      <c r="I72" s="104" t="s">
        <v>198</v>
      </c>
      <c r="J72" s="117" t="s">
        <v>143</v>
      </c>
      <c r="K72" s="135" t="s">
        <v>366</v>
      </c>
      <c r="L72" s="135" t="s">
        <v>366</v>
      </c>
      <c r="M72" s="101">
        <v>3</v>
      </c>
      <c r="N72" s="82" t="s">
        <v>187</v>
      </c>
      <c r="O72" s="117" t="s">
        <v>367</v>
      </c>
      <c r="P72" s="123" t="e">
        <f t="shared" si="1"/>
        <v>#N/A</v>
      </c>
      <c r="Q72" s="119" t="str">
        <f>VLOOKUP($B72,'Component List'!$A$2:$B$30,2,FALSE)</f>
        <v>HD2</v>
      </c>
      <c r="R72" s="77" t="str">
        <f>VLOOKUP($C72,'Component List'!C$2:D$28,2,FALSE)</f>
        <v>C00</v>
      </c>
      <c r="S72" s="77" t="str">
        <f>VLOOKUP($D72,'Component List'!E$2:F$30,2,FALSE)</f>
        <v>D</v>
      </c>
      <c r="T72" s="77">
        <f>VLOOKUP($E72,'Component List'!G$2:H$30,2,FALSE)</f>
        <v>102</v>
      </c>
      <c r="U72" s="77">
        <f>VLOOKUP($F72,'Component List'!I$2:J$30,2,FALSE)</f>
        <v>105</v>
      </c>
      <c r="V72" s="77">
        <f>VLOOKUP(G72,'Component List'!K$2:L$30,2,FALSE)</f>
        <v>101</v>
      </c>
      <c r="W72" s="77">
        <f>VLOOKUP(H72,'Component List'!M$2:N$31,2,FALSE)</f>
        <v>100</v>
      </c>
      <c r="X72" s="77">
        <f>VLOOKUP(I72,'Component List'!O$2:P$30,2,FALSE)</f>
        <v>100</v>
      </c>
      <c r="Y72" s="77" t="str">
        <f>VLOOKUP(J72,'Component List'!Q$2:R$30,2,FALSE)</f>
        <v>000</v>
      </c>
      <c r="Z72" s="77" t="e">
        <f>VLOOKUP(K72,'Component List'!S$2:T$30,2,FALSE)</f>
        <v>#N/A</v>
      </c>
      <c r="AA72" s="77" t="e">
        <f>VLOOKUP(L72,'Component List'!U$2:V$30,2,FALSE)</f>
        <v>#N/A</v>
      </c>
      <c r="AB72" s="77">
        <f>VLOOKUP(M72,'Component List'!AA$2:AB$30,2,FALSE)</f>
        <v>3</v>
      </c>
      <c r="AC72" s="77" t="str">
        <f>VLOOKUP(N72,'Component List'!Y$2:Z$30,2,FALSE)</f>
        <v>C</v>
      </c>
      <c r="AD72" s="159" t="e">
        <f>VLOOKUP(O72,'Component List'!W$3:X$30,2,FALSE)</f>
        <v>#N/A</v>
      </c>
      <c r="AG72" s="93"/>
    </row>
    <row r="73" spans="1:33" ht="30" customHeight="1" x14ac:dyDescent="0.3">
      <c r="A73" s="239"/>
      <c r="B73" s="101" t="s">
        <v>166</v>
      </c>
      <c r="C73" s="82" t="s">
        <v>21</v>
      </c>
      <c r="D73" s="80" t="s">
        <v>136</v>
      </c>
      <c r="E73" s="81" t="s">
        <v>137</v>
      </c>
      <c r="F73" s="80" t="s">
        <v>45</v>
      </c>
      <c r="G73" s="80" t="s">
        <v>183</v>
      </c>
      <c r="H73" s="80" t="s">
        <v>208</v>
      </c>
      <c r="I73" s="104" t="s">
        <v>198</v>
      </c>
      <c r="J73" s="117" t="s">
        <v>143</v>
      </c>
      <c r="K73" s="135" t="s">
        <v>366</v>
      </c>
      <c r="L73" s="135" t="s">
        <v>366</v>
      </c>
      <c r="M73" s="82">
        <v>1</v>
      </c>
      <c r="N73" s="82" t="s">
        <v>187</v>
      </c>
      <c r="O73" s="117" t="s">
        <v>367</v>
      </c>
      <c r="P73" s="123" t="e">
        <f t="shared" si="1"/>
        <v>#N/A</v>
      </c>
      <c r="Q73" s="119" t="str">
        <f>VLOOKUP($B73,'Component List'!$A$2:$B$30,2,FALSE)</f>
        <v>HD2</v>
      </c>
      <c r="R73" s="77" t="str">
        <f>VLOOKUP($C73,'Component List'!C$2:D$28,2,FALSE)</f>
        <v>C00</v>
      </c>
      <c r="S73" s="77" t="str">
        <f>VLOOKUP($D73,'Component List'!E$2:F$30,2,FALSE)</f>
        <v>D</v>
      </c>
      <c r="T73" s="77">
        <f>VLOOKUP($E73,'Component List'!G$2:H$30,2,FALSE)</f>
        <v>102</v>
      </c>
      <c r="U73" s="77">
        <f>VLOOKUP($F73,'Component List'!I$2:J$30,2,FALSE)</f>
        <v>106</v>
      </c>
      <c r="V73" s="77">
        <f>VLOOKUP(G73,'Component List'!K$2:L$30,2,FALSE)</f>
        <v>101</v>
      </c>
      <c r="W73" s="77">
        <f>VLOOKUP(H73,'Component List'!M$2:N$31,2,FALSE)</f>
        <v>103</v>
      </c>
      <c r="X73" s="77">
        <f>VLOOKUP(I73,'Component List'!O$2:P$30,2,FALSE)</f>
        <v>100</v>
      </c>
      <c r="Y73" s="77" t="str">
        <f>VLOOKUP(J73,'Component List'!Q$2:R$30,2,FALSE)</f>
        <v>000</v>
      </c>
      <c r="Z73" s="77" t="e">
        <f>VLOOKUP(K73,'Component List'!S$2:T$30,2,FALSE)</f>
        <v>#N/A</v>
      </c>
      <c r="AA73" s="77" t="e">
        <f>VLOOKUP(L73,'Component List'!U$2:V$30,2,FALSE)</f>
        <v>#N/A</v>
      </c>
      <c r="AB73" s="77">
        <f>VLOOKUP(M73,'Component List'!AA$2:AB$30,2,FALSE)</f>
        <v>1</v>
      </c>
      <c r="AC73" s="77" t="str">
        <f>VLOOKUP(N73,'Component List'!Y$2:Z$30,2,FALSE)</f>
        <v>C</v>
      </c>
      <c r="AD73" s="159" t="e">
        <f>VLOOKUP(O73,'Component List'!W$3:X$30,2,FALSE)</f>
        <v>#N/A</v>
      </c>
      <c r="AG73" s="93"/>
    </row>
    <row r="74" spans="1:33" ht="30" customHeight="1" x14ac:dyDescent="0.3">
      <c r="A74" s="239"/>
      <c r="B74" s="101" t="s">
        <v>166</v>
      </c>
      <c r="C74" s="82" t="s">
        <v>21</v>
      </c>
      <c r="D74" s="80" t="s">
        <v>136</v>
      </c>
      <c r="E74" s="81" t="s">
        <v>137</v>
      </c>
      <c r="F74" s="80" t="s">
        <v>45</v>
      </c>
      <c r="G74" s="80" t="s">
        <v>183</v>
      </c>
      <c r="H74" s="80" t="s">
        <v>208</v>
      </c>
      <c r="I74" s="104" t="s">
        <v>198</v>
      </c>
      <c r="J74" s="117" t="s">
        <v>143</v>
      </c>
      <c r="K74" s="135" t="s">
        <v>366</v>
      </c>
      <c r="L74" s="135" t="s">
        <v>366</v>
      </c>
      <c r="M74" s="82">
        <v>2</v>
      </c>
      <c r="N74" s="82" t="s">
        <v>175</v>
      </c>
      <c r="O74" s="117" t="s">
        <v>367</v>
      </c>
      <c r="P74" s="123" t="e">
        <f t="shared" si="1"/>
        <v>#N/A</v>
      </c>
      <c r="Q74" s="119" t="str">
        <f>VLOOKUP($B74,'Component List'!$A$2:$B$30,2,FALSE)</f>
        <v>HD2</v>
      </c>
      <c r="R74" s="77" t="str">
        <f>VLOOKUP($C74,'Component List'!C$2:D$28,2,FALSE)</f>
        <v>C00</v>
      </c>
      <c r="S74" s="77" t="str">
        <f>VLOOKUP($D74,'Component List'!E$2:F$30,2,FALSE)</f>
        <v>D</v>
      </c>
      <c r="T74" s="77">
        <f>VLOOKUP($E74,'Component List'!G$2:H$30,2,FALSE)</f>
        <v>102</v>
      </c>
      <c r="U74" s="77">
        <f>VLOOKUP($F74,'Component List'!I$2:J$30,2,FALSE)</f>
        <v>106</v>
      </c>
      <c r="V74" s="77">
        <f>VLOOKUP(G74,'Component List'!K$2:L$30,2,FALSE)</f>
        <v>101</v>
      </c>
      <c r="W74" s="77">
        <f>VLOOKUP(H74,'Component List'!M$2:N$31,2,FALSE)</f>
        <v>103</v>
      </c>
      <c r="X74" s="77">
        <f>VLOOKUP(I74,'Component List'!O$2:P$30,2,FALSE)</f>
        <v>100</v>
      </c>
      <c r="Y74" s="77" t="str">
        <f>VLOOKUP(J74,'Component List'!Q$2:R$30,2,FALSE)</f>
        <v>000</v>
      </c>
      <c r="Z74" s="77" t="e">
        <f>VLOOKUP(K74,'Component List'!S$2:T$30,2,FALSE)</f>
        <v>#N/A</v>
      </c>
      <c r="AA74" s="77" t="e">
        <f>VLOOKUP(L74,'Component List'!U$2:V$30,2,FALSE)</f>
        <v>#N/A</v>
      </c>
      <c r="AB74" s="77">
        <f>VLOOKUP(M74,'Component List'!AA$2:AB$30,2,FALSE)</f>
        <v>2</v>
      </c>
      <c r="AC74" s="77" t="str">
        <f>VLOOKUP(N74,'Component List'!Y$2:Z$30,2,FALSE)</f>
        <v>P</v>
      </c>
      <c r="AD74" s="159" t="e">
        <f>VLOOKUP(O74,'Component List'!W$3:X$30,2,FALSE)</f>
        <v>#N/A</v>
      </c>
      <c r="AG74" s="93"/>
    </row>
    <row r="75" spans="1:33" ht="30" customHeight="1" x14ac:dyDescent="0.3">
      <c r="A75" s="239"/>
      <c r="B75" s="101" t="s">
        <v>166</v>
      </c>
      <c r="C75" s="82" t="s">
        <v>21</v>
      </c>
      <c r="D75" s="80" t="s">
        <v>136</v>
      </c>
      <c r="E75" s="81" t="s">
        <v>137</v>
      </c>
      <c r="F75" s="80" t="s">
        <v>45</v>
      </c>
      <c r="G75" s="80" t="s">
        <v>183</v>
      </c>
      <c r="H75" s="80" t="s">
        <v>208</v>
      </c>
      <c r="I75" s="104" t="s">
        <v>198</v>
      </c>
      <c r="J75" s="117" t="s">
        <v>143</v>
      </c>
      <c r="K75" s="135" t="s">
        <v>366</v>
      </c>
      <c r="L75" s="135" t="s">
        <v>366</v>
      </c>
      <c r="M75" s="82">
        <v>2</v>
      </c>
      <c r="N75" s="82" t="s">
        <v>187</v>
      </c>
      <c r="O75" s="117" t="s">
        <v>367</v>
      </c>
      <c r="P75" s="123" t="e">
        <f t="shared" si="1"/>
        <v>#N/A</v>
      </c>
      <c r="Q75" s="119" t="str">
        <f>VLOOKUP($B75,'Component List'!$A$2:$B$30,2,FALSE)</f>
        <v>HD2</v>
      </c>
      <c r="R75" s="77" t="str">
        <f>VLOOKUP($C75,'Component List'!C$2:D$28,2,FALSE)</f>
        <v>C00</v>
      </c>
      <c r="S75" s="77" t="str">
        <f>VLOOKUP($D75,'Component List'!E$2:F$30,2,FALSE)</f>
        <v>D</v>
      </c>
      <c r="T75" s="77">
        <f>VLOOKUP($E75,'Component List'!G$2:H$30,2,FALSE)</f>
        <v>102</v>
      </c>
      <c r="U75" s="77">
        <f>VLOOKUP($F75,'Component List'!I$2:J$30,2,FALSE)</f>
        <v>106</v>
      </c>
      <c r="V75" s="77">
        <f>VLOOKUP(G75,'Component List'!K$2:L$30,2,FALSE)</f>
        <v>101</v>
      </c>
      <c r="W75" s="77">
        <f>VLOOKUP(H75,'Component List'!M$2:N$31,2,FALSE)</f>
        <v>103</v>
      </c>
      <c r="X75" s="77">
        <f>VLOOKUP(I75,'Component List'!O$2:P$30,2,FALSE)</f>
        <v>100</v>
      </c>
      <c r="Y75" s="77" t="str">
        <f>VLOOKUP(J75,'Component List'!Q$2:R$30,2,FALSE)</f>
        <v>000</v>
      </c>
      <c r="Z75" s="77" t="e">
        <f>VLOOKUP(K75,'Component List'!S$2:T$30,2,FALSE)</f>
        <v>#N/A</v>
      </c>
      <c r="AA75" s="77" t="e">
        <f>VLOOKUP(L75,'Component List'!U$2:V$30,2,FALSE)</f>
        <v>#N/A</v>
      </c>
      <c r="AB75" s="77">
        <f>VLOOKUP(M75,'Component List'!AA$2:AB$30,2,FALSE)</f>
        <v>2</v>
      </c>
      <c r="AC75" s="77" t="str">
        <f>VLOOKUP(N75,'Component List'!Y$2:Z$30,2,FALSE)</f>
        <v>C</v>
      </c>
      <c r="AD75" s="159" t="e">
        <f>VLOOKUP(O75,'Component List'!W$3:X$30,2,FALSE)</f>
        <v>#N/A</v>
      </c>
      <c r="AG75" s="93"/>
    </row>
    <row r="76" spans="1:33" ht="30" customHeight="1" x14ac:dyDescent="0.3">
      <c r="A76" s="239"/>
      <c r="B76" s="101" t="s">
        <v>166</v>
      </c>
      <c r="C76" s="82" t="s">
        <v>21</v>
      </c>
      <c r="D76" s="80" t="s">
        <v>136</v>
      </c>
      <c r="E76" s="81" t="s">
        <v>137</v>
      </c>
      <c r="F76" s="80" t="s">
        <v>45</v>
      </c>
      <c r="G76" s="80" t="s">
        <v>183</v>
      </c>
      <c r="H76" s="80" t="s">
        <v>208</v>
      </c>
      <c r="I76" s="104" t="s">
        <v>198</v>
      </c>
      <c r="J76" s="117" t="s">
        <v>143</v>
      </c>
      <c r="K76" s="135" t="s">
        <v>366</v>
      </c>
      <c r="L76" s="135" t="s">
        <v>366</v>
      </c>
      <c r="M76" s="101">
        <v>3</v>
      </c>
      <c r="N76" s="82" t="s">
        <v>175</v>
      </c>
      <c r="O76" s="117" t="s">
        <v>367</v>
      </c>
      <c r="P76" s="123" t="e">
        <f t="shared" si="1"/>
        <v>#N/A</v>
      </c>
      <c r="Q76" s="119" t="str">
        <f>VLOOKUP($B76,'Component List'!$A$2:$B$30,2,FALSE)</f>
        <v>HD2</v>
      </c>
      <c r="R76" s="77" t="str">
        <f>VLOOKUP($C76,'Component List'!C$2:D$28,2,FALSE)</f>
        <v>C00</v>
      </c>
      <c r="S76" s="77" t="str">
        <f>VLOOKUP($D76,'Component List'!E$2:F$30,2,FALSE)</f>
        <v>D</v>
      </c>
      <c r="T76" s="77">
        <f>VLOOKUP($E76,'Component List'!G$2:H$30,2,FALSE)</f>
        <v>102</v>
      </c>
      <c r="U76" s="77">
        <f>VLOOKUP($F76,'Component List'!I$2:J$30,2,FALSE)</f>
        <v>106</v>
      </c>
      <c r="V76" s="77">
        <f>VLOOKUP(G76,'Component List'!K$2:L$30,2,FALSE)</f>
        <v>101</v>
      </c>
      <c r="W76" s="77">
        <f>VLOOKUP(H76,'Component List'!M$2:N$31,2,FALSE)</f>
        <v>103</v>
      </c>
      <c r="X76" s="77">
        <f>VLOOKUP(I76,'Component List'!O$2:P$30,2,FALSE)</f>
        <v>100</v>
      </c>
      <c r="Y76" s="77" t="str">
        <f>VLOOKUP(J76,'Component List'!Q$2:R$30,2,FALSE)</f>
        <v>000</v>
      </c>
      <c r="Z76" s="77" t="e">
        <f>VLOOKUP(K76,'Component List'!S$2:T$30,2,FALSE)</f>
        <v>#N/A</v>
      </c>
      <c r="AA76" s="77" t="e">
        <f>VLOOKUP(L76,'Component List'!U$2:V$30,2,FALSE)</f>
        <v>#N/A</v>
      </c>
      <c r="AB76" s="77">
        <f>VLOOKUP(M76,'Component List'!AA$2:AB$30,2,FALSE)</f>
        <v>3</v>
      </c>
      <c r="AC76" s="77" t="str">
        <f>VLOOKUP(N76,'Component List'!Y$2:Z$30,2,FALSE)</f>
        <v>P</v>
      </c>
      <c r="AD76" s="159" t="e">
        <f>VLOOKUP(O76,'Component List'!W$3:X$30,2,FALSE)</f>
        <v>#N/A</v>
      </c>
      <c r="AG76" s="93"/>
    </row>
    <row r="77" spans="1:33" ht="30" customHeight="1" x14ac:dyDescent="0.3">
      <c r="A77" s="239"/>
      <c r="B77" s="101" t="s">
        <v>166</v>
      </c>
      <c r="C77" s="82" t="s">
        <v>21</v>
      </c>
      <c r="D77" s="80" t="s">
        <v>136</v>
      </c>
      <c r="E77" s="81" t="s">
        <v>137</v>
      </c>
      <c r="F77" s="80" t="s">
        <v>45</v>
      </c>
      <c r="G77" s="80" t="s">
        <v>183</v>
      </c>
      <c r="H77" s="80" t="s">
        <v>208</v>
      </c>
      <c r="I77" s="104" t="s">
        <v>198</v>
      </c>
      <c r="J77" s="117" t="s">
        <v>143</v>
      </c>
      <c r="K77" s="135" t="s">
        <v>366</v>
      </c>
      <c r="L77" s="135" t="s">
        <v>366</v>
      </c>
      <c r="M77" s="101">
        <v>3</v>
      </c>
      <c r="N77" s="82" t="s">
        <v>187</v>
      </c>
      <c r="O77" s="117" t="s">
        <v>367</v>
      </c>
      <c r="P77" s="123" t="e">
        <f t="shared" si="1"/>
        <v>#N/A</v>
      </c>
      <c r="Q77" s="119" t="str">
        <f>VLOOKUP($B77,'Component List'!$A$2:$B$30,2,FALSE)</f>
        <v>HD2</v>
      </c>
      <c r="R77" s="77" t="str">
        <f>VLOOKUP($C77,'Component List'!C$2:D$28,2,FALSE)</f>
        <v>C00</v>
      </c>
      <c r="S77" s="77" t="str">
        <f>VLOOKUP($D77,'Component List'!E$2:F$30,2,FALSE)</f>
        <v>D</v>
      </c>
      <c r="T77" s="77">
        <f>VLOOKUP($E77,'Component List'!G$2:H$30,2,FALSE)</f>
        <v>102</v>
      </c>
      <c r="U77" s="77">
        <f>VLOOKUP($F77,'Component List'!I$2:J$30,2,FALSE)</f>
        <v>106</v>
      </c>
      <c r="V77" s="77">
        <f>VLOOKUP(G77,'Component List'!K$2:L$30,2,FALSE)</f>
        <v>101</v>
      </c>
      <c r="W77" s="77">
        <f>VLOOKUP(H77,'Component List'!M$2:N$31,2,FALSE)</f>
        <v>103</v>
      </c>
      <c r="X77" s="77">
        <f>VLOOKUP(I77,'Component List'!O$2:P$30,2,FALSE)</f>
        <v>100</v>
      </c>
      <c r="Y77" s="77" t="str">
        <f>VLOOKUP(J77,'Component List'!Q$2:R$30,2,FALSE)</f>
        <v>000</v>
      </c>
      <c r="Z77" s="77" t="e">
        <f>VLOOKUP(K77,'Component List'!S$2:T$30,2,FALSE)</f>
        <v>#N/A</v>
      </c>
      <c r="AA77" s="77" t="e">
        <f>VLOOKUP(L77,'Component List'!U$2:V$30,2,FALSE)</f>
        <v>#N/A</v>
      </c>
      <c r="AB77" s="77">
        <f>VLOOKUP(M77,'Component List'!AA$2:AB$30,2,FALSE)</f>
        <v>3</v>
      </c>
      <c r="AC77" s="77" t="str">
        <f>VLOOKUP(N77,'Component List'!Y$2:Z$30,2,FALSE)</f>
        <v>C</v>
      </c>
      <c r="AD77" s="159" t="e">
        <f>VLOOKUP(O77,'Component List'!W$3:X$30,2,FALSE)</f>
        <v>#N/A</v>
      </c>
      <c r="AG77" s="93"/>
    </row>
    <row r="78" spans="1:33" ht="30" customHeight="1" x14ac:dyDescent="0.3">
      <c r="A78" s="239"/>
      <c r="B78" s="101" t="s">
        <v>166</v>
      </c>
      <c r="C78" s="82" t="s">
        <v>21</v>
      </c>
      <c r="D78" s="80" t="s">
        <v>136</v>
      </c>
      <c r="E78" s="81" t="s">
        <v>182</v>
      </c>
      <c r="F78" s="80" t="s">
        <v>47</v>
      </c>
      <c r="G78" s="80" t="s">
        <v>183</v>
      </c>
      <c r="H78" s="80" t="s">
        <v>138</v>
      </c>
      <c r="I78" s="104" t="s">
        <v>198</v>
      </c>
      <c r="J78" s="117" t="s">
        <v>143</v>
      </c>
      <c r="K78" s="135" t="s">
        <v>366</v>
      </c>
      <c r="L78" s="135" t="s">
        <v>366</v>
      </c>
      <c r="M78" s="82">
        <v>1</v>
      </c>
      <c r="N78" s="82" t="s">
        <v>175</v>
      </c>
      <c r="O78" s="117" t="s">
        <v>367</v>
      </c>
      <c r="P78" s="123" t="e">
        <f t="shared" si="1"/>
        <v>#N/A</v>
      </c>
      <c r="Q78" s="119" t="str">
        <f>VLOOKUP($B78,'Component List'!$A$2:$B$30,2,FALSE)</f>
        <v>HD2</v>
      </c>
      <c r="R78" s="77" t="str">
        <f>VLOOKUP($C78,'Component List'!C$2:D$28,2,FALSE)</f>
        <v>C00</v>
      </c>
      <c r="S78" s="77" t="str">
        <f>VLOOKUP($D78,'Component List'!E$2:F$30,2,FALSE)</f>
        <v>D</v>
      </c>
      <c r="T78" s="77">
        <f>VLOOKUP($E78,'Component List'!G$2:H$30,2,FALSE)</f>
        <v>101</v>
      </c>
      <c r="U78" s="77">
        <f>VLOOKUP($F78,'Component List'!I$2:J$30,2,FALSE)</f>
        <v>104</v>
      </c>
      <c r="V78" s="77">
        <f>VLOOKUP(G78,'Component List'!K$2:L$30,2,FALSE)</f>
        <v>101</v>
      </c>
      <c r="W78" s="77">
        <f>VLOOKUP(H78,'Component List'!M$2:N$31,2,FALSE)</f>
        <v>100</v>
      </c>
      <c r="X78" s="77">
        <f>VLOOKUP(I78,'Component List'!O$2:P$30,2,FALSE)</f>
        <v>100</v>
      </c>
      <c r="Y78" s="77" t="str">
        <f>VLOOKUP(J78,'Component List'!Q$2:R$30,2,FALSE)</f>
        <v>000</v>
      </c>
      <c r="Z78" s="77" t="e">
        <f>VLOOKUP(K78,'Component List'!S$2:T$30,2,FALSE)</f>
        <v>#N/A</v>
      </c>
      <c r="AA78" s="77" t="e">
        <f>VLOOKUP(L78,'Component List'!U$2:V$30,2,FALSE)</f>
        <v>#N/A</v>
      </c>
      <c r="AB78" s="77">
        <f>VLOOKUP(M78,'Component List'!AA$2:AB$30,2,FALSE)</f>
        <v>1</v>
      </c>
      <c r="AC78" s="77" t="str">
        <f>VLOOKUP(N78,'Component List'!Y$2:Z$30,2,FALSE)</f>
        <v>P</v>
      </c>
      <c r="AD78" s="159" t="e">
        <f>VLOOKUP(O78,'Component List'!W$3:X$30,2,FALSE)</f>
        <v>#N/A</v>
      </c>
      <c r="AG78" s="93"/>
    </row>
    <row r="79" spans="1:33" ht="30" customHeight="1" x14ac:dyDescent="0.3">
      <c r="A79" s="239"/>
      <c r="B79" s="101" t="s">
        <v>166</v>
      </c>
      <c r="C79" s="82" t="s">
        <v>21</v>
      </c>
      <c r="D79" s="80" t="s">
        <v>136</v>
      </c>
      <c r="E79" s="81" t="s">
        <v>182</v>
      </c>
      <c r="F79" s="80" t="s">
        <v>47</v>
      </c>
      <c r="G79" s="80" t="s">
        <v>183</v>
      </c>
      <c r="H79" s="80" t="s">
        <v>138</v>
      </c>
      <c r="I79" s="104" t="s">
        <v>198</v>
      </c>
      <c r="J79" s="117" t="s">
        <v>143</v>
      </c>
      <c r="K79" s="135" t="s">
        <v>366</v>
      </c>
      <c r="L79" s="135" t="s">
        <v>366</v>
      </c>
      <c r="M79" s="82">
        <v>1</v>
      </c>
      <c r="N79" s="82" t="s">
        <v>187</v>
      </c>
      <c r="O79" s="117" t="s">
        <v>367</v>
      </c>
      <c r="P79" s="123" t="e">
        <f t="shared" si="1"/>
        <v>#N/A</v>
      </c>
      <c r="Q79" s="119" t="str">
        <f>VLOOKUP($B79,'Component List'!$A$2:$B$30,2,FALSE)</f>
        <v>HD2</v>
      </c>
      <c r="R79" s="77" t="str">
        <f>VLOOKUP($C79,'Component List'!C$2:D$28,2,FALSE)</f>
        <v>C00</v>
      </c>
      <c r="S79" s="77" t="str">
        <f>VLOOKUP($D79,'Component List'!E$2:F$30,2,FALSE)</f>
        <v>D</v>
      </c>
      <c r="T79" s="77">
        <f>VLOOKUP($E79,'Component List'!G$2:H$30,2,FALSE)</f>
        <v>101</v>
      </c>
      <c r="U79" s="77">
        <f>VLOOKUP($F79,'Component List'!I$2:J$30,2,FALSE)</f>
        <v>104</v>
      </c>
      <c r="V79" s="77">
        <f>VLOOKUP(G79,'Component List'!K$2:L$30,2,FALSE)</f>
        <v>101</v>
      </c>
      <c r="W79" s="77">
        <f>VLOOKUP(H79,'Component List'!M$2:N$31,2,FALSE)</f>
        <v>100</v>
      </c>
      <c r="X79" s="77">
        <f>VLOOKUP(I79,'Component List'!O$2:P$30,2,FALSE)</f>
        <v>100</v>
      </c>
      <c r="Y79" s="77" t="str">
        <f>VLOOKUP(J79,'Component List'!Q$2:R$30,2,FALSE)</f>
        <v>000</v>
      </c>
      <c r="Z79" s="77" t="e">
        <f>VLOOKUP(K79,'Component List'!S$2:T$30,2,FALSE)</f>
        <v>#N/A</v>
      </c>
      <c r="AA79" s="77" t="e">
        <f>VLOOKUP(L79,'Component List'!U$2:V$30,2,FALSE)</f>
        <v>#N/A</v>
      </c>
      <c r="AB79" s="77">
        <f>VLOOKUP(M79,'Component List'!AA$2:AB$30,2,FALSE)</f>
        <v>1</v>
      </c>
      <c r="AC79" s="77" t="str">
        <f>VLOOKUP(N79,'Component List'!Y$2:Z$30,2,FALSE)</f>
        <v>C</v>
      </c>
      <c r="AD79" s="159" t="e">
        <f>VLOOKUP(O79,'Component List'!W$3:X$30,2,FALSE)</f>
        <v>#N/A</v>
      </c>
      <c r="AG79" s="93"/>
    </row>
    <row r="80" spans="1:33" ht="30" customHeight="1" x14ac:dyDescent="0.3">
      <c r="A80" s="239"/>
      <c r="B80" s="101" t="s">
        <v>166</v>
      </c>
      <c r="C80" s="82" t="s">
        <v>21</v>
      </c>
      <c r="D80" s="80" t="s">
        <v>136</v>
      </c>
      <c r="E80" s="81" t="s">
        <v>182</v>
      </c>
      <c r="F80" s="80" t="s">
        <v>47</v>
      </c>
      <c r="G80" s="80" t="s">
        <v>183</v>
      </c>
      <c r="H80" s="80" t="s">
        <v>138</v>
      </c>
      <c r="I80" s="104" t="s">
        <v>198</v>
      </c>
      <c r="J80" s="117" t="s">
        <v>143</v>
      </c>
      <c r="K80" s="135" t="s">
        <v>366</v>
      </c>
      <c r="L80" s="135" t="s">
        <v>366</v>
      </c>
      <c r="M80" s="82">
        <v>2</v>
      </c>
      <c r="N80" s="82" t="s">
        <v>175</v>
      </c>
      <c r="O80" s="117" t="s">
        <v>367</v>
      </c>
      <c r="P80" s="123" t="e">
        <f t="shared" si="1"/>
        <v>#N/A</v>
      </c>
      <c r="Q80" s="119" t="str">
        <f>VLOOKUP($B80,'Component List'!$A$2:$B$30,2,FALSE)</f>
        <v>HD2</v>
      </c>
      <c r="R80" s="77" t="str">
        <f>VLOOKUP($C80,'Component List'!C$2:D$28,2,FALSE)</f>
        <v>C00</v>
      </c>
      <c r="S80" s="77" t="str">
        <f>VLOOKUP($D80,'Component List'!E$2:F$30,2,FALSE)</f>
        <v>D</v>
      </c>
      <c r="T80" s="77">
        <f>VLOOKUP($E80,'Component List'!G$2:H$30,2,FALSE)</f>
        <v>101</v>
      </c>
      <c r="U80" s="77">
        <f>VLOOKUP($F80,'Component List'!I$2:J$30,2,FALSE)</f>
        <v>104</v>
      </c>
      <c r="V80" s="77">
        <f>VLOOKUP(G80,'Component List'!K$2:L$30,2,FALSE)</f>
        <v>101</v>
      </c>
      <c r="W80" s="77">
        <f>VLOOKUP(H80,'Component List'!M$2:N$31,2,FALSE)</f>
        <v>100</v>
      </c>
      <c r="X80" s="77">
        <f>VLOOKUP(I80,'Component List'!O$2:P$30,2,FALSE)</f>
        <v>100</v>
      </c>
      <c r="Y80" s="77" t="str">
        <f>VLOOKUP(J80,'Component List'!Q$2:R$30,2,FALSE)</f>
        <v>000</v>
      </c>
      <c r="Z80" s="77" t="e">
        <f>VLOOKUP(K80,'Component List'!S$2:T$30,2,FALSE)</f>
        <v>#N/A</v>
      </c>
      <c r="AA80" s="77" t="e">
        <f>VLOOKUP(L80,'Component List'!U$2:V$30,2,FALSE)</f>
        <v>#N/A</v>
      </c>
      <c r="AB80" s="77">
        <f>VLOOKUP(M80,'Component List'!AA$2:AB$30,2,FALSE)</f>
        <v>2</v>
      </c>
      <c r="AC80" s="77" t="str">
        <f>VLOOKUP(N80,'Component List'!Y$2:Z$30,2,FALSE)</f>
        <v>P</v>
      </c>
      <c r="AD80" s="159" t="e">
        <f>VLOOKUP(O80,'Component List'!W$3:X$30,2,FALSE)</f>
        <v>#N/A</v>
      </c>
      <c r="AG80" s="93"/>
    </row>
    <row r="81" spans="1:33" ht="30" customHeight="1" x14ac:dyDescent="0.3">
      <c r="A81" s="239"/>
      <c r="B81" s="101" t="s">
        <v>166</v>
      </c>
      <c r="C81" s="82" t="s">
        <v>21</v>
      </c>
      <c r="D81" s="80" t="s">
        <v>136</v>
      </c>
      <c r="E81" s="81" t="s">
        <v>182</v>
      </c>
      <c r="F81" s="80" t="s">
        <v>47</v>
      </c>
      <c r="G81" s="80" t="s">
        <v>183</v>
      </c>
      <c r="H81" s="80" t="s">
        <v>138</v>
      </c>
      <c r="I81" s="104" t="s">
        <v>198</v>
      </c>
      <c r="J81" s="117" t="s">
        <v>143</v>
      </c>
      <c r="K81" s="135" t="s">
        <v>366</v>
      </c>
      <c r="L81" s="135" t="s">
        <v>366</v>
      </c>
      <c r="M81" s="82">
        <v>2</v>
      </c>
      <c r="N81" s="82" t="s">
        <v>187</v>
      </c>
      <c r="O81" s="117" t="s">
        <v>367</v>
      </c>
      <c r="P81" s="123" t="e">
        <f t="shared" si="1"/>
        <v>#N/A</v>
      </c>
      <c r="Q81" s="119" t="str">
        <f>VLOOKUP($B81,'Component List'!$A$2:$B$30,2,FALSE)</f>
        <v>HD2</v>
      </c>
      <c r="R81" s="77" t="str">
        <f>VLOOKUP($C81,'Component List'!C$2:D$28,2,FALSE)</f>
        <v>C00</v>
      </c>
      <c r="S81" s="77" t="str">
        <f>VLOOKUP($D81,'Component List'!E$2:F$30,2,FALSE)</f>
        <v>D</v>
      </c>
      <c r="T81" s="77">
        <f>VLOOKUP($E81,'Component List'!G$2:H$30,2,FALSE)</f>
        <v>101</v>
      </c>
      <c r="U81" s="77">
        <f>VLOOKUP($F81,'Component List'!I$2:J$30,2,FALSE)</f>
        <v>104</v>
      </c>
      <c r="V81" s="77">
        <f>VLOOKUP(G81,'Component List'!K$2:L$30,2,FALSE)</f>
        <v>101</v>
      </c>
      <c r="W81" s="77">
        <f>VLOOKUP(H81,'Component List'!M$2:N$31,2,FALSE)</f>
        <v>100</v>
      </c>
      <c r="X81" s="77">
        <f>VLOOKUP(I81,'Component List'!O$2:P$30,2,FALSE)</f>
        <v>100</v>
      </c>
      <c r="Y81" s="77" t="str">
        <f>VLOOKUP(J81,'Component List'!Q$2:R$30,2,FALSE)</f>
        <v>000</v>
      </c>
      <c r="Z81" s="77" t="e">
        <f>VLOOKUP(K81,'Component List'!S$2:T$30,2,FALSE)</f>
        <v>#N/A</v>
      </c>
      <c r="AA81" s="77" t="e">
        <f>VLOOKUP(L81,'Component List'!U$2:V$30,2,FALSE)</f>
        <v>#N/A</v>
      </c>
      <c r="AB81" s="77">
        <f>VLOOKUP(M81,'Component List'!AA$2:AB$30,2,FALSE)</f>
        <v>2</v>
      </c>
      <c r="AC81" s="77" t="str">
        <f>VLOOKUP(N81,'Component List'!Y$2:Z$30,2,FALSE)</f>
        <v>C</v>
      </c>
      <c r="AD81" s="159" t="e">
        <f>VLOOKUP(O81,'Component List'!W$3:X$30,2,FALSE)</f>
        <v>#N/A</v>
      </c>
      <c r="AG81" s="93"/>
    </row>
    <row r="82" spans="1:33" ht="30" customHeight="1" x14ac:dyDescent="0.3">
      <c r="A82" s="239"/>
      <c r="B82" s="101" t="s">
        <v>166</v>
      </c>
      <c r="C82" s="82" t="s">
        <v>21</v>
      </c>
      <c r="D82" s="80" t="s">
        <v>136</v>
      </c>
      <c r="E82" s="81" t="s">
        <v>182</v>
      </c>
      <c r="F82" s="80" t="s">
        <v>47</v>
      </c>
      <c r="G82" s="80" t="s">
        <v>183</v>
      </c>
      <c r="H82" s="80" t="s">
        <v>138</v>
      </c>
      <c r="I82" s="104" t="s">
        <v>198</v>
      </c>
      <c r="J82" s="117" t="s">
        <v>143</v>
      </c>
      <c r="K82" s="135" t="s">
        <v>366</v>
      </c>
      <c r="L82" s="135" t="s">
        <v>366</v>
      </c>
      <c r="M82" s="82">
        <v>3</v>
      </c>
      <c r="N82" s="82" t="s">
        <v>175</v>
      </c>
      <c r="O82" s="117" t="s">
        <v>367</v>
      </c>
      <c r="P82" s="123" t="e">
        <f t="shared" si="1"/>
        <v>#N/A</v>
      </c>
      <c r="Q82" s="119" t="str">
        <f>VLOOKUP($B82,'Component List'!$A$2:$B$30,2,FALSE)</f>
        <v>HD2</v>
      </c>
      <c r="R82" s="77" t="str">
        <f>VLOOKUP($C82,'Component List'!C$2:D$28,2,FALSE)</f>
        <v>C00</v>
      </c>
      <c r="S82" s="77" t="str">
        <f>VLOOKUP($D82,'Component List'!E$2:F$30,2,FALSE)</f>
        <v>D</v>
      </c>
      <c r="T82" s="77">
        <f>VLOOKUP($E82,'Component List'!G$2:H$30,2,FALSE)</f>
        <v>101</v>
      </c>
      <c r="U82" s="77">
        <f>VLOOKUP($F82,'Component List'!I$2:J$30,2,FALSE)</f>
        <v>104</v>
      </c>
      <c r="V82" s="77">
        <f>VLOOKUP(G82,'Component List'!K$2:L$30,2,FALSE)</f>
        <v>101</v>
      </c>
      <c r="W82" s="77">
        <f>VLOOKUP(H82,'Component List'!M$2:N$31,2,FALSE)</f>
        <v>100</v>
      </c>
      <c r="X82" s="77">
        <f>VLOOKUP(I82,'Component List'!O$2:P$30,2,FALSE)</f>
        <v>100</v>
      </c>
      <c r="Y82" s="77" t="str">
        <f>VLOOKUP(J82,'Component List'!Q$2:R$30,2,FALSE)</f>
        <v>000</v>
      </c>
      <c r="Z82" s="77" t="e">
        <f>VLOOKUP(K82,'Component List'!S$2:T$30,2,FALSE)</f>
        <v>#N/A</v>
      </c>
      <c r="AA82" s="77" t="e">
        <f>VLOOKUP(L82,'Component List'!U$2:V$30,2,FALSE)</f>
        <v>#N/A</v>
      </c>
      <c r="AB82" s="77">
        <f>VLOOKUP(M82,'Component List'!AA$2:AB$30,2,FALSE)</f>
        <v>3</v>
      </c>
      <c r="AC82" s="77" t="str">
        <f>VLOOKUP(N82,'Component List'!Y$2:Z$30,2,FALSE)</f>
        <v>P</v>
      </c>
      <c r="AD82" s="159" t="e">
        <f>VLOOKUP(O82,'Component List'!W$3:X$30,2,FALSE)</f>
        <v>#N/A</v>
      </c>
      <c r="AG82" s="93"/>
    </row>
    <row r="83" spans="1:33" ht="30" customHeight="1" x14ac:dyDescent="0.3">
      <c r="A83" s="239"/>
      <c r="B83" s="101" t="s">
        <v>166</v>
      </c>
      <c r="C83" s="82" t="s">
        <v>21</v>
      </c>
      <c r="D83" s="80" t="s">
        <v>136</v>
      </c>
      <c r="E83" s="81" t="s">
        <v>182</v>
      </c>
      <c r="F83" s="80" t="s">
        <v>47</v>
      </c>
      <c r="G83" s="80" t="s">
        <v>183</v>
      </c>
      <c r="H83" s="80" t="s">
        <v>138</v>
      </c>
      <c r="I83" s="104" t="s">
        <v>198</v>
      </c>
      <c r="J83" s="117" t="s">
        <v>143</v>
      </c>
      <c r="K83" s="135" t="s">
        <v>366</v>
      </c>
      <c r="L83" s="135" t="s">
        <v>366</v>
      </c>
      <c r="M83" s="82">
        <v>3</v>
      </c>
      <c r="N83" s="82" t="s">
        <v>187</v>
      </c>
      <c r="O83" s="117" t="s">
        <v>367</v>
      </c>
      <c r="P83" s="123" t="e">
        <f t="shared" si="1"/>
        <v>#N/A</v>
      </c>
      <c r="Q83" s="119" t="str">
        <f>VLOOKUP($B83,'Component List'!$A$2:$B$30,2,FALSE)</f>
        <v>HD2</v>
      </c>
      <c r="R83" s="77" t="str">
        <f>VLOOKUP($C83,'Component List'!C$2:D$28,2,FALSE)</f>
        <v>C00</v>
      </c>
      <c r="S83" s="77" t="str">
        <f>VLOOKUP($D83,'Component List'!E$2:F$30,2,FALSE)</f>
        <v>D</v>
      </c>
      <c r="T83" s="77">
        <f>VLOOKUP($E83,'Component List'!G$2:H$30,2,FALSE)</f>
        <v>101</v>
      </c>
      <c r="U83" s="77">
        <f>VLOOKUP($F83,'Component List'!I$2:J$30,2,FALSE)</f>
        <v>104</v>
      </c>
      <c r="V83" s="77">
        <f>VLOOKUP(G83,'Component List'!K$2:L$30,2,FALSE)</f>
        <v>101</v>
      </c>
      <c r="W83" s="77">
        <f>VLOOKUP(H83,'Component List'!M$2:N$31,2,FALSE)</f>
        <v>100</v>
      </c>
      <c r="X83" s="77">
        <f>VLOOKUP(I83,'Component List'!O$2:P$30,2,FALSE)</f>
        <v>100</v>
      </c>
      <c r="Y83" s="77" t="str">
        <f>VLOOKUP(J83,'Component List'!Q$2:R$30,2,FALSE)</f>
        <v>000</v>
      </c>
      <c r="Z83" s="77" t="e">
        <f>VLOOKUP(K83,'Component List'!S$2:T$30,2,FALSE)</f>
        <v>#N/A</v>
      </c>
      <c r="AA83" s="77" t="e">
        <f>VLOOKUP(L83,'Component List'!U$2:V$30,2,FALSE)</f>
        <v>#N/A</v>
      </c>
      <c r="AB83" s="77">
        <f>VLOOKUP(M83,'Component List'!AA$2:AB$30,2,FALSE)</f>
        <v>3</v>
      </c>
      <c r="AC83" s="77" t="str">
        <f>VLOOKUP(N83,'Component List'!Y$2:Z$30,2,FALSE)</f>
        <v>C</v>
      </c>
      <c r="AD83" s="159" t="e">
        <f>VLOOKUP(O83,'Component List'!W$3:X$30,2,FALSE)</f>
        <v>#N/A</v>
      </c>
      <c r="AG83" s="93"/>
    </row>
    <row r="84" spans="1:33" ht="30" customHeight="1" x14ac:dyDescent="0.3">
      <c r="A84" s="239"/>
      <c r="B84" s="101" t="s">
        <v>166</v>
      </c>
      <c r="C84" s="80" t="s">
        <v>178</v>
      </c>
      <c r="D84" s="80" t="s">
        <v>136</v>
      </c>
      <c r="E84" s="81" t="s">
        <v>182</v>
      </c>
      <c r="F84" s="80" t="s">
        <v>207</v>
      </c>
      <c r="G84" s="80" t="s">
        <v>183</v>
      </c>
      <c r="H84" s="80" t="s">
        <v>184</v>
      </c>
      <c r="I84" s="104" t="s">
        <v>198</v>
      </c>
      <c r="J84" s="85" t="s">
        <v>219</v>
      </c>
      <c r="K84" s="135" t="s">
        <v>366</v>
      </c>
      <c r="L84" s="135" t="s">
        <v>366</v>
      </c>
      <c r="M84" s="101">
        <v>1</v>
      </c>
      <c r="N84" s="82" t="s">
        <v>175</v>
      </c>
      <c r="O84" s="117" t="s">
        <v>367</v>
      </c>
      <c r="P84" s="123" t="e">
        <f t="shared" si="1"/>
        <v>#N/A</v>
      </c>
      <c r="Q84" s="119" t="str">
        <f>VLOOKUP($B84,'Component List'!$A$2:$B$30,2,FALSE)</f>
        <v>HD2</v>
      </c>
      <c r="R84" s="77" t="e">
        <f>VLOOKUP($C84,'Component List'!C$2:D$28,2,FALSE)</f>
        <v>#N/A</v>
      </c>
      <c r="S84" s="77" t="str">
        <f>VLOOKUP($D84,'Component List'!E$2:F$30,2,FALSE)</f>
        <v>D</v>
      </c>
      <c r="T84" s="77">
        <f>VLOOKUP($E84,'Component List'!G$2:H$30,2,FALSE)</f>
        <v>101</v>
      </c>
      <c r="U84" s="77">
        <f>VLOOKUP($F84,'Component List'!I$2:J$30,2,FALSE)</f>
        <v>103</v>
      </c>
      <c r="V84" s="77">
        <f>VLOOKUP(G84,'Component List'!K$2:L$30,2,FALSE)</f>
        <v>101</v>
      </c>
      <c r="W84" s="77">
        <f>VLOOKUP(H84,'Component List'!M$2:N$31,2,FALSE)</f>
        <v>101</v>
      </c>
      <c r="X84" s="77">
        <f>VLOOKUP(I84,'Component List'!O$2:P$30,2,FALSE)</f>
        <v>100</v>
      </c>
      <c r="Y84" s="77">
        <f>VLOOKUP(J84,'Component List'!Q$2:R$30,2,FALSE)</f>
        <v>101</v>
      </c>
      <c r="Z84" s="77" t="e">
        <f>VLOOKUP(K84,'Component List'!S$2:T$30,2,FALSE)</f>
        <v>#N/A</v>
      </c>
      <c r="AA84" s="77" t="e">
        <f>VLOOKUP(L84,'Component List'!U$2:V$30,2,FALSE)</f>
        <v>#N/A</v>
      </c>
      <c r="AB84" s="77">
        <f>VLOOKUP(M84,'Component List'!AA$2:AB$30,2,FALSE)</f>
        <v>1</v>
      </c>
      <c r="AC84" s="77" t="str">
        <f>VLOOKUP(N84,'Component List'!Y$2:Z$30,2,FALSE)</f>
        <v>P</v>
      </c>
      <c r="AD84" s="159" t="e">
        <f>VLOOKUP(O84,'Component List'!W$3:X$30,2,FALSE)</f>
        <v>#N/A</v>
      </c>
      <c r="AG84" s="93"/>
    </row>
    <row r="85" spans="1:33" ht="30" customHeight="1" x14ac:dyDescent="0.3">
      <c r="A85" s="239"/>
      <c r="B85" s="101" t="s">
        <v>166</v>
      </c>
      <c r="C85" s="80" t="s">
        <v>178</v>
      </c>
      <c r="D85" s="80" t="s">
        <v>136</v>
      </c>
      <c r="E85" s="81" t="s">
        <v>182</v>
      </c>
      <c r="F85" s="80" t="s">
        <v>207</v>
      </c>
      <c r="G85" s="80" t="s">
        <v>183</v>
      </c>
      <c r="H85" s="80" t="s">
        <v>184</v>
      </c>
      <c r="I85" s="104" t="s">
        <v>198</v>
      </c>
      <c r="J85" s="85" t="s">
        <v>219</v>
      </c>
      <c r="K85" s="135" t="s">
        <v>366</v>
      </c>
      <c r="L85" s="135" t="s">
        <v>366</v>
      </c>
      <c r="M85" s="101">
        <v>1</v>
      </c>
      <c r="N85" s="82" t="s">
        <v>187</v>
      </c>
      <c r="O85" s="117" t="s">
        <v>367</v>
      </c>
      <c r="P85" s="123" t="e">
        <f t="shared" si="1"/>
        <v>#N/A</v>
      </c>
      <c r="Q85" s="119" t="str">
        <f>VLOOKUP($B85,'Component List'!$A$2:$B$30,2,FALSE)</f>
        <v>HD2</v>
      </c>
      <c r="R85" s="77" t="e">
        <f>VLOOKUP($C85,'Component List'!C$2:D$28,2,FALSE)</f>
        <v>#N/A</v>
      </c>
      <c r="S85" s="77" t="str">
        <f>VLOOKUP($D85,'Component List'!E$2:F$30,2,FALSE)</f>
        <v>D</v>
      </c>
      <c r="T85" s="77">
        <f>VLOOKUP($E85,'Component List'!G$2:H$30,2,FALSE)</f>
        <v>101</v>
      </c>
      <c r="U85" s="77">
        <f>VLOOKUP($F85,'Component List'!I$2:J$30,2,FALSE)</f>
        <v>103</v>
      </c>
      <c r="V85" s="77">
        <f>VLOOKUP(G85,'Component List'!K$2:L$30,2,FALSE)</f>
        <v>101</v>
      </c>
      <c r="W85" s="77">
        <f>VLOOKUP(H85,'Component List'!M$2:N$31,2,FALSE)</f>
        <v>101</v>
      </c>
      <c r="X85" s="77">
        <f>VLOOKUP(I85,'Component List'!O$2:P$30,2,FALSE)</f>
        <v>100</v>
      </c>
      <c r="Y85" s="77">
        <f>VLOOKUP(J85,'Component List'!Q$2:R$30,2,FALSE)</f>
        <v>101</v>
      </c>
      <c r="Z85" s="77" t="e">
        <f>VLOOKUP(K85,'Component List'!S$2:T$30,2,FALSE)</f>
        <v>#N/A</v>
      </c>
      <c r="AA85" s="77" t="e">
        <f>VLOOKUP(L85,'Component List'!U$2:V$30,2,FALSE)</f>
        <v>#N/A</v>
      </c>
      <c r="AB85" s="77">
        <f>VLOOKUP(M85,'Component List'!AA$2:AB$30,2,FALSE)</f>
        <v>1</v>
      </c>
      <c r="AC85" s="77" t="str">
        <f>VLOOKUP(N85,'Component List'!Y$2:Z$30,2,FALSE)</f>
        <v>C</v>
      </c>
      <c r="AD85" s="159" t="e">
        <f>VLOOKUP(O85,'Component List'!W$3:X$30,2,FALSE)</f>
        <v>#N/A</v>
      </c>
      <c r="AG85" s="93"/>
    </row>
    <row r="86" spans="1:33" ht="30" customHeight="1" x14ac:dyDescent="0.3">
      <c r="A86" s="239"/>
      <c r="B86" s="101" t="s">
        <v>166</v>
      </c>
      <c r="C86" s="80" t="s">
        <v>178</v>
      </c>
      <c r="D86" s="80" t="s">
        <v>136</v>
      </c>
      <c r="E86" s="81" t="s">
        <v>182</v>
      </c>
      <c r="F86" s="80" t="s">
        <v>207</v>
      </c>
      <c r="G86" s="80" t="s">
        <v>183</v>
      </c>
      <c r="H86" s="80" t="s">
        <v>184</v>
      </c>
      <c r="I86" s="104" t="s">
        <v>198</v>
      </c>
      <c r="J86" s="85" t="s">
        <v>219</v>
      </c>
      <c r="K86" s="135" t="s">
        <v>366</v>
      </c>
      <c r="L86" s="135" t="s">
        <v>366</v>
      </c>
      <c r="M86" s="101">
        <v>2</v>
      </c>
      <c r="N86" s="82" t="s">
        <v>175</v>
      </c>
      <c r="O86" s="117" t="s">
        <v>367</v>
      </c>
      <c r="P86" s="123" t="e">
        <f t="shared" si="1"/>
        <v>#N/A</v>
      </c>
      <c r="Q86" s="119" t="str">
        <f>VLOOKUP($B86,'Component List'!$A$2:$B$30,2,FALSE)</f>
        <v>HD2</v>
      </c>
      <c r="R86" s="77" t="e">
        <f>VLOOKUP($C86,'Component List'!C$2:D$28,2,FALSE)</f>
        <v>#N/A</v>
      </c>
      <c r="S86" s="77" t="str">
        <f>VLOOKUP($D86,'Component List'!E$2:F$30,2,FALSE)</f>
        <v>D</v>
      </c>
      <c r="T86" s="77">
        <f>VLOOKUP($E86,'Component List'!G$2:H$30,2,FALSE)</f>
        <v>101</v>
      </c>
      <c r="U86" s="77">
        <f>VLOOKUP($F86,'Component List'!I$2:J$30,2,FALSE)</f>
        <v>103</v>
      </c>
      <c r="V86" s="77">
        <f>VLOOKUP(G86,'Component List'!K$2:L$30,2,FALSE)</f>
        <v>101</v>
      </c>
      <c r="W86" s="77">
        <f>VLOOKUP(H86,'Component List'!M$2:N$31,2,FALSE)</f>
        <v>101</v>
      </c>
      <c r="X86" s="77">
        <f>VLOOKUP(I86,'Component List'!O$2:P$30,2,FALSE)</f>
        <v>100</v>
      </c>
      <c r="Y86" s="77">
        <f>VLOOKUP(J86,'Component List'!Q$2:R$30,2,FALSE)</f>
        <v>101</v>
      </c>
      <c r="Z86" s="77" t="e">
        <f>VLOOKUP(K86,'Component List'!S$2:T$30,2,FALSE)</f>
        <v>#N/A</v>
      </c>
      <c r="AA86" s="77" t="e">
        <f>VLOOKUP(L86,'Component List'!U$2:V$30,2,FALSE)</f>
        <v>#N/A</v>
      </c>
      <c r="AB86" s="77">
        <f>VLOOKUP(M86,'Component List'!AA$2:AB$30,2,FALSE)</f>
        <v>2</v>
      </c>
      <c r="AC86" s="77" t="str">
        <f>VLOOKUP(N86,'Component List'!Y$2:Z$30,2,FALSE)</f>
        <v>P</v>
      </c>
      <c r="AD86" s="159" t="e">
        <f>VLOOKUP(O86,'Component List'!W$3:X$30,2,FALSE)</f>
        <v>#N/A</v>
      </c>
      <c r="AG86" s="93"/>
    </row>
    <row r="87" spans="1:33" ht="30" customHeight="1" x14ac:dyDescent="0.3">
      <c r="A87" s="239"/>
      <c r="B87" s="101" t="s">
        <v>166</v>
      </c>
      <c r="C87" s="80" t="s">
        <v>178</v>
      </c>
      <c r="D87" s="80" t="s">
        <v>136</v>
      </c>
      <c r="E87" s="81" t="s">
        <v>182</v>
      </c>
      <c r="F87" s="80" t="s">
        <v>207</v>
      </c>
      <c r="G87" s="80" t="s">
        <v>183</v>
      </c>
      <c r="H87" s="80" t="s">
        <v>184</v>
      </c>
      <c r="I87" s="104" t="s">
        <v>198</v>
      </c>
      <c r="J87" s="85" t="s">
        <v>219</v>
      </c>
      <c r="K87" s="135" t="s">
        <v>366</v>
      </c>
      <c r="L87" s="135" t="s">
        <v>366</v>
      </c>
      <c r="M87" s="101">
        <v>2</v>
      </c>
      <c r="N87" s="82" t="s">
        <v>187</v>
      </c>
      <c r="O87" s="117" t="s">
        <v>367</v>
      </c>
      <c r="P87" s="123" t="e">
        <f t="shared" si="1"/>
        <v>#N/A</v>
      </c>
      <c r="Q87" s="119" t="str">
        <f>VLOOKUP($B87,'Component List'!$A$2:$B$30,2,FALSE)</f>
        <v>HD2</v>
      </c>
      <c r="R87" s="77" t="e">
        <f>VLOOKUP($C87,'Component List'!C$2:D$28,2,FALSE)</f>
        <v>#N/A</v>
      </c>
      <c r="S87" s="77" t="str">
        <f>VLOOKUP($D87,'Component List'!E$2:F$30,2,FALSE)</f>
        <v>D</v>
      </c>
      <c r="T87" s="77">
        <f>VLOOKUP($E87,'Component List'!G$2:H$30,2,FALSE)</f>
        <v>101</v>
      </c>
      <c r="U87" s="77">
        <f>VLOOKUP($F87,'Component List'!I$2:J$30,2,FALSE)</f>
        <v>103</v>
      </c>
      <c r="V87" s="77">
        <f>VLOOKUP(G87,'Component List'!K$2:L$30,2,FALSE)</f>
        <v>101</v>
      </c>
      <c r="W87" s="77">
        <f>VLOOKUP(H87,'Component List'!M$2:N$31,2,FALSE)</f>
        <v>101</v>
      </c>
      <c r="X87" s="77">
        <f>VLOOKUP(I87,'Component List'!O$2:P$30,2,FALSE)</f>
        <v>100</v>
      </c>
      <c r="Y87" s="77">
        <f>VLOOKUP(J87,'Component List'!Q$2:R$30,2,FALSE)</f>
        <v>101</v>
      </c>
      <c r="Z87" s="77" t="e">
        <f>VLOOKUP(K87,'Component List'!S$2:T$30,2,FALSE)</f>
        <v>#N/A</v>
      </c>
      <c r="AA87" s="77" t="e">
        <f>VLOOKUP(L87,'Component List'!U$2:V$30,2,FALSE)</f>
        <v>#N/A</v>
      </c>
      <c r="AB87" s="77">
        <f>VLOOKUP(M87,'Component List'!AA$2:AB$30,2,FALSE)</f>
        <v>2</v>
      </c>
      <c r="AC87" s="77" t="str">
        <f>VLOOKUP(N87,'Component List'!Y$2:Z$30,2,FALSE)</f>
        <v>C</v>
      </c>
      <c r="AD87" s="159" t="e">
        <f>VLOOKUP(O87,'Component List'!W$3:X$30,2,FALSE)</f>
        <v>#N/A</v>
      </c>
      <c r="AG87" s="93"/>
    </row>
    <row r="88" spans="1:33" ht="30" customHeight="1" x14ac:dyDescent="0.3">
      <c r="A88" s="239"/>
      <c r="B88" s="101" t="s">
        <v>166</v>
      </c>
      <c r="C88" s="80" t="s">
        <v>178</v>
      </c>
      <c r="D88" s="80" t="s">
        <v>136</v>
      </c>
      <c r="E88" s="81" t="s">
        <v>182</v>
      </c>
      <c r="F88" s="80" t="s">
        <v>207</v>
      </c>
      <c r="G88" s="80" t="s">
        <v>183</v>
      </c>
      <c r="H88" s="80" t="s">
        <v>184</v>
      </c>
      <c r="I88" s="104" t="s">
        <v>198</v>
      </c>
      <c r="J88" s="85" t="s">
        <v>219</v>
      </c>
      <c r="K88" s="135" t="s">
        <v>366</v>
      </c>
      <c r="L88" s="135" t="s">
        <v>366</v>
      </c>
      <c r="M88" s="101">
        <v>3</v>
      </c>
      <c r="N88" s="82" t="s">
        <v>175</v>
      </c>
      <c r="O88" s="117" t="s">
        <v>367</v>
      </c>
      <c r="P88" s="123" t="e">
        <f t="shared" si="1"/>
        <v>#N/A</v>
      </c>
      <c r="Q88" s="119" t="str">
        <f>VLOOKUP($B88,'Component List'!$A$2:$B$30,2,FALSE)</f>
        <v>HD2</v>
      </c>
      <c r="R88" s="77" t="e">
        <f>VLOOKUP($C88,'Component List'!C$2:D$28,2,FALSE)</f>
        <v>#N/A</v>
      </c>
      <c r="S88" s="77" t="str">
        <f>VLOOKUP($D88,'Component List'!E$2:F$30,2,FALSE)</f>
        <v>D</v>
      </c>
      <c r="T88" s="77">
        <f>VLOOKUP($E88,'Component List'!G$2:H$30,2,FALSE)</f>
        <v>101</v>
      </c>
      <c r="U88" s="77">
        <f>VLOOKUP($F88,'Component List'!I$2:J$30,2,FALSE)</f>
        <v>103</v>
      </c>
      <c r="V88" s="77">
        <f>VLOOKUP(G88,'Component List'!K$2:L$30,2,FALSE)</f>
        <v>101</v>
      </c>
      <c r="W88" s="77">
        <f>VLOOKUP(H88,'Component List'!M$2:N$31,2,FALSE)</f>
        <v>101</v>
      </c>
      <c r="X88" s="77">
        <f>VLOOKUP(I88,'Component List'!O$2:P$30,2,FALSE)</f>
        <v>100</v>
      </c>
      <c r="Y88" s="77">
        <f>VLOOKUP(J88,'Component List'!Q$2:R$30,2,FALSE)</f>
        <v>101</v>
      </c>
      <c r="Z88" s="77" t="e">
        <f>VLOOKUP(K88,'Component List'!S$2:T$30,2,FALSE)</f>
        <v>#N/A</v>
      </c>
      <c r="AA88" s="77" t="e">
        <f>VLOOKUP(L88,'Component List'!U$2:V$30,2,FALSE)</f>
        <v>#N/A</v>
      </c>
      <c r="AB88" s="77">
        <f>VLOOKUP(M88,'Component List'!AA$2:AB$30,2,FALSE)</f>
        <v>3</v>
      </c>
      <c r="AC88" s="77" t="str">
        <f>VLOOKUP(N88,'Component List'!Y$2:Z$30,2,FALSE)</f>
        <v>P</v>
      </c>
      <c r="AD88" s="159" t="e">
        <f>VLOOKUP(O88,'Component List'!W$3:X$30,2,FALSE)</f>
        <v>#N/A</v>
      </c>
      <c r="AG88" s="93"/>
    </row>
    <row r="89" spans="1:33" ht="30" customHeight="1" x14ac:dyDescent="0.3">
      <c r="A89" s="239"/>
      <c r="B89" s="101" t="s">
        <v>166</v>
      </c>
      <c r="C89" s="80" t="s">
        <v>178</v>
      </c>
      <c r="D89" s="80" t="s">
        <v>136</v>
      </c>
      <c r="E89" s="81" t="s">
        <v>182</v>
      </c>
      <c r="F89" s="80" t="s">
        <v>207</v>
      </c>
      <c r="G89" s="80" t="s">
        <v>183</v>
      </c>
      <c r="H89" s="80" t="s">
        <v>184</v>
      </c>
      <c r="I89" s="104" t="s">
        <v>198</v>
      </c>
      <c r="J89" s="85" t="s">
        <v>219</v>
      </c>
      <c r="K89" s="135" t="s">
        <v>366</v>
      </c>
      <c r="L89" s="135" t="s">
        <v>366</v>
      </c>
      <c r="M89" s="101">
        <v>3</v>
      </c>
      <c r="N89" s="82" t="s">
        <v>187</v>
      </c>
      <c r="O89" s="117" t="s">
        <v>367</v>
      </c>
      <c r="P89" s="123" t="e">
        <f t="shared" si="1"/>
        <v>#N/A</v>
      </c>
      <c r="Q89" s="119" t="str">
        <f>VLOOKUP($B89,'Component List'!$A$2:$B$30,2,FALSE)</f>
        <v>HD2</v>
      </c>
      <c r="R89" s="77" t="e">
        <f>VLOOKUP($C89,'Component List'!C$2:D$28,2,FALSE)</f>
        <v>#N/A</v>
      </c>
      <c r="S89" s="77" t="str">
        <f>VLOOKUP($D89,'Component List'!E$2:F$30,2,FALSE)</f>
        <v>D</v>
      </c>
      <c r="T89" s="77">
        <f>VLOOKUP($E89,'Component List'!G$2:H$30,2,FALSE)</f>
        <v>101</v>
      </c>
      <c r="U89" s="77">
        <f>VLOOKUP($F89,'Component List'!I$2:J$30,2,FALSE)</f>
        <v>103</v>
      </c>
      <c r="V89" s="77">
        <f>VLOOKUP(G89,'Component List'!K$2:L$30,2,FALSE)</f>
        <v>101</v>
      </c>
      <c r="W89" s="77">
        <f>VLOOKUP(H89,'Component List'!M$2:N$31,2,FALSE)</f>
        <v>101</v>
      </c>
      <c r="X89" s="77">
        <f>VLOOKUP(I89,'Component List'!O$2:P$30,2,FALSE)</f>
        <v>100</v>
      </c>
      <c r="Y89" s="77">
        <f>VLOOKUP(J89,'Component List'!Q$2:R$30,2,FALSE)</f>
        <v>101</v>
      </c>
      <c r="Z89" s="77" t="e">
        <f>VLOOKUP(K89,'Component List'!S$2:T$30,2,FALSE)</f>
        <v>#N/A</v>
      </c>
      <c r="AA89" s="77" t="e">
        <f>VLOOKUP(L89,'Component List'!U$2:V$30,2,FALSE)</f>
        <v>#N/A</v>
      </c>
      <c r="AB89" s="77">
        <f>VLOOKUP(M89,'Component List'!AA$2:AB$30,2,FALSE)</f>
        <v>3</v>
      </c>
      <c r="AC89" s="77" t="str">
        <f>VLOOKUP(N89,'Component List'!Y$2:Z$30,2,FALSE)</f>
        <v>C</v>
      </c>
      <c r="AD89" s="159" t="e">
        <f>VLOOKUP(O89,'Component List'!W$3:X$30,2,FALSE)</f>
        <v>#N/A</v>
      </c>
      <c r="AG89" s="93"/>
    </row>
    <row r="90" spans="1:33" ht="30" customHeight="1" x14ac:dyDescent="0.3">
      <c r="A90" s="239"/>
      <c r="B90" s="101" t="s">
        <v>166</v>
      </c>
      <c r="C90" s="80" t="s">
        <v>178</v>
      </c>
      <c r="D90" s="80" t="s">
        <v>136</v>
      </c>
      <c r="E90" s="81" t="s">
        <v>137</v>
      </c>
      <c r="F90" s="80" t="s">
        <v>39</v>
      </c>
      <c r="G90" s="80" t="s">
        <v>183</v>
      </c>
      <c r="H90" s="80" t="s">
        <v>138</v>
      </c>
      <c r="I90" s="104" t="s">
        <v>198</v>
      </c>
      <c r="J90" s="117" t="s">
        <v>143</v>
      </c>
      <c r="K90" s="135" t="s">
        <v>366</v>
      </c>
      <c r="L90" s="135" t="s">
        <v>366</v>
      </c>
      <c r="M90" s="101">
        <v>1</v>
      </c>
      <c r="N90" s="82" t="s">
        <v>175</v>
      </c>
      <c r="O90" s="117" t="s">
        <v>367</v>
      </c>
      <c r="P90" s="123" t="e">
        <f t="shared" si="1"/>
        <v>#N/A</v>
      </c>
      <c r="Q90" s="119" t="str">
        <f>VLOOKUP($B90,'Component List'!$A$2:$B$30,2,FALSE)</f>
        <v>HD2</v>
      </c>
      <c r="R90" s="77" t="e">
        <f>VLOOKUP($C90,'Component List'!C$2:D$28,2,FALSE)</f>
        <v>#N/A</v>
      </c>
      <c r="S90" s="77" t="str">
        <f>VLOOKUP($D90,'Component List'!E$2:F$30,2,FALSE)</f>
        <v>D</v>
      </c>
      <c r="T90" s="77">
        <f>VLOOKUP($E90,'Component List'!G$2:H$30,2,FALSE)</f>
        <v>102</v>
      </c>
      <c r="U90" s="77">
        <f>VLOOKUP($F90,'Component List'!I$2:J$30,2,FALSE)</f>
        <v>105</v>
      </c>
      <c r="V90" s="77">
        <f>VLOOKUP(G90,'Component List'!K$2:L$30,2,FALSE)</f>
        <v>101</v>
      </c>
      <c r="W90" s="77">
        <f>VLOOKUP(H90,'Component List'!M$2:N$31,2,FALSE)</f>
        <v>100</v>
      </c>
      <c r="X90" s="77">
        <f>VLOOKUP(I90,'Component List'!O$2:P$30,2,FALSE)</f>
        <v>100</v>
      </c>
      <c r="Y90" s="77" t="str">
        <f>VLOOKUP(J90,'Component List'!Q$2:R$30,2,FALSE)</f>
        <v>000</v>
      </c>
      <c r="Z90" s="77" t="e">
        <f>VLOOKUP(K90,'Component List'!S$2:T$30,2,FALSE)</f>
        <v>#N/A</v>
      </c>
      <c r="AA90" s="77" t="e">
        <f>VLOOKUP(L90,'Component List'!U$2:V$30,2,FALSE)</f>
        <v>#N/A</v>
      </c>
      <c r="AB90" s="77">
        <f>VLOOKUP(M90,'Component List'!AA$2:AB$30,2,FALSE)</f>
        <v>1</v>
      </c>
      <c r="AC90" s="77" t="str">
        <f>VLOOKUP(N90,'Component List'!Y$2:Z$30,2,FALSE)</f>
        <v>P</v>
      </c>
      <c r="AD90" s="159" t="e">
        <f>VLOOKUP(O90,'Component List'!W$3:X$30,2,FALSE)</f>
        <v>#N/A</v>
      </c>
      <c r="AG90" s="93"/>
    </row>
    <row r="91" spans="1:33" ht="30" customHeight="1" x14ac:dyDescent="0.3">
      <c r="A91" s="239"/>
      <c r="B91" s="101" t="s">
        <v>166</v>
      </c>
      <c r="C91" s="80" t="s">
        <v>178</v>
      </c>
      <c r="D91" s="80" t="s">
        <v>136</v>
      </c>
      <c r="E91" s="81" t="s">
        <v>137</v>
      </c>
      <c r="F91" s="80" t="s">
        <v>39</v>
      </c>
      <c r="G91" s="80" t="s">
        <v>183</v>
      </c>
      <c r="H91" s="80" t="s">
        <v>138</v>
      </c>
      <c r="I91" s="104" t="s">
        <v>198</v>
      </c>
      <c r="J91" s="117" t="s">
        <v>143</v>
      </c>
      <c r="K91" s="135" t="s">
        <v>366</v>
      </c>
      <c r="L91" s="135" t="s">
        <v>366</v>
      </c>
      <c r="M91" s="101">
        <v>1</v>
      </c>
      <c r="N91" s="82" t="s">
        <v>187</v>
      </c>
      <c r="O91" s="117" t="s">
        <v>367</v>
      </c>
      <c r="P91" s="123" t="e">
        <f t="shared" si="1"/>
        <v>#N/A</v>
      </c>
      <c r="Q91" s="119" t="str">
        <f>VLOOKUP($B91,'Component List'!$A$2:$B$30,2,FALSE)</f>
        <v>HD2</v>
      </c>
      <c r="R91" s="77" t="e">
        <f>VLOOKUP($C91,'Component List'!C$2:D$28,2,FALSE)</f>
        <v>#N/A</v>
      </c>
      <c r="S91" s="77" t="str">
        <f>VLOOKUP($D91,'Component List'!E$2:F$30,2,FALSE)</f>
        <v>D</v>
      </c>
      <c r="T91" s="77">
        <f>VLOOKUP($E91,'Component List'!G$2:H$30,2,FALSE)</f>
        <v>102</v>
      </c>
      <c r="U91" s="77">
        <f>VLOOKUP($F91,'Component List'!I$2:J$30,2,FALSE)</f>
        <v>105</v>
      </c>
      <c r="V91" s="77">
        <f>VLOOKUP(G91,'Component List'!K$2:L$30,2,FALSE)</f>
        <v>101</v>
      </c>
      <c r="W91" s="77">
        <f>VLOOKUP(H91,'Component List'!M$2:N$31,2,FALSE)</f>
        <v>100</v>
      </c>
      <c r="X91" s="77">
        <f>VLOOKUP(I91,'Component List'!O$2:P$30,2,FALSE)</f>
        <v>100</v>
      </c>
      <c r="Y91" s="77" t="str">
        <f>VLOOKUP(J91,'Component List'!Q$2:R$30,2,FALSE)</f>
        <v>000</v>
      </c>
      <c r="Z91" s="77" t="e">
        <f>VLOOKUP(K91,'Component List'!S$2:T$30,2,FALSE)</f>
        <v>#N/A</v>
      </c>
      <c r="AA91" s="77" t="e">
        <f>VLOOKUP(L91,'Component List'!U$2:V$30,2,FALSE)</f>
        <v>#N/A</v>
      </c>
      <c r="AB91" s="77">
        <f>VLOOKUP(M91,'Component List'!AA$2:AB$30,2,FALSE)</f>
        <v>1</v>
      </c>
      <c r="AC91" s="77" t="str">
        <f>VLOOKUP(N91,'Component List'!Y$2:Z$30,2,FALSE)</f>
        <v>C</v>
      </c>
      <c r="AD91" s="159" t="e">
        <f>VLOOKUP(O91,'Component List'!W$3:X$30,2,FALSE)</f>
        <v>#N/A</v>
      </c>
      <c r="AG91" s="93"/>
    </row>
    <row r="92" spans="1:33" ht="30" customHeight="1" x14ac:dyDescent="0.3">
      <c r="A92" s="239"/>
      <c r="B92" s="101" t="s">
        <v>166</v>
      </c>
      <c r="C92" s="80" t="s">
        <v>178</v>
      </c>
      <c r="D92" s="80" t="s">
        <v>136</v>
      </c>
      <c r="E92" s="81" t="s">
        <v>137</v>
      </c>
      <c r="F92" s="80" t="s">
        <v>39</v>
      </c>
      <c r="G92" s="80" t="s">
        <v>183</v>
      </c>
      <c r="H92" s="80" t="s">
        <v>138</v>
      </c>
      <c r="I92" s="104" t="s">
        <v>198</v>
      </c>
      <c r="J92" s="117" t="s">
        <v>143</v>
      </c>
      <c r="K92" s="135" t="s">
        <v>366</v>
      </c>
      <c r="L92" s="135" t="s">
        <v>366</v>
      </c>
      <c r="M92" s="101">
        <v>2</v>
      </c>
      <c r="N92" s="82" t="s">
        <v>175</v>
      </c>
      <c r="O92" s="117" t="s">
        <v>367</v>
      </c>
      <c r="P92" s="123" t="e">
        <f t="shared" si="1"/>
        <v>#N/A</v>
      </c>
      <c r="Q92" s="119" t="str">
        <f>VLOOKUP($B92,'Component List'!$A$2:$B$30,2,FALSE)</f>
        <v>HD2</v>
      </c>
      <c r="R92" s="77" t="e">
        <f>VLOOKUP($C92,'Component List'!C$2:D$28,2,FALSE)</f>
        <v>#N/A</v>
      </c>
      <c r="S92" s="77" t="str">
        <f>VLOOKUP($D92,'Component List'!E$2:F$30,2,FALSE)</f>
        <v>D</v>
      </c>
      <c r="T92" s="77">
        <f>VLOOKUP($E92,'Component List'!G$2:H$30,2,FALSE)</f>
        <v>102</v>
      </c>
      <c r="U92" s="77">
        <f>VLOOKUP($F92,'Component List'!I$2:J$30,2,FALSE)</f>
        <v>105</v>
      </c>
      <c r="V92" s="77">
        <f>VLOOKUP(G92,'Component List'!K$2:L$30,2,FALSE)</f>
        <v>101</v>
      </c>
      <c r="W92" s="77">
        <f>VLOOKUP(H92,'Component List'!M$2:N$31,2,FALSE)</f>
        <v>100</v>
      </c>
      <c r="X92" s="77">
        <f>VLOOKUP(I92,'Component List'!O$2:P$30,2,FALSE)</f>
        <v>100</v>
      </c>
      <c r="Y92" s="77" t="str">
        <f>VLOOKUP(J92,'Component List'!Q$2:R$30,2,FALSE)</f>
        <v>000</v>
      </c>
      <c r="Z92" s="77" t="e">
        <f>VLOOKUP(K92,'Component List'!S$2:T$30,2,FALSE)</f>
        <v>#N/A</v>
      </c>
      <c r="AA92" s="77" t="e">
        <f>VLOOKUP(L92,'Component List'!U$2:V$30,2,FALSE)</f>
        <v>#N/A</v>
      </c>
      <c r="AB92" s="77">
        <f>VLOOKUP(M92,'Component List'!AA$2:AB$30,2,FALSE)</f>
        <v>2</v>
      </c>
      <c r="AC92" s="77" t="str">
        <f>VLOOKUP(N92,'Component List'!Y$2:Z$30,2,FALSE)</f>
        <v>P</v>
      </c>
      <c r="AD92" s="159" t="e">
        <f>VLOOKUP(O92,'Component List'!W$3:X$30,2,FALSE)</f>
        <v>#N/A</v>
      </c>
      <c r="AG92" s="93"/>
    </row>
    <row r="93" spans="1:33" ht="30" customHeight="1" x14ac:dyDescent="0.3">
      <c r="A93" s="239"/>
      <c r="B93" s="101" t="s">
        <v>166</v>
      </c>
      <c r="C93" s="80" t="s">
        <v>178</v>
      </c>
      <c r="D93" s="80" t="s">
        <v>136</v>
      </c>
      <c r="E93" s="81" t="s">
        <v>137</v>
      </c>
      <c r="F93" s="80" t="s">
        <v>39</v>
      </c>
      <c r="G93" s="80" t="s">
        <v>183</v>
      </c>
      <c r="H93" s="80" t="s">
        <v>138</v>
      </c>
      <c r="I93" s="104" t="s">
        <v>198</v>
      </c>
      <c r="J93" s="117" t="s">
        <v>143</v>
      </c>
      <c r="K93" s="135" t="s">
        <v>366</v>
      </c>
      <c r="L93" s="135" t="s">
        <v>366</v>
      </c>
      <c r="M93" s="101">
        <v>2</v>
      </c>
      <c r="N93" s="82" t="s">
        <v>187</v>
      </c>
      <c r="O93" s="117" t="s">
        <v>367</v>
      </c>
      <c r="P93" s="123" t="e">
        <f t="shared" si="1"/>
        <v>#N/A</v>
      </c>
      <c r="Q93" s="119" t="str">
        <f>VLOOKUP($B93,'Component List'!$A$2:$B$30,2,FALSE)</f>
        <v>HD2</v>
      </c>
      <c r="R93" s="77" t="e">
        <f>VLOOKUP($C93,'Component List'!C$2:D$28,2,FALSE)</f>
        <v>#N/A</v>
      </c>
      <c r="S93" s="77" t="str">
        <f>VLOOKUP($D93,'Component List'!E$2:F$30,2,FALSE)</f>
        <v>D</v>
      </c>
      <c r="T93" s="77">
        <f>VLOOKUP($E93,'Component List'!G$2:H$30,2,FALSE)</f>
        <v>102</v>
      </c>
      <c r="U93" s="77">
        <f>VLOOKUP($F93,'Component List'!I$2:J$30,2,FALSE)</f>
        <v>105</v>
      </c>
      <c r="V93" s="77">
        <f>VLOOKUP(G93,'Component List'!K$2:L$30,2,FALSE)</f>
        <v>101</v>
      </c>
      <c r="W93" s="77">
        <f>VLOOKUP(H93,'Component List'!M$2:N$31,2,FALSE)</f>
        <v>100</v>
      </c>
      <c r="X93" s="77">
        <f>VLOOKUP(I93,'Component List'!O$2:P$30,2,FALSE)</f>
        <v>100</v>
      </c>
      <c r="Y93" s="77" t="str">
        <f>VLOOKUP(J93,'Component List'!Q$2:R$30,2,FALSE)</f>
        <v>000</v>
      </c>
      <c r="Z93" s="77" t="e">
        <f>VLOOKUP(K93,'Component List'!S$2:T$30,2,FALSE)</f>
        <v>#N/A</v>
      </c>
      <c r="AA93" s="77" t="e">
        <f>VLOOKUP(L93,'Component List'!U$2:V$30,2,FALSE)</f>
        <v>#N/A</v>
      </c>
      <c r="AB93" s="77">
        <f>VLOOKUP(M93,'Component List'!AA$2:AB$30,2,FALSE)</f>
        <v>2</v>
      </c>
      <c r="AC93" s="77" t="str">
        <f>VLOOKUP(N93,'Component List'!Y$2:Z$30,2,FALSE)</f>
        <v>C</v>
      </c>
      <c r="AD93" s="159" t="e">
        <f>VLOOKUP(O93,'Component List'!W$3:X$30,2,FALSE)</f>
        <v>#N/A</v>
      </c>
      <c r="AG93" s="93"/>
    </row>
    <row r="94" spans="1:33" ht="30" customHeight="1" x14ac:dyDescent="0.3">
      <c r="A94" s="239"/>
      <c r="B94" s="101" t="s">
        <v>166</v>
      </c>
      <c r="C94" s="80" t="s">
        <v>178</v>
      </c>
      <c r="D94" s="80" t="s">
        <v>136</v>
      </c>
      <c r="E94" s="81" t="s">
        <v>137</v>
      </c>
      <c r="F94" s="80" t="s">
        <v>39</v>
      </c>
      <c r="G94" s="80" t="s">
        <v>183</v>
      </c>
      <c r="H94" s="80" t="s">
        <v>138</v>
      </c>
      <c r="I94" s="104" t="s">
        <v>198</v>
      </c>
      <c r="J94" s="117" t="s">
        <v>143</v>
      </c>
      <c r="K94" s="135" t="s">
        <v>366</v>
      </c>
      <c r="L94" s="135" t="s">
        <v>366</v>
      </c>
      <c r="M94" s="101">
        <v>3</v>
      </c>
      <c r="N94" s="82" t="s">
        <v>175</v>
      </c>
      <c r="O94" s="117" t="s">
        <v>367</v>
      </c>
      <c r="P94" s="123" t="e">
        <f t="shared" si="1"/>
        <v>#N/A</v>
      </c>
      <c r="Q94" s="119" t="str">
        <f>VLOOKUP($B94,'Component List'!$A$2:$B$30,2,FALSE)</f>
        <v>HD2</v>
      </c>
      <c r="R94" s="77" t="e">
        <f>VLOOKUP($C94,'Component List'!C$2:D$28,2,FALSE)</f>
        <v>#N/A</v>
      </c>
      <c r="S94" s="77" t="str">
        <f>VLOOKUP($D94,'Component List'!E$2:F$30,2,FALSE)</f>
        <v>D</v>
      </c>
      <c r="T94" s="77">
        <f>VLOOKUP($E94,'Component List'!G$2:H$30,2,FALSE)</f>
        <v>102</v>
      </c>
      <c r="U94" s="77">
        <f>VLOOKUP($F94,'Component List'!I$2:J$30,2,FALSE)</f>
        <v>105</v>
      </c>
      <c r="V94" s="77">
        <f>VLOOKUP(G94,'Component List'!K$2:L$30,2,FALSE)</f>
        <v>101</v>
      </c>
      <c r="W94" s="77">
        <f>VLOOKUP(H94,'Component List'!M$2:N$31,2,FALSE)</f>
        <v>100</v>
      </c>
      <c r="X94" s="77">
        <f>VLOOKUP(I94,'Component List'!O$2:P$30,2,FALSE)</f>
        <v>100</v>
      </c>
      <c r="Y94" s="77" t="str">
        <f>VLOOKUP(J94,'Component List'!Q$2:R$30,2,FALSE)</f>
        <v>000</v>
      </c>
      <c r="Z94" s="77" t="e">
        <f>VLOOKUP(K94,'Component List'!S$2:T$30,2,FALSE)</f>
        <v>#N/A</v>
      </c>
      <c r="AA94" s="77" t="e">
        <f>VLOOKUP(L94,'Component List'!U$2:V$30,2,FALSE)</f>
        <v>#N/A</v>
      </c>
      <c r="AB94" s="77">
        <f>VLOOKUP(M94,'Component List'!AA$2:AB$30,2,FALSE)</f>
        <v>3</v>
      </c>
      <c r="AC94" s="77" t="str">
        <f>VLOOKUP(N94,'Component List'!Y$2:Z$30,2,FALSE)</f>
        <v>P</v>
      </c>
      <c r="AD94" s="159" t="e">
        <f>VLOOKUP(O94,'Component List'!W$3:X$30,2,FALSE)</f>
        <v>#N/A</v>
      </c>
      <c r="AG94" s="93"/>
    </row>
    <row r="95" spans="1:33" ht="30" customHeight="1" x14ac:dyDescent="0.3">
      <c r="A95" s="239"/>
      <c r="B95" s="101" t="s">
        <v>166</v>
      </c>
      <c r="C95" s="80" t="s">
        <v>178</v>
      </c>
      <c r="D95" s="80" t="s">
        <v>136</v>
      </c>
      <c r="E95" s="81" t="s">
        <v>137</v>
      </c>
      <c r="F95" s="80" t="s">
        <v>39</v>
      </c>
      <c r="G95" s="80" t="s">
        <v>183</v>
      </c>
      <c r="H95" s="80" t="s">
        <v>138</v>
      </c>
      <c r="I95" s="104" t="s">
        <v>198</v>
      </c>
      <c r="J95" s="117" t="s">
        <v>143</v>
      </c>
      <c r="K95" s="135" t="s">
        <v>366</v>
      </c>
      <c r="L95" s="135" t="s">
        <v>366</v>
      </c>
      <c r="M95" s="101">
        <v>3</v>
      </c>
      <c r="N95" s="82" t="s">
        <v>187</v>
      </c>
      <c r="O95" s="117" t="s">
        <v>367</v>
      </c>
      <c r="P95" s="123" t="e">
        <f t="shared" si="1"/>
        <v>#N/A</v>
      </c>
      <c r="Q95" s="119" t="str">
        <f>VLOOKUP($B95,'Component List'!$A$2:$B$30,2,FALSE)</f>
        <v>HD2</v>
      </c>
      <c r="R95" s="77" t="e">
        <f>VLOOKUP($C95,'Component List'!C$2:D$28,2,FALSE)</f>
        <v>#N/A</v>
      </c>
      <c r="S95" s="77" t="str">
        <f>VLOOKUP($D95,'Component List'!E$2:F$30,2,FALSE)</f>
        <v>D</v>
      </c>
      <c r="T95" s="77">
        <f>VLOOKUP($E95,'Component List'!G$2:H$30,2,FALSE)</f>
        <v>102</v>
      </c>
      <c r="U95" s="77">
        <f>VLOOKUP($F95,'Component List'!I$2:J$30,2,FALSE)</f>
        <v>105</v>
      </c>
      <c r="V95" s="77">
        <f>VLOOKUP(G95,'Component List'!K$2:L$30,2,FALSE)</f>
        <v>101</v>
      </c>
      <c r="W95" s="77">
        <f>VLOOKUP(H95,'Component List'!M$2:N$31,2,FALSE)</f>
        <v>100</v>
      </c>
      <c r="X95" s="77">
        <f>VLOOKUP(I95,'Component List'!O$2:P$30,2,FALSE)</f>
        <v>100</v>
      </c>
      <c r="Y95" s="77" t="str">
        <f>VLOOKUP(J95,'Component List'!Q$2:R$30,2,FALSE)</f>
        <v>000</v>
      </c>
      <c r="Z95" s="77" t="e">
        <f>VLOOKUP(K95,'Component List'!S$2:T$30,2,FALSE)</f>
        <v>#N/A</v>
      </c>
      <c r="AA95" s="77" t="e">
        <f>VLOOKUP(L95,'Component List'!U$2:V$30,2,FALSE)</f>
        <v>#N/A</v>
      </c>
      <c r="AB95" s="77">
        <f>VLOOKUP(M95,'Component List'!AA$2:AB$30,2,FALSE)</f>
        <v>3</v>
      </c>
      <c r="AC95" s="77" t="str">
        <f>VLOOKUP(N95,'Component List'!Y$2:Z$30,2,FALSE)</f>
        <v>C</v>
      </c>
      <c r="AD95" s="159" t="e">
        <f>VLOOKUP(O95,'Component List'!W$3:X$30,2,FALSE)</f>
        <v>#N/A</v>
      </c>
      <c r="AG95" s="93"/>
    </row>
    <row r="96" spans="1:33" ht="30" customHeight="1" x14ac:dyDescent="0.3">
      <c r="A96" s="239"/>
      <c r="B96" s="101" t="s">
        <v>166</v>
      </c>
      <c r="C96" s="80" t="s">
        <v>178</v>
      </c>
      <c r="D96" s="80" t="s">
        <v>136</v>
      </c>
      <c r="E96" s="81" t="s">
        <v>137</v>
      </c>
      <c r="F96" s="80" t="s">
        <v>45</v>
      </c>
      <c r="G96" s="80" t="s">
        <v>183</v>
      </c>
      <c r="H96" s="80" t="s">
        <v>208</v>
      </c>
      <c r="I96" s="104" t="s">
        <v>198</v>
      </c>
      <c r="J96" s="117" t="s">
        <v>143</v>
      </c>
      <c r="K96" s="135" t="s">
        <v>366</v>
      </c>
      <c r="L96" s="135" t="s">
        <v>366</v>
      </c>
      <c r="M96" s="101">
        <v>1</v>
      </c>
      <c r="N96" s="82" t="s">
        <v>175</v>
      </c>
      <c r="O96" s="117" t="s">
        <v>367</v>
      </c>
      <c r="P96" s="123" t="e">
        <f t="shared" si="1"/>
        <v>#N/A</v>
      </c>
      <c r="Q96" s="119" t="str">
        <f>VLOOKUP($B96,'Component List'!$A$2:$B$30,2,FALSE)</f>
        <v>HD2</v>
      </c>
      <c r="R96" s="77" t="e">
        <f>VLOOKUP($C96,'Component List'!C$2:D$28,2,FALSE)</f>
        <v>#N/A</v>
      </c>
      <c r="S96" s="77" t="str">
        <f>VLOOKUP($D96,'Component List'!E$2:F$30,2,FALSE)</f>
        <v>D</v>
      </c>
      <c r="T96" s="77">
        <f>VLOOKUP($E96,'Component List'!G$2:H$30,2,FALSE)</f>
        <v>102</v>
      </c>
      <c r="U96" s="77">
        <f>VLOOKUP($F96,'Component List'!I$2:J$30,2,FALSE)</f>
        <v>106</v>
      </c>
      <c r="V96" s="77">
        <f>VLOOKUP(G96,'Component List'!K$2:L$30,2,FALSE)</f>
        <v>101</v>
      </c>
      <c r="W96" s="77">
        <f>VLOOKUP(H96,'Component List'!M$2:N$31,2,FALSE)</f>
        <v>103</v>
      </c>
      <c r="X96" s="77">
        <f>VLOOKUP(I96,'Component List'!O$2:P$30,2,FALSE)</f>
        <v>100</v>
      </c>
      <c r="Y96" s="77" t="str">
        <f>VLOOKUP(J96,'Component List'!Q$2:R$30,2,FALSE)</f>
        <v>000</v>
      </c>
      <c r="Z96" s="77" t="e">
        <f>VLOOKUP(K96,'Component List'!S$2:T$30,2,FALSE)</f>
        <v>#N/A</v>
      </c>
      <c r="AA96" s="77" t="e">
        <f>VLOOKUP(L96,'Component List'!U$2:V$30,2,FALSE)</f>
        <v>#N/A</v>
      </c>
      <c r="AB96" s="77">
        <f>VLOOKUP(M96,'Component List'!AA$2:AB$30,2,FALSE)</f>
        <v>1</v>
      </c>
      <c r="AC96" s="77" t="str">
        <f>VLOOKUP(N96,'Component List'!Y$2:Z$30,2,FALSE)</f>
        <v>P</v>
      </c>
      <c r="AD96" s="159" t="e">
        <f>VLOOKUP(O96,'Component List'!W$3:X$30,2,FALSE)</f>
        <v>#N/A</v>
      </c>
      <c r="AG96" s="93"/>
    </row>
    <row r="97" spans="1:33" ht="30" customHeight="1" x14ac:dyDescent="0.3">
      <c r="A97" s="239"/>
      <c r="B97" s="101" t="s">
        <v>166</v>
      </c>
      <c r="C97" s="80" t="s">
        <v>178</v>
      </c>
      <c r="D97" s="80" t="s">
        <v>136</v>
      </c>
      <c r="E97" s="81" t="s">
        <v>137</v>
      </c>
      <c r="F97" s="80" t="s">
        <v>45</v>
      </c>
      <c r="G97" s="80" t="s">
        <v>183</v>
      </c>
      <c r="H97" s="80" t="s">
        <v>208</v>
      </c>
      <c r="I97" s="104" t="s">
        <v>198</v>
      </c>
      <c r="J97" s="117" t="s">
        <v>143</v>
      </c>
      <c r="K97" s="135" t="s">
        <v>366</v>
      </c>
      <c r="L97" s="135" t="s">
        <v>366</v>
      </c>
      <c r="M97" s="101">
        <v>1</v>
      </c>
      <c r="N97" s="82" t="s">
        <v>187</v>
      </c>
      <c r="O97" s="117" t="s">
        <v>367</v>
      </c>
      <c r="P97" s="123" t="e">
        <f t="shared" si="1"/>
        <v>#N/A</v>
      </c>
      <c r="Q97" s="119" t="str">
        <f>VLOOKUP($B97,'Component List'!$A$2:$B$30,2,FALSE)</f>
        <v>HD2</v>
      </c>
      <c r="R97" s="77" t="e">
        <f>VLOOKUP($C97,'Component List'!C$2:D$28,2,FALSE)</f>
        <v>#N/A</v>
      </c>
      <c r="S97" s="77" t="str">
        <f>VLOOKUP($D97,'Component List'!E$2:F$30,2,FALSE)</f>
        <v>D</v>
      </c>
      <c r="T97" s="77">
        <f>VLOOKUP($E97,'Component List'!G$2:H$30,2,FALSE)</f>
        <v>102</v>
      </c>
      <c r="U97" s="77">
        <f>VLOOKUP($F97,'Component List'!I$2:J$30,2,FALSE)</f>
        <v>106</v>
      </c>
      <c r="V97" s="77">
        <f>VLOOKUP(G97,'Component List'!K$2:L$30,2,FALSE)</f>
        <v>101</v>
      </c>
      <c r="W97" s="77">
        <f>VLOOKUP(H97,'Component List'!M$2:N$31,2,FALSE)</f>
        <v>103</v>
      </c>
      <c r="X97" s="77">
        <f>VLOOKUP(I97,'Component List'!O$2:P$30,2,FALSE)</f>
        <v>100</v>
      </c>
      <c r="Y97" s="77" t="str">
        <f>VLOOKUP(J97,'Component List'!Q$2:R$30,2,FALSE)</f>
        <v>000</v>
      </c>
      <c r="Z97" s="77" t="e">
        <f>VLOOKUP(K97,'Component List'!S$2:T$30,2,FALSE)</f>
        <v>#N/A</v>
      </c>
      <c r="AA97" s="77" t="e">
        <f>VLOOKUP(L97,'Component List'!U$2:V$30,2,FALSE)</f>
        <v>#N/A</v>
      </c>
      <c r="AB97" s="77">
        <f>VLOOKUP(M97,'Component List'!AA$2:AB$30,2,FALSE)</f>
        <v>1</v>
      </c>
      <c r="AC97" s="77" t="str">
        <f>VLOOKUP(N97,'Component List'!Y$2:Z$30,2,FALSE)</f>
        <v>C</v>
      </c>
      <c r="AD97" s="159" t="e">
        <f>VLOOKUP(O97,'Component List'!W$3:X$30,2,FALSE)</f>
        <v>#N/A</v>
      </c>
      <c r="AG97" s="93"/>
    </row>
    <row r="98" spans="1:33" ht="30" customHeight="1" x14ac:dyDescent="0.3">
      <c r="A98" s="239"/>
      <c r="B98" s="101" t="s">
        <v>166</v>
      </c>
      <c r="C98" s="80" t="s">
        <v>178</v>
      </c>
      <c r="D98" s="80" t="s">
        <v>136</v>
      </c>
      <c r="E98" s="81" t="s">
        <v>137</v>
      </c>
      <c r="F98" s="80" t="s">
        <v>45</v>
      </c>
      <c r="G98" s="80" t="s">
        <v>183</v>
      </c>
      <c r="H98" s="80" t="s">
        <v>208</v>
      </c>
      <c r="I98" s="104" t="s">
        <v>198</v>
      </c>
      <c r="J98" s="117" t="s">
        <v>143</v>
      </c>
      <c r="K98" s="135" t="s">
        <v>366</v>
      </c>
      <c r="L98" s="135" t="s">
        <v>366</v>
      </c>
      <c r="M98" s="101">
        <v>2</v>
      </c>
      <c r="N98" s="82" t="s">
        <v>175</v>
      </c>
      <c r="O98" s="117" t="s">
        <v>367</v>
      </c>
      <c r="P98" s="123" t="e">
        <f t="shared" si="1"/>
        <v>#N/A</v>
      </c>
      <c r="Q98" s="119" t="str">
        <f>VLOOKUP($B98,'Component List'!$A$2:$B$30,2,FALSE)</f>
        <v>HD2</v>
      </c>
      <c r="R98" s="77" t="e">
        <f>VLOOKUP($C98,'Component List'!C$2:D$28,2,FALSE)</f>
        <v>#N/A</v>
      </c>
      <c r="S98" s="77" t="str">
        <f>VLOOKUP($D98,'Component List'!E$2:F$30,2,FALSE)</f>
        <v>D</v>
      </c>
      <c r="T98" s="77">
        <f>VLOOKUP($E98,'Component List'!G$2:H$30,2,FALSE)</f>
        <v>102</v>
      </c>
      <c r="U98" s="77">
        <f>VLOOKUP($F98,'Component List'!I$2:J$30,2,FALSE)</f>
        <v>106</v>
      </c>
      <c r="V98" s="77">
        <f>VLOOKUP(G98,'Component List'!K$2:L$30,2,FALSE)</f>
        <v>101</v>
      </c>
      <c r="W98" s="77">
        <f>VLOOKUP(H98,'Component List'!M$2:N$31,2,FALSE)</f>
        <v>103</v>
      </c>
      <c r="X98" s="77">
        <f>VLOOKUP(I98,'Component List'!O$2:P$30,2,FALSE)</f>
        <v>100</v>
      </c>
      <c r="Y98" s="77" t="str">
        <f>VLOOKUP(J98,'Component List'!Q$2:R$30,2,FALSE)</f>
        <v>000</v>
      </c>
      <c r="Z98" s="77" t="e">
        <f>VLOOKUP(K98,'Component List'!S$2:T$30,2,FALSE)</f>
        <v>#N/A</v>
      </c>
      <c r="AA98" s="77" t="e">
        <f>VLOOKUP(L98,'Component List'!U$2:V$30,2,FALSE)</f>
        <v>#N/A</v>
      </c>
      <c r="AB98" s="77">
        <f>VLOOKUP(M98,'Component List'!AA$2:AB$30,2,FALSE)</f>
        <v>2</v>
      </c>
      <c r="AC98" s="77" t="str">
        <f>VLOOKUP(N98,'Component List'!Y$2:Z$30,2,FALSE)</f>
        <v>P</v>
      </c>
      <c r="AD98" s="159" t="e">
        <f>VLOOKUP(O98,'Component List'!W$3:X$30,2,FALSE)</f>
        <v>#N/A</v>
      </c>
      <c r="AG98" s="93"/>
    </row>
    <row r="99" spans="1:33" ht="30" customHeight="1" x14ac:dyDescent="0.3">
      <c r="A99" s="239"/>
      <c r="B99" s="101" t="s">
        <v>166</v>
      </c>
      <c r="C99" s="80" t="s">
        <v>178</v>
      </c>
      <c r="D99" s="80" t="s">
        <v>136</v>
      </c>
      <c r="E99" s="81" t="s">
        <v>137</v>
      </c>
      <c r="F99" s="80" t="s">
        <v>45</v>
      </c>
      <c r="G99" s="80" t="s">
        <v>183</v>
      </c>
      <c r="H99" s="80" t="s">
        <v>208</v>
      </c>
      <c r="I99" s="104" t="s">
        <v>198</v>
      </c>
      <c r="J99" s="117" t="s">
        <v>143</v>
      </c>
      <c r="K99" s="135" t="s">
        <v>366</v>
      </c>
      <c r="L99" s="135" t="s">
        <v>366</v>
      </c>
      <c r="M99" s="101">
        <v>2</v>
      </c>
      <c r="N99" s="82" t="s">
        <v>187</v>
      </c>
      <c r="O99" s="117" t="s">
        <v>367</v>
      </c>
      <c r="P99" s="123" t="e">
        <f t="shared" si="1"/>
        <v>#N/A</v>
      </c>
      <c r="Q99" s="119" t="str">
        <f>VLOOKUP($B99,'Component List'!$A$2:$B$30,2,FALSE)</f>
        <v>HD2</v>
      </c>
      <c r="R99" s="77" t="e">
        <f>VLOOKUP($C99,'Component List'!C$2:D$28,2,FALSE)</f>
        <v>#N/A</v>
      </c>
      <c r="S99" s="77" t="str">
        <f>VLOOKUP($D99,'Component List'!E$2:F$30,2,FALSE)</f>
        <v>D</v>
      </c>
      <c r="T99" s="77">
        <f>VLOOKUP($E99,'Component List'!G$2:H$30,2,FALSE)</f>
        <v>102</v>
      </c>
      <c r="U99" s="77">
        <f>VLOOKUP($F99,'Component List'!I$2:J$30,2,FALSE)</f>
        <v>106</v>
      </c>
      <c r="V99" s="77">
        <f>VLOOKUP(G99,'Component List'!K$2:L$30,2,FALSE)</f>
        <v>101</v>
      </c>
      <c r="W99" s="77">
        <f>VLOOKUP(H99,'Component List'!M$2:N$31,2,FALSE)</f>
        <v>103</v>
      </c>
      <c r="X99" s="77">
        <f>VLOOKUP(I99,'Component List'!O$2:P$30,2,FALSE)</f>
        <v>100</v>
      </c>
      <c r="Y99" s="77" t="str">
        <f>VLOOKUP(J99,'Component List'!Q$2:R$30,2,FALSE)</f>
        <v>000</v>
      </c>
      <c r="Z99" s="77" t="e">
        <f>VLOOKUP(K99,'Component List'!S$2:T$30,2,FALSE)</f>
        <v>#N/A</v>
      </c>
      <c r="AA99" s="77" t="e">
        <f>VLOOKUP(L99,'Component List'!U$2:V$30,2,FALSE)</f>
        <v>#N/A</v>
      </c>
      <c r="AB99" s="77">
        <f>VLOOKUP(M99,'Component List'!AA$2:AB$30,2,FALSE)</f>
        <v>2</v>
      </c>
      <c r="AC99" s="77" t="str">
        <f>VLOOKUP(N99,'Component List'!Y$2:Z$30,2,FALSE)</f>
        <v>C</v>
      </c>
      <c r="AD99" s="159" t="e">
        <f>VLOOKUP(O99,'Component List'!W$3:X$30,2,FALSE)</f>
        <v>#N/A</v>
      </c>
      <c r="AG99" s="93"/>
    </row>
    <row r="100" spans="1:33" ht="30" customHeight="1" x14ac:dyDescent="0.3">
      <c r="A100" s="239"/>
      <c r="B100" s="101" t="s">
        <v>166</v>
      </c>
      <c r="C100" s="80" t="s">
        <v>178</v>
      </c>
      <c r="D100" s="80" t="s">
        <v>136</v>
      </c>
      <c r="E100" s="81" t="s">
        <v>137</v>
      </c>
      <c r="F100" s="80" t="s">
        <v>45</v>
      </c>
      <c r="G100" s="80" t="s">
        <v>183</v>
      </c>
      <c r="H100" s="80" t="s">
        <v>208</v>
      </c>
      <c r="I100" s="104" t="s">
        <v>198</v>
      </c>
      <c r="J100" s="117" t="s">
        <v>143</v>
      </c>
      <c r="K100" s="135" t="s">
        <v>366</v>
      </c>
      <c r="L100" s="135" t="s">
        <v>366</v>
      </c>
      <c r="M100" s="101">
        <v>3</v>
      </c>
      <c r="N100" s="82" t="s">
        <v>175</v>
      </c>
      <c r="O100" s="117" t="s">
        <v>367</v>
      </c>
      <c r="P100" s="123" t="e">
        <f t="shared" si="1"/>
        <v>#N/A</v>
      </c>
      <c r="Q100" s="119" t="str">
        <f>VLOOKUP($B100,'Component List'!$A$2:$B$30,2,FALSE)</f>
        <v>HD2</v>
      </c>
      <c r="R100" s="77" t="e">
        <f>VLOOKUP($C100,'Component List'!C$2:D$28,2,FALSE)</f>
        <v>#N/A</v>
      </c>
      <c r="S100" s="77" t="str">
        <f>VLOOKUP($D100,'Component List'!E$2:F$30,2,FALSE)</f>
        <v>D</v>
      </c>
      <c r="T100" s="77">
        <f>VLOOKUP($E100,'Component List'!G$2:H$30,2,FALSE)</f>
        <v>102</v>
      </c>
      <c r="U100" s="77">
        <f>VLOOKUP($F100,'Component List'!I$2:J$30,2,FALSE)</f>
        <v>106</v>
      </c>
      <c r="V100" s="77">
        <f>VLOOKUP(G100,'Component List'!K$2:L$30,2,FALSE)</f>
        <v>101</v>
      </c>
      <c r="W100" s="77">
        <f>VLOOKUP(H100,'Component List'!M$2:N$31,2,FALSE)</f>
        <v>103</v>
      </c>
      <c r="X100" s="77">
        <f>VLOOKUP(I100,'Component List'!O$2:P$30,2,FALSE)</f>
        <v>100</v>
      </c>
      <c r="Y100" s="77" t="str">
        <f>VLOOKUP(J100,'Component List'!Q$2:R$30,2,FALSE)</f>
        <v>000</v>
      </c>
      <c r="Z100" s="77" t="e">
        <f>VLOOKUP(K100,'Component List'!S$2:T$30,2,FALSE)</f>
        <v>#N/A</v>
      </c>
      <c r="AA100" s="77" t="e">
        <f>VLOOKUP(L100,'Component List'!U$2:V$30,2,FALSE)</f>
        <v>#N/A</v>
      </c>
      <c r="AB100" s="77">
        <f>VLOOKUP(M100,'Component List'!AA$2:AB$30,2,FALSE)</f>
        <v>3</v>
      </c>
      <c r="AC100" s="77" t="str">
        <f>VLOOKUP(N100,'Component List'!Y$2:Z$30,2,FALSE)</f>
        <v>P</v>
      </c>
      <c r="AD100" s="159" t="e">
        <f>VLOOKUP(O100,'Component List'!W$3:X$30,2,FALSE)</f>
        <v>#N/A</v>
      </c>
      <c r="AG100" s="93"/>
    </row>
    <row r="101" spans="1:33" ht="30" customHeight="1" x14ac:dyDescent="0.3">
      <c r="A101" s="239"/>
      <c r="B101" s="101" t="s">
        <v>166</v>
      </c>
      <c r="C101" s="80" t="s">
        <v>178</v>
      </c>
      <c r="D101" s="80" t="s">
        <v>136</v>
      </c>
      <c r="E101" s="81" t="s">
        <v>137</v>
      </c>
      <c r="F101" s="80" t="s">
        <v>45</v>
      </c>
      <c r="G101" s="80" t="s">
        <v>183</v>
      </c>
      <c r="H101" s="80" t="s">
        <v>208</v>
      </c>
      <c r="I101" s="104" t="s">
        <v>198</v>
      </c>
      <c r="J101" s="117" t="s">
        <v>143</v>
      </c>
      <c r="K101" s="135" t="s">
        <v>366</v>
      </c>
      <c r="L101" s="135" t="s">
        <v>366</v>
      </c>
      <c r="M101" s="101">
        <v>3</v>
      </c>
      <c r="N101" s="82" t="s">
        <v>187</v>
      </c>
      <c r="O101" s="117" t="s">
        <v>367</v>
      </c>
      <c r="P101" s="123" t="e">
        <f t="shared" si="1"/>
        <v>#N/A</v>
      </c>
      <c r="Q101" s="119" t="str">
        <f>VLOOKUP($B101,'Component List'!$A$2:$B$30,2,FALSE)</f>
        <v>HD2</v>
      </c>
      <c r="R101" s="77" t="e">
        <f>VLOOKUP($C101,'Component List'!C$2:D$28,2,FALSE)</f>
        <v>#N/A</v>
      </c>
      <c r="S101" s="77" t="str">
        <f>VLOOKUP($D101,'Component List'!E$2:F$30,2,FALSE)</f>
        <v>D</v>
      </c>
      <c r="T101" s="77">
        <f>VLOOKUP($E101,'Component List'!G$2:H$30,2,FALSE)</f>
        <v>102</v>
      </c>
      <c r="U101" s="77">
        <f>VLOOKUP($F101,'Component List'!I$2:J$30,2,FALSE)</f>
        <v>106</v>
      </c>
      <c r="V101" s="77">
        <f>VLOOKUP(G101,'Component List'!K$2:L$30,2,FALSE)</f>
        <v>101</v>
      </c>
      <c r="W101" s="77">
        <f>VLOOKUP(H101,'Component List'!M$2:N$31,2,FALSE)</f>
        <v>103</v>
      </c>
      <c r="X101" s="77">
        <f>VLOOKUP(I101,'Component List'!O$2:P$30,2,FALSE)</f>
        <v>100</v>
      </c>
      <c r="Y101" s="77" t="str">
        <f>VLOOKUP(J101,'Component List'!Q$2:R$30,2,FALSE)</f>
        <v>000</v>
      </c>
      <c r="Z101" s="77" t="e">
        <f>VLOOKUP(K101,'Component List'!S$2:T$30,2,FALSE)</f>
        <v>#N/A</v>
      </c>
      <c r="AA101" s="77" t="e">
        <f>VLOOKUP(L101,'Component List'!U$2:V$30,2,FALSE)</f>
        <v>#N/A</v>
      </c>
      <c r="AB101" s="77">
        <f>VLOOKUP(M101,'Component List'!AA$2:AB$30,2,FALSE)</f>
        <v>3</v>
      </c>
      <c r="AC101" s="77" t="str">
        <f>VLOOKUP(N101,'Component List'!Y$2:Z$30,2,FALSE)</f>
        <v>C</v>
      </c>
      <c r="AD101" s="159" t="e">
        <f>VLOOKUP(O101,'Component List'!W$3:X$30,2,FALSE)</f>
        <v>#N/A</v>
      </c>
      <c r="AG101" s="93"/>
    </row>
    <row r="102" spans="1:33" ht="30" customHeight="1" x14ac:dyDescent="0.3">
      <c r="A102" s="239"/>
      <c r="B102" s="101" t="s">
        <v>166</v>
      </c>
      <c r="C102" s="80" t="s">
        <v>178</v>
      </c>
      <c r="D102" s="80" t="s">
        <v>136</v>
      </c>
      <c r="E102" s="81" t="s">
        <v>182</v>
      </c>
      <c r="F102" s="80" t="s">
        <v>47</v>
      </c>
      <c r="G102" s="80" t="s">
        <v>183</v>
      </c>
      <c r="H102" s="80" t="s">
        <v>138</v>
      </c>
      <c r="I102" s="104" t="s">
        <v>198</v>
      </c>
      <c r="J102" s="117" t="s">
        <v>143</v>
      </c>
      <c r="K102" s="135" t="s">
        <v>366</v>
      </c>
      <c r="L102" s="135" t="s">
        <v>366</v>
      </c>
      <c r="M102" s="101">
        <v>1</v>
      </c>
      <c r="N102" s="82" t="s">
        <v>175</v>
      </c>
      <c r="O102" s="117" t="s">
        <v>367</v>
      </c>
      <c r="P102" s="123" t="e">
        <f t="shared" si="1"/>
        <v>#N/A</v>
      </c>
      <c r="Q102" s="119" t="str">
        <f>VLOOKUP($B102,'Component List'!$A$2:$B$30,2,FALSE)</f>
        <v>HD2</v>
      </c>
      <c r="R102" s="77" t="e">
        <f>VLOOKUP($C102,'Component List'!C$2:D$28,2,FALSE)</f>
        <v>#N/A</v>
      </c>
      <c r="S102" s="77" t="str">
        <f>VLOOKUP($D102,'Component List'!E$2:F$30,2,FALSE)</f>
        <v>D</v>
      </c>
      <c r="T102" s="77">
        <f>VLOOKUP($E102,'Component List'!G$2:H$30,2,FALSE)</f>
        <v>101</v>
      </c>
      <c r="U102" s="77">
        <f>VLOOKUP($F102,'Component List'!I$2:J$30,2,FALSE)</f>
        <v>104</v>
      </c>
      <c r="V102" s="77">
        <f>VLOOKUP(G102,'Component List'!K$2:L$30,2,FALSE)</f>
        <v>101</v>
      </c>
      <c r="W102" s="77">
        <f>VLOOKUP(H102,'Component List'!M$2:N$31,2,FALSE)</f>
        <v>100</v>
      </c>
      <c r="X102" s="77">
        <f>VLOOKUP(I102,'Component List'!O$2:P$30,2,FALSE)</f>
        <v>100</v>
      </c>
      <c r="Y102" s="77" t="str">
        <f>VLOOKUP(J102,'Component List'!Q$2:R$30,2,FALSE)</f>
        <v>000</v>
      </c>
      <c r="Z102" s="77" t="e">
        <f>VLOOKUP(K102,'Component List'!S$2:T$30,2,FALSE)</f>
        <v>#N/A</v>
      </c>
      <c r="AA102" s="77" t="e">
        <f>VLOOKUP(L102,'Component List'!U$2:V$30,2,FALSE)</f>
        <v>#N/A</v>
      </c>
      <c r="AB102" s="77">
        <f>VLOOKUP(M102,'Component List'!AA$2:AB$30,2,FALSE)</f>
        <v>1</v>
      </c>
      <c r="AC102" s="77" t="str">
        <f>VLOOKUP(N102,'Component List'!Y$2:Z$30,2,FALSE)</f>
        <v>P</v>
      </c>
      <c r="AD102" s="159" t="e">
        <f>VLOOKUP(O102,'Component List'!W$3:X$30,2,FALSE)</f>
        <v>#N/A</v>
      </c>
      <c r="AG102" s="93"/>
    </row>
    <row r="103" spans="1:33" ht="30" customHeight="1" x14ac:dyDescent="0.3">
      <c r="A103" s="239"/>
      <c r="B103" s="101" t="s">
        <v>166</v>
      </c>
      <c r="C103" s="80" t="s">
        <v>178</v>
      </c>
      <c r="D103" s="80" t="s">
        <v>136</v>
      </c>
      <c r="E103" s="81" t="s">
        <v>182</v>
      </c>
      <c r="F103" s="80" t="s">
        <v>47</v>
      </c>
      <c r="G103" s="80" t="s">
        <v>183</v>
      </c>
      <c r="H103" s="80" t="s">
        <v>138</v>
      </c>
      <c r="I103" s="104" t="s">
        <v>198</v>
      </c>
      <c r="J103" s="117" t="s">
        <v>143</v>
      </c>
      <c r="K103" s="135" t="s">
        <v>366</v>
      </c>
      <c r="L103" s="135" t="s">
        <v>366</v>
      </c>
      <c r="M103" s="101">
        <v>1</v>
      </c>
      <c r="N103" s="82" t="s">
        <v>187</v>
      </c>
      <c r="O103" s="117" t="s">
        <v>367</v>
      </c>
      <c r="P103" s="123" t="e">
        <f t="shared" si="1"/>
        <v>#N/A</v>
      </c>
      <c r="Q103" s="119" t="str">
        <f>VLOOKUP($B103,'Component List'!$A$2:$B$30,2,FALSE)</f>
        <v>HD2</v>
      </c>
      <c r="R103" s="77" t="e">
        <f>VLOOKUP($C103,'Component List'!C$2:D$28,2,FALSE)</f>
        <v>#N/A</v>
      </c>
      <c r="S103" s="77" t="str">
        <f>VLOOKUP($D103,'Component List'!E$2:F$30,2,FALSE)</f>
        <v>D</v>
      </c>
      <c r="T103" s="77">
        <f>VLOOKUP($E103,'Component List'!G$2:H$30,2,FALSE)</f>
        <v>101</v>
      </c>
      <c r="U103" s="77">
        <f>VLOOKUP($F103,'Component List'!I$2:J$30,2,FALSE)</f>
        <v>104</v>
      </c>
      <c r="V103" s="77">
        <f>VLOOKUP(G103,'Component List'!K$2:L$30,2,FALSE)</f>
        <v>101</v>
      </c>
      <c r="W103" s="77">
        <f>VLOOKUP(H103,'Component List'!M$2:N$31,2,FALSE)</f>
        <v>100</v>
      </c>
      <c r="X103" s="77">
        <f>VLOOKUP(I103,'Component List'!O$2:P$30,2,FALSE)</f>
        <v>100</v>
      </c>
      <c r="Y103" s="77" t="str">
        <f>VLOOKUP(J103,'Component List'!Q$2:R$30,2,FALSE)</f>
        <v>000</v>
      </c>
      <c r="Z103" s="77" t="e">
        <f>VLOOKUP(K103,'Component List'!S$2:T$30,2,FALSE)</f>
        <v>#N/A</v>
      </c>
      <c r="AA103" s="77" t="e">
        <f>VLOOKUP(L103,'Component List'!U$2:V$30,2,FALSE)</f>
        <v>#N/A</v>
      </c>
      <c r="AB103" s="77">
        <f>VLOOKUP(M103,'Component List'!AA$2:AB$30,2,FALSE)</f>
        <v>1</v>
      </c>
      <c r="AC103" s="77" t="str">
        <f>VLOOKUP(N103,'Component List'!Y$2:Z$30,2,FALSE)</f>
        <v>C</v>
      </c>
      <c r="AD103" s="159" t="e">
        <f>VLOOKUP(O103,'Component List'!W$3:X$30,2,FALSE)</f>
        <v>#N/A</v>
      </c>
      <c r="AG103" s="93"/>
    </row>
    <row r="104" spans="1:33" ht="30" customHeight="1" x14ac:dyDescent="0.3">
      <c r="A104" s="239"/>
      <c r="B104" s="101" t="s">
        <v>166</v>
      </c>
      <c r="C104" s="80" t="s">
        <v>178</v>
      </c>
      <c r="D104" s="80" t="s">
        <v>136</v>
      </c>
      <c r="E104" s="81" t="s">
        <v>182</v>
      </c>
      <c r="F104" s="80" t="s">
        <v>47</v>
      </c>
      <c r="G104" s="80" t="s">
        <v>183</v>
      </c>
      <c r="H104" s="80" t="s">
        <v>138</v>
      </c>
      <c r="I104" s="104" t="s">
        <v>198</v>
      </c>
      <c r="J104" s="117" t="s">
        <v>143</v>
      </c>
      <c r="K104" s="135" t="s">
        <v>366</v>
      </c>
      <c r="L104" s="135" t="s">
        <v>366</v>
      </c>
      <c r="M104" s="101">
        <v>2</v>
      </c>
      <c r="N104" s="82" t="s">
        <v>175</v>
      </c>
      <c r="O104" s="117" t="s">
        <v>367</v>
      </c>
      <c r="P104" s="123" t="e">
        <f t="shared" si="1"/>
        <v>#N/A</v>
      </c>
      <c r="Q104" s="119" t="str">
        <f>VLOOKUP($B104,'Component List'!$A$2:$B$30,2,FALSE)</f>
        <v>HD2</v>
      </c>
      <c r="R104" s="77" t="e">
        <f>VLOOKUP($C104,'Component List'!C$2:D$28,2,FALSE)</f>
        <v>#N/A</v>
      </c>
      <c r="S104" s="77" t="str">
        <f>VLOOKUP($D104,'Component List'!E$2:F$30,2,FALSE)</f>
        <v>D</v>
      </c>
      <c r="T104" s="77">
        <f>VLOOKUP($E104,'Component List'!G$2:H$30,2,FALSE)</f>
        <v>101</v>
      </c>
      <c r="U104" s="77">
        <f>VLOOKUP($F104,'Component List'!I$2:J$30,2,FALSE)</f>
        <v>104</v>
      </c>
      <c r="V104" s="77">
        <f>VLOOKUP(G104,'Component List'!K$2:L$30,2,FALSE)</f>
        <v>101</v>
      </c>
      <c r="W104" s="77">
        <f>VLOOKUP(H104,'Component List'!M$2:N$31,2,FALSE)</f>
        <v>100</v>
      </c>
      <c r="X104" s="77">
        <f>VLOOKUP(I104,'Component List'!O$2:P$30,2,FALSE)</f>
        <v>100</v>
      </c>
      <c r="Y104" s="77" t="str">
        <f>VLOOKUP(J104,'Component List'!Q$2:R$30,2,FALSE)</f>
        <v>000</v>
      </c>
      <c r="Z104" s="77" t="e">
        <f>VLOOKUP(K104,'Component List'!S$2:T$30,2,FALSE)</f>
        <v>#N/A</v>
      </c>
      <c r="AA104" s="77" t="e">
        <f>VLOOKUP(L104,'Component List'!U$2:V$30,2,FALSE)</f>
        <v>#N/A</v>
      </c>
      <c r="AB104" s="77">
        <f>VLOOKUP(M104,'Component List'!AA$2:AB$30,2,FALSE)</f>
        <v>2</v>
      </c>
      <c r="AC104" s="77" t="str">
        <f>VLOOKUP(N104,'Component List'!Y$2:Z$30,2,FALSE)</f>
        <v>P</v>
      </c>
      <c r="AD104" s="159" t="e">
        <f>VLOOKUP(O104,'Component List'!W$3:X$30,2,FALSE)</f>
        <v>#N/A</v>
      </c>
      <c r="AG104" s="93"/>
    </row>
    <row r="105" spans="1:33" ht="30" customHeight="1" x14ac:dyDescent="0.3">
      <c r="A105" s="239"/>
      <c r="B105" s="101" t="s">
        <v>166</v>
      </c>
      <c r="C105" s="80" t="s">
        <v>178</v>
      </c>
      <c r="D105" s="80" t="s">
        <v>136</v>
      </c>
      <c r="E105" s="81" t="s">
        <v>182</v>
      </c>
      <c r="F105" s="80" t="s">
        <v>47</v>
      </c>
      <c r="G105" s="80" t="s">
        <v>183</v>
      </c>
      <c r="H105" s="80" t="s">
        <v>138</v>
      </c>
      <c r="I105" s="104" t="s">
        <v>198</v>
      </c>
      <c r="J105" s="117" t="s">
        <v>143</v>
      </c>
      <c r="K105" s="135" t="s">
        <v>366</v>
      </c>
      <c r="L105" s="135" t="s">
        <v>366</v>
      </c>
      <c r="M105" s="101">
        <v>2</v>
      </c>
      <c r="N105" s="82" t="s">
        <v>187</v>
      </c>
      <c r="O105" s="117" t="s">
        <v>367</v>
      </c>
      <c r="P105" s="123" t="e">
        <f t="shared" si="1"/>
        <v>#N/A</v>
      </c>
      <c r="Q105" s="119" t="str">
        <f>VLOOKUP($B105,'Component List'!$A$2:$B$30,2,FALSE)</f>
        <v>HD2</v>
      </c>
      <c r="R105" s="77" t="e">
        <f>VLOOKUP($C105,'Component List'!C$2:D$28,2,FALSE)</f>
        <v>#N/A</v>
      </c>
      <c r="S105" s="77" t="str">
        <f>VLOOKUP($D105,'Component List'!E$2:F$30,2,FALSE)</f>
        <v>D</v>
      </c>
      <c r="T105" s="77">
        <f>VLOOKUP($E105,'Component List'!G$2:H$30,2,FALSE)</f>
        <v>101</v>
      </c>
      <c r="U105" s="77">
        <f>VLOOKUP($F105,'Component List'!I$2:J$30,2,FALSE)</f>
        <v>104</v>
      </c>
      <c r="V105" s="77">
        <f>VLOOKUP(G105,'Component List'!K$2:L$30,2,FALSE)</f>
        <v>101</v>
      </c>
      <c r="W105" s="77">
        <f>VLOOKUP(H105,'Component List'!M$2:N$31,2,FALSE)</f>
        <v>100</v>
      </c>
      <c r="X105" s="77">
        <f>VLOOKUP(I105,'Component List'!O$2:P$30,2,FALSE)</f>
        <v>100</v>
      </c>
      <c r="Y105" s="77" t="str">
        <f>VLOOKUP(J105,'Component List'!Q$2:R$30,2,FALSE)</f>
        <v>000</v>
      </c>
      <c r="Z105" s="77" t="e">
        <f>VLOOKUP(K105,'Component List'!S$2:T$30,2,FALSE)</f>
        <v>#N/A</v>
      </c>
      <c r="AA105" s="77" t="e">
        <f>VLOOKUP(L105,'Component List'!U$2:V$30,2,FALSE)</f>
        <v>#N/A</v>
      </c>
      <c r="AB105" s="77">
        <f>VLOOKUP(M105,'Component List'!AA$2:AB$30,2,FALSE)</f>
        <v>2</v>
      </c>
      <c r="AC105" s="77" t="str">
        <f>VLOOKUP(N105,'Component List'!Y$2:Z$30,2,FALSE)</f>
        <v>C</v>
      </c>
      <c r="AD105" s="159" t="e">
        <f>VLOOKUP(O105,'Component List'!W$3:X$30,2,FALSE)</f>
        <v>#N/A</v>
      </c>
      <c r="AG105" s="93"/>
    </row>
    <row r="106" spans="1:33" ht="30" customHeight="1" x14ac:dyDescent="0.3">
      <c r="A106" s="239"/>
      <c r="B106" s="101" t="s">
        <v>166</v>
      </c>
      <c r="C106" s="80" t="s">
        <v>178</v>
      </c>
      <c r="D106" s="80" t="s">
        <v>136</v>
      </c>
      <c r="E106" s="81" t="s">
        <v>182</v>
      </c>
      <c r="F106" s="80" t="s">
        <v>47</v>
      </c>
      <c r="G106" s="80" t="s">
        <v>183</v>
      </c>
      <c r="H106" s="80" t="s">
        <v>138</v>
      </c>
      <c r="I106" s="104" t="s">
        <v>198</v>
      </c>
      <c r="J106" s="117" t="s">
        <v>143</v>
      </c>
      <c r="K106" s="135" t="s">
        <v>366</v>
      </c>
      <c r="L106" s="135" t="s">
        <v>366</v>
      </c>
      <c r="M106" s="101">
        <v>3</v>
      </c>
      <c r="N106" s="82" t="s">
        <v>175</v>
      </c>
      <c r="O106" s="117" t="s">
        <v>367</v>
      </c>
      <c r="P106" s="123" t="e">
        <f t="shared" si="1"/>
        <v>#N/A</v>
      </c>
      <c r="Q106" s="119" t="str">
        <f>VLOOKUP($B106,'Component List'!$A$2:$B$30,2,FALSE)</f>
        <v>HD2</v>
      </c>
      <c r="R106" s="77" t="e">
        <f>VLOOKUP($C106,'Component List'!C$2:D$28,2,FALSE)</f>
        <v>#N/A</v>
      </c>
      <c r="S106" s="77" t="str">
        <f>VLOOKUP($D106,'Component List'!E$2:F$30,2,FALSE)</f>
        <v>D</v>
      </c>
      <c r="T106" s="77">
        <f>VLOOKUP($E106,'Component List'!G$2:H$30,2,FALSE)</f>
        <v>101</v>
      </c>
      <c r="U106" s="77">
        <f>VLOOKUP($F106,'Component List'!I$2:J$30,2,FALSE)</f>
        <v>104</v>
      </c>
      <c r="V106" s="77">
        <f>VLOOKUP(G106,'Component List'!K$2:L$30,2,FALSE)</f>
        <v>101</v>
      </c>
      <c r="W106" s="77">
        <f>VLOOKUP(H106,'Component List'!M$2:N$31,2,FALSE)</f>
        <v>100</v>
      </c>
      <c r="X106" s="77">
        <f>VLOOKUP(I106,'Component List'!O$2:P$30,2,FALSE)</f>
        <v>100</v>
      </c>
      <c r="Y106" s="77" t="str">
        <f>VLOOKUP(J106,'Component List'!Q$2:R$30,2,FALSE)</f>
        <v>000</v>
      </c>
      <c r="Z106" s="77" t="e">
        <f>VLOOKUP(K106,'Component List'!S$2:T$30,2,FALSE)</f>
        <v>#N/A</v>
      </c>
      <c r="AA106" s="77" t="e">
        <f>VLOOKUP(L106,'Component List'!U$2:V$30,2,FALSE)</f>
        <v>#N/A</v>
      </c>
      <c r="AB106" s="77">
        <f>VLOOKUP(M106,'Component List'!AA$2:AB$30,2,FALSE)</f>
        <v>3</v>
      </c>
      <c r="AC106" s="77" t="str">
        <f>VLOOKUP(N106,'Component List'!Y$2:Z$30,2,FALSE)</f>
        <v>P</v>
      </c>
      <c r="AD106" s="159" t="e">
        <f>VLOOKUP(O106,'Component List'!W$3:X$30,2,FALSE)</f>
        <v>#N/A</v>
      </c>
      <c r="AG106" s="93"/>
    </row>
    <row r="107" spans="1:33" ht="30" customHeight="1" thickBot="1" x14ac:dyDescent="0.35">
      <c r="A107" s="240"/>
      <c r="B107" s="129" t="s">
        <v>166</v>
      </c>
      <c r="C107" s="94" t="s">
        <v>178</v>
      </c>
      <c r="D107" s="94" t="s">
        <v>136</v>
      </c>
      <c r="E107" s="95" t="s">
        <v>182</v>
      </c>
      <c r="F107" s="94" t="s">
        <v>47</v>
      </c>
      <c r="G107" s="94" t="s">
        <v>183</v>
      </c>
      <c r="H107" s="94" t="s">
        <v>138</v>
      </c>
      <c r="I107" s="105" t="s">
        <v>198</v>
      </c>
      <c r="J107" s="128" t="s">
        <v>143</v>
      </c>
      <c r="K107" s="136" t="s">
        <v>366</v>
      </c>
      <c r="L107" s="136" t="s">
        <v>366</v>
      </c>
      <c r="M107" s="129">
        <v>3</v>
      </c>
      <c r="N107" s="94" t="s">
        <v>187</v>
      </c>
      <c r="O107" s="128" t="s">
        <v>367</v>
      </c>
      <c r="P107" s="127" t="e">
        <f t="shared" si="1"/>
        <v>#N/A</v>
      </c>
      <c r="Q107" s="119" t="str">
        <f>VLOOKUP($B107,'Component List'!$A$2:$B$30,2,FALSE)</f>
        <v>HD2</v>
      </c>
      <c r="R107" s="77" t="e">
        <f>VLOOKUP($C107,'Component List'!C$2:D$28,2,FALSE)</f>
        <v>#N/A</v>
      </c>
      <c r="S107" s="77" t="str">
        <f>VLOOKUP($D107,'Component List'!E$2:F$30,2,FALSE)</f>
        <v>D</v>
      </c>
      <c r="T107" s="77">
        <f>VLOOKUP($E107,'Component List'!G$2:H$30,2,FALSE)</f>
        <v>101</v>
      </c>
      <c r="U107" s="77">
        <f>VLOOKUP($F107,'Component List'!I$2:J$30,2,FALSE)</f>
        <v>104</v>
      </c>
      <c r="V107" s="77">
        <f>VLOOKUP(G107,'Component List'!K$2:L$30,2,FALSE)</f>
        <v>101</v>
      </c>
      <c r="W107" s="77">
        <f>VLOOKUP(H107,'Component List'!M$2:N$31,2,FALSE)</f>
        <v>100</v>
      </c>
      <c r="X107" s="77">
        <f>VLOOKUP(I107,'Component List'!O$2:P$30,2,FALSE)</f>
        <v>100</v>
      </c>
      <c r="Y107" s="77" t="str">
        <f>VLOOKUP(J107,'Component List'!Q$2:R$30,2,FALSE)</f>
        <v>000</v>
      </c>
      <c r="Z107" s="77" t="e">
        <f>VLOOKUP(K107,'Component List'!S$2:T$30,2,FALSE)</f>
        <v>#N/A</v>
      </c>
      <c r="AA107" s="77" t="e">
        <f>VLOOKUP(L107,'Component List'!U$2:V$30,2,FALSE)</f>
        <v>#N/A</v>
      </c>
      <c r="AB107" s="77">
        <f>VLOOKUP(M107,'Component List'!AA$2:AB$30,2,FALSE)</f>
        <v>3</v>
      </c>
      <c r="AC107" s="77" t="str">
        <f>VLOOKUP(N107,'Component List'!Y$2:Z$30,2,FALSE)</f>
        <v>C</v>
      </c>
      <c r="AD107" s="159" t="e">
        <f>VLOOKUP(O107,'Component List'!W$3:X$30,2,FALSE)</f>
        <v>#N/A</v>
      </c>
      <c r="AG107" s="93"/>
    </row>
    <row r="108" spans="1:33" ht="30" customHeight="1" x14ac:dyDescent="0.3">
      <c r="A108" s="232" t="s">
        <v>368</v>
      </c>
      <c r="B108" s="168" t="s">
        <v>201</v>
      </c>
      <c r="C108" s="89" t="s">
        <v>21</v>
      </c>
      <c r="D108" s="89" t="s">
        <v>136</v>
      </c>
      <c r="E108" s="90" t="s">
        <v>182</v>
      </c>
      <c r="F108" s="89" t="s">
        <v>207</v>
      </c>
      <c r="G108" s="89" t="s">
        <v>183</v>
      </c>
      <c r="H108" s="89" t="s">
        <v>184</v>
      </c>
      <c r="I108" s="103" t="s">
        <v>198</v>
      </c>
      <c r="J108" s="89" t="s">
        <v>219</v>
      </c>
      <c r="K108" s="133" t="s">
        <v>366</v>
      </c>
      <c r="L108" s="133" t="s">
        <v>366</v>
      </c>
      <c r="M108" s="88">
        <v>1</v>
      </c>
      <c r="N108" s="88" t="s">
        <v>175</v>
      </c>
      <c r="O108" s="130" t="s">
        <v>367</v>
      </c>
      <c r="P108" s="126" t="e">
        <f>Q108&amp;R108&amp;S108&amp;T108&amp;U108&amp;V108&amp;W108&amp;X108&amp;Y108&amp;Z108&amp;AA108&amp;AD108&amp;AC108&amp;AB108</f>
        <v>#N/A</v>
      </c>
      <c r="Q108" s="119" t="str">
        <f>VLOOKUP($B108,'Component List'!$A$2:$B$30,2,FALSE)</f>
        <v>SF3</v>
      </c>
      <c r="R108" s="77" t="str">
        <f>VLOOKUP($C108,'Component List'!C$2:D$28,2,FALSE)</f>
        <v>C00</v>
      </c>
      <c r="S108" s="77" t="str">
        <f>VLOOKUP($D108,'Component List'!E$2:F$30,2,FALSE)</f>
        <v>D</v>
      </c>
      <c r="T108" s="77">
        <f>VLOOKUP($E108,'Component List'!G$2:H$30,2,FALSE)</f>
        <v>101</v>
      </c>
      <c r="U108" s="77">
        <f>VLOOKUP($F108,'Component List'!I$2:J$30,2,FALSE)</f>
        <v>103</v>
      </c>
      <c r="V108" s="77">
        <f>VLOOKUP(G108,'Component List'!K$2:L$30,2,FALSE)</f>
        <v>101</v>
      </c>
      <c r="W108" s="77">
        <f>VLOOKUP(H108,'Component List'!M$2:N$31,2,FALSE)</f>
        <v>101</v>
      </c>
      <c r="X108" s="77">
        <f>VLOOKUP(I108,'Component List'!O$2:P$30,2,FALSE)</f>
        <v>100</v>
      </c>
      <c r="Y108" s="77">
        <f>VLOOKUP(J108,'Component List'!Q$2:R$30,2,FALSE)</f>
        <v>101</v>
      </c>
      <c r="Z108" s="77" t="e">
        <f>VLOOKUP(K108,'Component List'!S$2:T$30,2,FALSE)</f>
        <v>#N/A</v>
      </c>
      <c r="AA108" s="77" t="e">
        <f>VLOOKUP(L108,'Component List'!U$2:V$30,2,FALSE)</f>
        <v>#N/A</v>
      </c>
      <c r="AB108" s="77">
        <f>VLOOKUP(M108,'Component List'!AA$2:AB$30,2,FALSE)</f>
        <v>1</v>
      </c>
      <c r="AC108" s="77" t="str">
        <f>VLOOKUP(N108,'Component List'!Y$2:Z$30,2,FALSE)</f>
        <v>P</v>
      </c>
      <c r="AD108" s="159" t="e">
        <f>VLOOKUP(O108,'Component List'!W$3:X$30,2,FALSE)</f>
        <v>#N/A</v>
      </c>
      <c r="AE108" s="91"/>
      <c r="AF108" s="91"/>
      <c r="AG108" s="92"/>
    </row>
    <row r="109" spans="1:33" ht="30" customHeight="1" x14ac:dyDescent="0.3">
      <c r="A109" s="233"/>
      <c r="B109" s="107" t="s">
        <v>201</v>
      </c>
      <c r="C109" s="82" t="s">
        <v>21</v>
      </c>
      <c r="D109" s="80" t="s">
        <v>136</v>
      </c>
      <c r="E109" s="81" t="s">
        <v>182</v>
      </c>
      <c r="F109" s="82" t="s">
        <v>207</v>
      </c>
      <c r="G109" s="80" t="s">
        <v>183</v>
      </c>
      <c r="H109" s="80" t="s">
        <v>184</v>
      </c>
      <c r="I109" s="104" t="s">
        <v>198</v>
      </c>
      <c r="J109" s="80" t="s">
        <v>219</v>
      </c>
      <c r="K109" s="134" t="s">
        <v>366</v>
      </c>
      <c r="L109" s="134" t="s">
        <v>366</v>
      </c>
      <c r="M109" s="82">
        <v>1</v>
      </c>
      <c r="N109" s="82" t="s">
        <v>187</v>
      </c>
      <c r="O109" s="117" t="s">
        <v>367</v>
      </c>
      <c r="P109" s="123" t="e">
        <f t="shared" ref="P109:P238" si="2">Q109&amp;R109&amp;S109&amp;T109&amp;U109&amp;V109&amp;W109&amp;X109&amp;Y109&amp;Z109&amp;AA109&amp;AD109&amp;AC109&amp;AB109</f>
        <v>#N/A</v>
      </c>
      <c r="Q109" s="119" t="str">
        <f>VLOOKUP($B109,'Component List'!$A$2:$B$30,2,FALSE)</f>
        <v>SF3</v>
      </c>
      <c r="R109" s="77" t="str">
        <f>VLOOKUP($C109,'Component List'!C$2:D$28,2,FALSE)</f>
        <v>C00</v>
      </c>
      <c r="S109" s="77" t="str">
        <f>VLOOKUP($D109,'Component List'!E$2:F$30,2,FALSE)</f>
        <v>D</v>
      </c>
      <c r="T109" s="77">
        <f>VLOOKUP($E109,'Component List'!G$2:H$30,2,FALSE)</f>
        <v>101</v>
      </c>
      <c r="U109" s="77">
        <f>VLOOKUP($F109,'Component List'!I$2:J$30,2,FALSE)</f>
        <v>103</v>
      </c>
      <c r="V109" s="77">
        <f>VLOOKUP(G109,'Component List'!K$2:L$30,2,FALSE)</f>
        <v>101</v>
      </c>
      <c r="W109" s="77">
        <f>VLOOKUP(H109,'Component List'!M$2:N$31,2,FALSE)</f>
        <v>101</v>
      </c>
      <c r="X109" s="77">
        <f>VLOOKUP(I109,'Component List'!O$2:P$30,2,FALSE)</f>
        <v>100</v>
      </c>
      <c r="Y109" s="77">
        <f>VLOOKUP(J109,'Component List'!Q$2:R$30,2,FALSE)</f>
        <v>101</v>
      </c>
      <c r="Z109" s="77" t="e">
        <f>VLOOKUP(K109,'Component List'!S$2:T$30,2,FALSE)</f>
        <v>#N/A</v>
      </c>
      <c r="AA109" s="77" t="e">
        <f>VLOOKUP(L109,'Component List'!U$2:V$30,2,FALSE)</f>
        <v>#N/A</v>
      </c>
      <c r="AB109" s="77">
        <f>VLOOKUP(M109,'Component List'!AA$2:AB$30,2,FALSE)</f>
        <v>1</v>
      </c>
      <c r="AC109" s="77" t="str">
        <f>VLOOKUP(N109,'Component List'!Y$2:Z$30,2,FALSE)</f>
        <v>C</v>
      </c>
      <c r="AD109" s="159" t="e">
        <f>VLOOKUP(O109,'Component List'!W$3:X$30,2,FALSE)</f>
        <v>#N/A</v>
      </c>
      <c r="AG109" s="93"/>
    </row>
    <row r="110" spans="1:33" ht="30" customHeight="1" x14ac:dyDescent="0.3">
      <c r="A110" s="233"/>
      <c r="B110" s="107" t="s">
        <v>201</v>
      </c>
      <c r="C110" s="82" t="s">
        <v>21</v>
      </c>
      <c r="D110" s="80" t="s">
        <v>136</v>
      </c>
      <c r="E110" s="81" t="s">
        <v>182</v>
      </c>
      <c r="F110" s="82" t="s">
        <v>207</v>
      </c>
      <c r="G110" s="80" t="s">
        <v>183</v>
      </c>
      <c r="H110" s="80" t="s">
        <v>184</v>
      </c>
      <c r="I110" s="104" t="s">
        <v>198</v>
      </c>
      <c r="J110" s="80" t="s">
        <v>219</v>
      </c>
      <c r="K110" s="134" t="s">
        <v>366</v>
      </c>
      <c r="L110" s="134" t="s">
        <v>366</v>
      </c>
      <c r="M110" s="82">
        <v>2</v>
      </c>
      <c r="N110" s="82" t="s">
        <v>175</v>
      </c>
      <c r="O110" s="117" t="s">
        <v>367</v>
      </c>
      <c r="P110" s="123" t="e">
        <f t="shared" si="2"/>
        <v>#N/A</v>
      </c>
      <c r="Q110" s="119" t="str">
        <f>VLOOKUP($B110,'Component List'!$A$2:$B$30,2,FALSE)</f>
        <v>SF3</v>
      </c>
      <c r="R110" s="77" t="str">
        <f>VLOOKUP($C110,'Component List'!C$2:D$28,2,FALSE)</f>
        <v>C00</v>
      </c>
      <c r="S110" s="77" t="str">
        <f>VLOOKUP($D110,'Component List'!E$2:F$30,2,FALSE)</f>
        <v>D</v>
      </c>
      <c r="T110" s="77">
        <f>VLOOKUP($E110,'Component List'!G$2:H$30,2,FALSE)</f>
        <v>101</v>
      </c>
      <c r="U110" s="77">
        <f>VLOOKUP($F110,'Component List'!I$2:J$30,2,FALSE)</f>
        <v>103</v>
      </c>
      <c r="V110" s="77">
        <f>VLOOKUP(G110,'Component List'!K$2:L$30,2,FALSE)</f>
        <v>101</v>
      </c>
      <c r="W110" s="77">
        <f>VLOOKUP(H110,'Component List'!M$2:N$31,2,FALSE)</f>
        <v>101</v>
      </c>
      <c r="X110" s="77">
        <f>VLOOKUP(I110,'Component List'!O$2:P$30,2,FALSE)</f>
        <v>100</v>
      </c>
      <c r="Y110" s="77">
        <f>VLOOKUP(J110,'Component List'!Q$2:R$30,2,FALSE)</f>
        <v>101</v>
      </c>
      <c r="Z110" s="77" t="e">
        <f>VLOOKUP(K110,'Component List'!S$2:T$30,2,FALSE)</f>
        <v>#N/A</v>
      </c>
      <c r="AA110" s="77" t="e">
        <f>VLOOKUP(L110,'Component List'!U$2:V$30,2,FALSE)</f>
        <v>#N/A</v>
      </c>
      <c r="AB110" s="77">
        <f>VLOOKUP(M110,'Component List'!AA$2:AB$30,2,FALSE)</f>
        <v>2</v>
      </c>
      <c r="AC110" s="77" t="str">
        <f>VLOOKUP(N110,'Component List'!Y$2:Z$30,2,FALSE)</f>
        <v>P</v>
      </c>
      <c r="AD110" s="159" t="e">
        <f>VLOOKUP(O110,'Component List'!W$3:X$30,2,FALSE)</f>
        <v>#N/A</v>
      </c>
      <c r="AG110" s="93"/>
    </row>
    <row r="111" spans="1:33" ht="30" customHeight="1" x14ac:dyDescent="0.3">
      <c r="A111" s="233"/>
      <c r="B111" s="107" t="s">
        <v>201</v>
      </c>
      <c r="C111" s="82" t="s">
        <v>21</v>
      </c>
      <c r="D111" s="80" t="s">
        <v>136</v>
      </c>
      <c r="E111" s="81" t="s">
        <v>182</v>
      </c>
      <c r="F111" s="82" t="s">
        <v>207</v>
      </c>
      <c r="G111" s="80" t="s">
        <v>183</v>
      </c>
      <c r="H111" s="80" t="s">
        <v>184</v>
      </c>
      <c r="I111" s="104" t="s">
        <v>198</v>
      </c>
      <c r="J111" s="80" t="s">
        <v>219</v>
      </c>
      <c r="K111" s="134" t="s">
        <v>366</v>
      </c>
      <c r="L111" s="134" t="s">
        <v>366</v>
      </c>
      <c r="M111" s="82">
        <v>2</v>
      </c>
      <c r="N111" s="82" t="s">
        <v>187</v>
      </c>
      <c r="O111" s="117" t="s">
        <v>367</v>
      </c>
      <c r="P111" s="123" t="e">
        <f t="shared" si="2"/>
        <v>#N/A</v>
      </c>
      <c r="Q111" s="119" t="str">
        <f>VLOOKUP($B111,'Component List'!$A$2:$B$30,2,FALSE)</f>
        <v>SF3</v>
      </c>
      <c r="R111" s="77" t="str">
        <f>VLOOKUP($C111,'Component List'!C$2:D$28,2,FALSE)</f>
        <v>C00</v>
      </c>
      <c r="S111" s="77" t="str">
        <f>VLOOKUP($D111,'Component List'!E$2:F$30,2,FALSE)</f>
        <v>D</v>
      </c>
      <c r="T111" s="77">
        <f>VLOOKUP($E111,'Component List'!G$2:H$30,2,FALSE)</f>
        <v>101</v>
      </c>
      <c r="U111" s="77">
        <f>VLOOKUP($F111,'Component List'!I$2:J$30,2,FALSE)</f>
        <v>103</v>
      </c>
      <c r="V111" s="77">
        <f>VLOOKUP(G111,'Component List'!K$2:L$30,2,FALSE)</f>
        <v>101</v>
      </c>
      <c r="W111" s="77">
        <f>VLOOKUP(H111,'Component List'!M$2:N$31,2,FALSE)</f>
        <v>101</v>
      </c>
      <c r="X111" s="77">
        <f>VLOOKUP(I111,'Component List'!O$2:P$30,2,FALSE)</f>
        <v>100</v>
      </c>
      <c r="Y111" s="77">
        <f>VLOOKUP(J111,'Component List'!Q$2:R$30,2,FALSE)</f>
        <v>101</v>
      </c>
      <c r="Z111" s="77" t="e">
        <f>VLOOKUP(K111,'Component List'!S$2:T$30,2,FALSE)</f>
        <v>#N/A</v>
      </c>
      <c r="AA111" s="77" t="e">
        <f>VLOOKUP(L111,'Component List'!U$2:V$30,2,FALSE)</f>
        <v>#N/A</v>
      </c>
      <c r="AB111" s="77">
        <f>VLOOKUP(M111,'Component List'!AA$2:AB$30,2,FALSE)</f>
        <v>2</v>
      </c>
      <c r="AC111" s="77" t="str">
        <f>VLOOKUP(N111,'Component List'!Y$2:Z$30,2,FALSE)</f>
        <v>C</v>
      </c>
      <c r="AD111" s="159" t="e">
        <f>VLOOKUP(O111,'Component List'!W$3:X$30,2,FALSE)</f>
        <v>#N/A</v>
      </c>
      <c r="AG111" s="93"/>
    </row>
    <row r="112" spans="1:33" ht="30" customHeight="1" x14ac:dyDescent="0.3">
      <c r="A112" s="233"/>
      <c r="B112" s="107" t="s">
        <v>201</v>
      </c>
      <c r="C112" s="82" t="s">
        <v>21</v>
      </c>
      <c r="D112" s="80" t="s">
        <v>136</v>
      </c>
      <c r="E112" s="81" t="s">
        <v>182</v>
      </c>
      <c r="F112" s="82" t="s">
        <v>207</v>
      </c>
      <c r="G112" s="80" t="s">
        <v>183</v>
      </c>
      <c r="H112" s="80" t="s">
        <v>184</v>
      </c>
      <c r="I112" s="104" t="s">
        <v>198</v>
      </c>
      <c r="J112" s="85" t="s">
        <v>219</v>
      </c>
      <c r="K112" s="135" t="s">
        <v>366</v>
      </c>
      <c r="L112" s="135" t="s">
        <v>366</v>
      </c>
      <c r="M112" s="101">
        <v>3</v>
      </c>
      <c r="N112" s="82" t="s">
        <v>175</v>
      </c>
      <c r="O112" s="117" t="s">
        <v>367</v>
      </c>
      <c r="P112" s="123" t="e">
        <f t="shared" si="2"/>
        <v>#N/A</v>
      </c>
      <c r="Q112" s="119" t="str">
        <f>VLOOKUP($B112,'Component List'!$A$2:$B$30,2,FALSE)</f>
        <v>SF3</v>
      </c>
      <c r="R112" s="77" t="str">
        <f>VLOOKUP($C112,'Component List'!C$2:D$28,2,FALSE)</f>
        <v>C00</v>
      </c>
      <c r="S112" s="77" t="str">
        <f>VLOOKUP($D112,'Component List'!E$2:F$30,2,FALSE)</f>
        <v>D</v>
      </c>
      <c r="T112" s="77">
        <f>VLOOKUP($E112,'Component List'!G$2:H$30,2,FALSE)</f>
        <v>101</v>
      </c>
      <c r="U112" s="77">
        <f>VLOOKUP($F112,'Component List'!I$2:J$30,2,FALSE)</f>
        <v>103</v>
      </c>
      <c r="V112" s="77">
        <f>VLOOKUP(G112,'Component List'!K$2:L$30,2,FALSE)</f>
        <v>101</v>
      </c>
      <c r="W112" s="77">
        <f>VLOOKUP(H112,'Component List'!M$2:N$31,2,FALSE)</f>
        <v>101</v>
      </c>
      <c r="X112" s="77">
        <f>VLOOKUP(I112,'Component List'!O$2:P$30,2,FALSE)</f>
        <v>100</v>
      </c>
      <c r="Y112" s="77">
        <f>VLOOKUP(J112,'Component List'!Q$2:R$30,2,FALSE)</f>
        <v>101</v>
      </c>
      <c r="Z112" s="77" t="e">
        <f>VLOOKUP(K112,'Component List'!S$2:T$30,2,FALSE)</f>
        <v>#N/A</v>
      </c>
      <c r="AA112" s="77" t="e">
        <f>VLOOKUP(L112,'Component List'!U$2:V$30,2,FALSE)</f>
        <v>#N/A</v>
      </c>
      <c r="AB112" s="77">
        <f>VLOOKUP(M112,'Component List'!AA$2:AB$30,2,FALSE)</f>
        <v>3</v>
      </c>
      <c r="AC112" s="77" t="str">
        <f>VLOOKUP(N112,'Component List'!Y$2:Z$30,2,FALSE)</f>
        <v>P</v>
      </c>
      <c r="AD112" s="159" t="e">
        <f>VLOOKUP(O112,'Component List'!W$3:X$30,2,FALSE)</f>
        <v>#N/A</v>
      </c>
      <c r="AG112" s="93"/>
    </row>
    <row r="113" spans="1:33" ht="30" customHeight="1" x14ac:dyDescent="0.3">
      <c r="A113" s="233"/>
      <c r="B113" s="107" t="s">
        <v>201</v>
      </c>
      <c r="C113" s="82" t="s">
        <v>21</v>
      </c>
      <c r="D113" s="80" t="s">
        <v>136</v>
      </c>
      <c r="E113" s="81" t="s">
        <v>182</v>
      </c>
      <c r="F113" s="82" t="s">
        <v>207</v>
      </c>
      <c r="G113" s="80" t="s">
        <v>183</v>
      </c>
      <c r="H113" s="80" t="s">
        <v>184</v>
      </c>
      <c r="I113" s="104" t="s">
        <v>198</v>
      </c>
      <c r="J113" s="85" t="s">
        <v>219</v>
      </c>
      <c r="K113" s="135" t="s">
        <v>366</v>
      </c>
      <c r="L113" s="135" t="s">
        <v>366</v>
      </c>
      <c r="M113" s="107">
        <v>3</v>
      </c>
      <c r="N113" s="82" t="s">
        <v>187</v>
      </c>
      <c r="O113" s="117" t="s">
        <v>367</v>
      </c>
      <c r="P113" s="123" t="e">
        <f t="shared" si="2"/>
        <v>#N/A</v>
      </c>
      <c r="Q113" s="119" t="str">
        <f>VLOOKUP($B113,'Component List'!$A$2:$B$30,2,FALSE)</f>
        <v>SF3</v>
      </c>
      <c r="R113" s="77" t="str">
        <f>VLOOKUP($C113,'Component List'!C$2:D$28,2,FALSE)</f>
        <v>C00</v>
      </c>
      <c r="S113" s="77" t="str">
        <f>VLOOKUP($D113,'Component List'!E$2:F$30,2,FALSE)</f>
        <v>D</v>
      </c>
      <c r="T113" s="77">
        <f>VLOOKUP($E113,'Component List'!G$2:H$30,2,FALSE)</f>
        <v>101</v>
      </c>
      <c r="U113" s="77">
        <f>VLOOKUP($F113,'Component List'!I$2:J$30,2,FALSE)</f>
        <v>103</v>
      </c>
      <c r="V113" s="77">
        <f>VLOOKUP(G113,'Component List'!K$2:L$30,2,FALSE)</f>
        <v>101</v>
      </c>
      <c r="W113" s="77">
        <f>VLOOKUP(H113,'Component List'!M$2:N$31,2,FALSE)</f>
        <v>101</v>
      </c>
      <c r="X113" s="77">
        <f>VLOOKUP(I113,'Component List'!O$2:P$30,2,FALSE)</f>
        <v>100</v>
      </c>
      <c r="Y113" s="77">
        <f>VLOOKUP(J113,'Component List'!Q$2:R$30,2,FALSE)</f>
        <v>101</v>
      </c>
      <c r="Z113" s="77" t="e">
        <f>VLOOKUP(K113,'Component List'!S$2:T$30,2,FALSE)</f>
        <v>#N/A</v>
      </c>
      <c r="AA113" s="77" t="e">
        <f>VLOOKUP(L113,'Component List'!U$2:V$30,2,FALSE)</f>
        <v>#N/A</v>
      </c>
      <c r="AB113" s="77">
        <f>VLOOKUP(M113,'Component List'!AA$2:AB$30,2,FALSE)</f>
        <v>3</v>
      </c>
      <c r="AC113" s="77" t="str">
        <f>VLOOKUP(N113,'Component List'!Y$2:Z$30,2,FALSE)</f>
        <v>C</v>
      </c>
      <c r="AD113" s="159" t="e">
        <f>VLOOKUP(O113,'Component List'!W$3:X$30,2,FALSE)</f>
        <v>#N/A</v>
      </c>
      <c r="AG113" s="93"/>
    </row>
    <row r="114" spans="1:33" ht="30" customHeight="1" x14ac:dyDescent="0.3">
      <c r="A114" s="233"/>
      <c r="B114" s="107" t="s">
        <v>201</v>
      </c>
      <c r="C114" s="82" t="s">
        <v>21</v>
      </c>
      <c r="D114" s="80" t="s">
        <v>136</v>
      </c>
      <c r="E114" s="81" t="s">
        <v>137</v>
      </c>
      <c r="F114" s="82" t="s">
        <v>39</v>
      </c>
      <c r="G114" s="80" t="s">
        <v>183</v>
      </c>
      <c r="H114" s="80" t="s">
        <v>138</v>
      </c>
      <c r="I114" s="104" t="s">
        <v>198</v>
      </c>
      <c r="J114" s="117" t="s">
        <v>143</v>
      </c>
      <c r="K114" s="135" t="s">
        <v>366</v>
      </c>
      <c r="L114" s="135" t="s">
        <v>366</v>
      </c>
      <c r="M114" s="82">
        <v>1</v>
      </c>
      <c r="N114" s="82" t="s">
        <v>175</v>
      </c>
      <c r="O114" s="117" t="s">
        <v>367</v>
      </c>
      <c r="P114" s="123" t="e">
        <f t="shared" si="2"/>
        <v>#N/A</v>
      </c>
      <c r="Q114" s="119" t="str">
        <f>VLOOKUP($B114,'Component List'!$A$2:$B$30,2,FALSE)</f>
        <v>SF3</v>
      </c>
      <c r="R114" s="77" t="str">
        <f>VLOOKUP($C114,'Component List'!C$2:D$28,2,FALSE)</f>
        <v>C00</v>
      </c>
      <c r="S114" s="77" t="str">
        <f>VLOOKUP($D114,'Component List'!E$2:F$30,2,FALSE)</f>
        <v>D</v>
      </c>
      <c r="T114" s="77">
        <f>VLOOKUP($E114,'Component List'!G$2:H$30,2,FALSE)</f>
        <v>102</v>
      </c>
      <c r="U114" s="77">
        <f>VLOOKUP($F114,'Component List'!I$2:J$30,2,FALSE)</f>
        <v>105</v>
      </c>
      <c r="V114" s="77">
        <f>VLOOKUP(G114,'Component List'!K$2:L$30,2,FALSE)</f>
        <v>101</v>
      </c>
      <c r="W114" s="77">
        <f>VLOOKUP(H114,'Component List'!M$2:N$31,2,FALSE)</f>
        <v>100</v>
      </c>
      <c r="X114" s="77">
        <f>VLOOKUP(I114,'Component List'!O$2:P$30,2,FALSE)</f>
        <v>100</v>
      </c>
      <c r="Y114" s="77" t="str">
        <f>VLOOKUP(J114,'Component List'!Q$2:R$30,2,FALSE)</f>
        <v>000</v>
      </c>
      <c r="Z114" s="77" t="e">
        <f>VLOOKUP(K114,'Component List'!S$2:T$30,2,FALSE)</f>
        <v>#N/A</v>
      </c>
      <c r="AA114" s="77" t="e">
        <f>VLOOKUP(L114,'Component List'!U$2:V$30,2,FALSE)</f>
        <v>#N/A</v>
      </c>
      <c r="AB114" s="77">
        <f>VLOOKUP(M114,'Component List'!AA$2:AB$30,2,FALSE)</f>
        <v>1</v>
      </c>
      <c r="AC114" s="77" t="str">
        <f>VLOOKUP(N114,'Component List'!Y$2:Z$30,2,FALSE)</f>
        <v>P</v>
      </c>
      <c r="AD114" s="159" t="e">
        <f>VLOOKUP(O114,'Component List'!W$3:X$30,2,FALSE)</f>
        <v>#N/A</v>
      </c>
      <c r="AG114" s="93"/>
    </row>
    <row r="115" spans="1:33" ht="30" customHeight="1" x14ac:dyDescent="0.3">
      <c r="A115" s="233"/>
      <c r="B115" s="107" t="s">
        <v>201</v>
      </c>
      <c r="C115" s="82" t="s">
        <v>21</v>
      </c>
      <c r="D115" s="80" t="s">
        <v>136</v>
      </c>
      <c r="E115" s="81" t="s">
        <v>137</v>
      </c>
      <c r="F115" s="80" t="s">
        <v>39</v>
      </c>
      <c r="G115" s="80" t="s">
        <v>183</v>
      </c>
      <c r="H115" s="80" t="s">
        <v>138</v>
      </c>
      <c r="I115" s="104" t="s">
        <v>198</v>
      </c>
      <c r="J115" s="117" t="s">
        <v>143</v>
      </c>
      <c r="K115" s="135" t="s">
        <v>366</v>
      </c>
      <c r="L115" s="135" t="s">
        <v>366</v>
      </c>
      <c r="M115" s="82">
        <v>1</v>
      </c>
      <c r="N115" s="82" t="s">
        <v>187</v>
      </c>
      <c r="O115" s="117" t="s">
        <v>367</v>
      </c>
      <c r="P115" s="123" t="e">
        <f t="shared" si="2"/>
        <v>#N/A</v>
      </c>
      <c r="Q115" s="119" t="str">
        <f>VLOOKUP($B115,'Component List'!$A$2:$B$30,2,FALSE)</f>
        <v>SF3</v>
      </c>
      <c r="R115" s="77" t="str">
        <f>VLOOKUP($C115,'Component List'!C$2:D$28,2,FALSE)</f>
        <v>C00</v>
      </c>
      <c r="S115" s="77" t="str">
        <f>VLOOKUP($D115,'Component List'!E$2:F$30,2,FALSE)</f>
        <v>D</v>
      </c>
      <c r="T115" s="77">
        <f>VLOOKUP($E115,'Component List'!G$2:H$30,2,FALSE)</f>
        <v>102</v>
      </c>
      <c r="U115" s="77">
        <f>VLOOKUP($F115,'Component List'!I$2:J$30,2,FALSE)</f>
        <v>105</v>
      </c>
      <c r="V115" s="77">
        <f>VLOOKUP(G115,'Component List'!K$2:L$30,2,FALSE)</f>
        <v>101</v>
      </c>
      <c r="W115" s="77">
        <f>VLOOKUP(H115,'Component List'!M$2:N$31,2,FALSE)</f>
        <v>100</v>
      </c>
      <c r="X115" s="77">
        <f>VLOOKUP(I115,'Component List'!O$2:P$30,2,FALSE)</f>
        <v>100</v>
      </c>
      <c r="Y115" s="77" t="str">
        <f>VLOOKUP(J115,'Component List'!Q$2:R$30,2,FALSE)</f>
        <v>000</v>
      </c>
      <c r="Z115" s="77" t="e">
        <f>VLOOKUP(K115,'Component List'!S$2:T$30,2,FALSE)</f>
        <v>#N/A</v>
      </c>
      <c r="AA115" s="77" t="e">
        <f>VLOOKUP(L115,'Component List'!U$2:V$30,2,FALSE)</f>
        <v>#N/A</v>
      </c>
      <c r="AB115" s="77">
        <f>VLOOKUP(M115,'Component List'!AA$2:AB$30,2,FALSE)</f>
        <v>1</v>
      </c>
      <c r="AC115" s="77" t="str">
        <f>VLOOKUP(N115,'Component List'!Y$2:Z$30,2,FALSE)</f>
        <v>C</v>
      </c>
      <c r="AD115" s="159" t="e">
        <f>VLOOKUP(O115,'Component List'!W$3:X$30,2,FALSE)</f>
        <v>#N/A</v>
      </c>
      <c r="AG115" s="93"/>
    </row>
    <row r="116" spans="1:33" ht="30" customHeight="1" x14ac:dyDescent="0.3">
      <c r="A116" s="233"/>
      <c r="B116" s="107" t="s">
        <v>201</v>
      </c>
      <c r="C116" s="82" t="s">
        <v>21</v>
      </c>
      <c r="D116" s="80" t="s">
        <v>136</v>
      </c>
      <c r="E116" s="81" t="s">
        <v>137</v>
      </c>
      <c r="F116" s="80" t="s">
        <v>39</v>
      </c>
      <c r="G116" s="80" t="s">
        <v>183</v>
      </c>
      <c r="H116" s="80" t="s">
        <v>138</v>
      </c>
      <c r="I116" s="104" t="s">
        <v>198</v>
      </c>
      <c r="J116" s="117" t="s">
        <v>143</v>
      </c>
      <c r="K116" s="135" t="s">
        <v>366</v>
      </c>
      <c r="L116" s="135" t="s">
        <v>366</v>
      </c>
      <c r="M116" s="82">
        <v>2</v>
      </c>
      <c r="N116" s="82" t="s">
        <v>175</v>
      </c>
      <c r="O116" s="117" t="s">
        <v>367</v>
      </c>
      <c r="P116" s="123" t="e">
        <f t="shared" si="2"/>
        <v>#N/A</v>
      </c>
      <c r="Q116" s="119" t="str">
        <f>VLOOKUP($B116,'Component List'!$A$2:$B$30,2,FALSE)</f>
        <v>SF3</v>
      </c>
      <c r="R116" s="77" t="str">
        <f>VLOOKUP($C116,'Component List'!C$2:D$28,2,FALSE)</f>
        <v>C00</v>
      </c>
      <c r="S116" s="77" t="str">
        <f>VLOOKUP($D116,'Component List'!E$2:F$30,2,FALSE)</f>
        <v>D</v>
      </c>
      <c r="T116" s="77">
        <f>VLOOKUP($E116,'Component List'!G$2:H$30,2,FALSE)</f>
        <v>102</v>
      </c>
      <c r="U116" s="77">
        <f>VLOOKUP($F116,'Component List'!I$2:J$30,2,FALSE)</f>
        <v>105</v>
      </c>
      <c r="V116" s="77">
        <f>VLOOKUP(G116,'Component List'!K$2:L$30,2,FALSE)</f>
        <v>101</v>
      </c>
      <c r="W116" s="77">
        <f>VLOOKUP(H116,'Component List'!M$2:N$31,2,FALSE)</f>
        <v>100</v>
      </c>
      <c r="X116" s="77">
        <f>VLOOKUP(I116,'Component List'!O$2:P$30,2,FALSE)</f>
        <v>100</v>
      </c>
      <c r="Y116" s="77" t="str">
        <f>VLOOKUP(J116,'Component List'!Q$2:R$30,2,FALSE)</f>
        <v>000</v>
      </c>
      <c r="Z116" s="77" t="e">
        <f>VLOOKUP(K116,'Component List'!S$2:T$30,2,FALSE)</f>
        <v>#N/A</v>
      </c>
      <c r="AA116" s="77" t="e">
        <f>VLOOKUP(L116,'Component List'!U$2:V$30,2,FALSE)</f>
        <v>#N/A</v>
      </c>
      <c r="AB116" s="77">
        <f>VLOOKUP(M116,'Component List'!AA$2:AB$30,2,FALSE)</f>
        <v>2</v>
      </c>
      <c r="AC116" s="77" t="str">
        <f>VLOOKUP(N116,'Component List'!Y$2:Z$30,2,FALSE)</f>
        <v>P</v>
      </c>
      <c r="AD116" s="159" t="e">
        <f>VLOOKUP(O116,'Component List'!W$3:X$30,2,FALSE)</f>
        <v>#N/A</v>
      </c>
      <c r="AG116" s="93"/>
    </row>
    <row r="117" spans="1:33" ht="30" customHeight="1" x14ac:dyDescent="0.3">
      <c r="A117" s="233"/>
      <c r="B117" s="107" t="s">
        <v>201</v>
      </c>
      <c r="C117" s="82" t="s">
        <v>21</v>
      </c>
      <c r="D117" s="80" t="s">
        <v>136</v>
      </c>
      <c r="E117" s="81" t="s">
        <v>137</v>
      </c>
      <c r="F117" s="80" t="s">
        <v>39</v>
      </c>
      <c r="G117" s="80" t="s">
        <v>183</v>
      </c>
      <c r="H117" s="80" t="s">
        <v>138</v>
      </c>
      <c r="I117" s="104" t="s">
        <v>198</v>
      </c>
      <c r="J117" s="117" t="s">
        <v>143</v>
      </c>
      <c r="K117" s="135" t="s">
        <v>366</v>
      </c>
      <c r="L117" s="135" t="s">
        <v>366</v>
      </c>
      <c r="M117" s="82">
        <v>2</v>
      </c>
      <c r="N117" s="82" t="s">
        <v>187</v>
      </c>
      <c r="O117" s="117" t="s">
        <v>367</v>
      </c>
      <c r="P117" s="123" t="e">
        <f t="shared" si="2"/>
        <v>#N/A</v>
      </c>
      <c r="Q117" s="119" t="str">
        <f>VLOOKUP($B117,'Component List'!$A$2:$B$30,2,FALSE)</f>
        <v>SF3</v>
      </c>
      <c r="R117" s="77" t="str">
        <f>VLOOKUP($C117,'Component List'!C$2:D$28,2,FALSE)</f>
        <v>C00</v>
      </c>
      <c r="S117" s="77" t="str">
        <f>VLOOKUP($D117,'Component List'!E$2:F$30,2,FALSE)</f>
        <v>D</v>
      </c>
      <c r="T117" s="77">
        <f>VLOOKUP($E117,'Component List'!G$2:H$30,2,FALSE)</f>
        <v>102</v>
      </c>
      <c r="U117" s="77">
        <f>VLOOKUP($F117,'Component List'!I$2:J$30,2,FALSE)</f>
        <v>105</v>
      </c>
      <c r="V117" s="77">
        <f>VLOOKUP(G117,'Component List'!K$2:L$30,2,FALSE)</f>
        <v>101</v>
      </c>
      <c r="W117" s="77">
        <f>VLOOKUP(H117,'Component List'!M$2:N$31,2,FALSE)</f>
        <v>100</v>
      </c>
      <c r="X117" s="77">
        <f>VLOOKUP(I117,'Component List'!O$2:P$30,2,FALSE)</f>
        <v>100</v>
      </c>
      <c r="Y117" s="77" t="str">
        <f>VLOOKUP(J117,'Component List'!Q$2:R$30,2,FALSE)</f>
        <v>000</v>
      </c>
      <c r="Z117" s="77" t="e">
        <f>VLOOKUP(K117,'Component List'!S$2:T$30,2,FALSE)</f>
        <v>#N/A</v>
      </c>
      <c r="AA117" s="77" t="e">
        <f>VLOOKUP(L117,'Component List'!U$2:V$30,2,FALSE)</f>
        <v>#N/A</v>
      </c>
      <c r="AB117" s="77">
        <f>VLOOKUP(M117,'Component List'!AA$2:AB$30,2,FALSE)</f>
        <v>2</v>
      </c>
      <c r="AC117" s="77" t="str">
        <f>VLOOKUP(N117,'Component List'!Y$2:Z$30,2,FALSE)</f>
        <v>C</v>
      </c>
      <c r="AD117" s="159" t="e">
        <f>VLOOKUP(O117,'Component List'!W$3:X$30,2,FALSE)</f>
        <v>#N/A</v>
      </c>
      <c r="AG117" s="93"/>
    </row>
    <row r="118" spans="1:33" ht="30" customHeight="1" x14ac:dyDescent="0.3">
      <c r="A118" s="233"/>
      <c r="B118" s="107" t="s">
        <v>201</v>
      </c>
      <c r="C118" s="82" t="s">
        <v>21</v>
      </c>
      <c r="D118" s="80" t="s">
        <v>136</v>
      </c>
      <c r="E118" s="81" t="s">
        <v>137</v>
      </c>
      <c r="F118" s="80" t="s">
        <v>39</v>
      </c>
      <c r="G118" s="80" t="s">
        <v>183</v>
      </c>
      <c r="H118" s="80" t="s">
        <v>138</v>
      </c>
      <c r="I118" s="104" t="s">
        <v>198</v>
      </c>
      <c r="J118" s="117" t="s">
        <v>143</v>
      </c>
      <c r="K118" s="135" t="s">
        <v>366</v>
      </c>
      <c r="L118" s="135" t="s">
        <v>366</v>
      </c>
      <c r="M118" s="101">
        <v>3</v>
      </c>
      <c r="N118" s="82" t="s">
        <v>175</v>
      </c>
      <c r="O118" s="117" t="s">
        <v>367</v>
      </c>
      <c r="P118" s="123" t="e">
        <f t="shared" si="2"/>
        <v>#N/A</v>
      </c>
      <c r="Q118" s="119" t="str">
        <f>VLOOKUP($B118,'Component List'!$A$2:$B$30,2,FALSE)</f>
        <v>SF3</v>
      </c>
      <c r="R118" s="77" t="str">
        <f>VLOOKUP($C118,'Component List'!C$2:D$28,2,FALSE)</f>
        <v>C00</v>
      </c>
      <c r="S118" s="77" t="str">
        <f>VLOOKUP($D118,'Component List'!E$2:F$30,2,FALSE)</f>
        <v>D</v>
      </c>
      <c r="T118" s="77">
        <f>VLOOKUP($E118,'Component List'!G$2:H$30,2,FALSE)</f>
        <v>102</v>
      </c>
      <c r="U118" s="77">
        <f>VLOOKUP($F118,'Component List'!I$2:J$30,2,FALSE)</f>
        <v>105</v>
      </c>
      <c r="V118" s="77">
        <f>VLOOKUP(G118,'Component List'!K$2:L$30,2,FALSE)</f>
        <v>101</v>
      </c>
      <c r="W118" s="77">
        <f>VLOOKUP(H118,'Component List'!M$2:N$31,2,FALSE)</f>
        <v>100</v>
      </c>
      <c r="X118" s="77">
        <f>VLOOKUP(I118,'Component List'!O$2:P$30,2,FALSE)</f>
        <v>100</v>
      </c>
      <c r="Y118" s="77" t="str">
        <f>VLOOKUP(J118,'Component List'!Q$2:R$30,2,FALSE)</f>
        <v>000</v>
      </c>
      <c r="Z118" s="77" t="e">
        <f>VLOOKUP(K118,'Component List'!S$2:T$30,2,FALSE)</f>
        <v>#N/A</v>
      </c>
      <c r="AA118" s="77" t="e">
        <f>VLOOKUP(L118,'Component List'!U$2:V$30,2,FALSE)</f>
        <v>#N/A</v>
      </c>
      <c r="AB118" s="77">
        <f>VLOOKUP(M118,'Component List'!AA$2:AB$30,2,FALSE)</f>
        <v>3</v>
      </c>
      <c r="AC118" s="77" t="str">
        <f>VLOOKUP(N118,'Component List'!Y$2:Z$30,2,FALSE)</f>
        <v>P</v>
      </c>
      <c r="AD118" s="159" t="e">
        <f>VLOOKUP(O118,'Component List'!W$3:X$30,2,FALSE)</f>
        <v>#N/A</v>
      </c>
      <c r="AG118" s="93"/>
    </row>
    <row r="119" spans="1:33" ht="30" customHeight="1" x14ac:dyDescent="0.3">
      <c r="A119" s="233"/>
      <c r="B119" s="107" t="s">
        <v>201</v>
      </c>
      <c r="C119" s="82" t="s">
        <v>21</v>
      </c>
      <c r="D119" s="80" t="s">
        <v>136</v>
      </c>
      <c r="E119" s="81" t="s">
        <v>137</v>
      </c>
      <c r="F119" s="80" t="s">
        <v>39</v>
      </c>
      <c r="G119" s="80" t="s">
        <v>183</v>
      </c>
      <c r="H119" s="80" t="s">
        <v>138</v>
      </c>
      <c r="I119" s="104" t="s">
        <v>198</v>
      </c>
      <c r="J119" s="117" t="s">
        <v>143</v>
      </c>
      <c r="K119" s="135" t="s">
        <v>366</v>
      </c>
      <c r="L119" s="135" t="s">
        <v>366</v>
      </c>
      <c r="M119" s="101">
        <v>3</v>
      </c>
      <c r="N119" s="82" t="s">
        <v>187</v>
      </c>
      <c r="O119" s="117" t="s">
        <v>367</v>
      </c>
      <c r="P119" s="123" t="e">
        <f t="shared" si="2"/>
        <v>#N/A</v>
      </c>
      <c r="Q119" s="119" t="str">
        <f>VLOOKUP($B119,'Component List'!$A$2:$B$30,2,FALSE)</f>
        <v>SF3</v>
      </c>
      <c r="R119" s="77" t="str">
        <f>VLOOKUP($C119,'Component List'!C$2:D$28,2,FALSE)</f>
        <v>C00</v>
      </c>
      <c r="S119" s="77" t="str">
        <f>VLOOKUP($D119,'Component List'!E$2:F$30,2,FALSE)</f>
        <v>D</v>
      </c>
      <c r="T119" s="77">
        <f>VLOOKUP($E119,'Component List'!G$2:H$30,2,FALSE)</f>
        <v>102</v>
      </c>
      <c r="U119" s="77">
        <f>VLOOKUP($F119,'Component List'!I$2:J$30,2,FALSE)</f>
        <v>105</v>
      </c>
      <c r="V119" s="77">
        <f>VLOOKUP(G119,'Component List'!K$2:L$30,2,FALSE)</f>
        <v>101</v>
      </c>
      <c r="W119" s="77">
        <f>VLOOKUP(H119,'Component List'!M$2:N$31,2,FALSE)</f>
        <v>100</v>
      </c>
      <c r="X119" s="77">
        <f>VLOOKUP(I119,'Component List'!O$2:P$30,2,FALSE)</f>
        <v>100</v>
      </c>
      <c r="Y119" s="77" t="str">
        <f>VLOOKUP(J119,'Component List'!Q$2:R$30,2,FALSE)</f>
        <v>000</v>
      </c>
      <c r="Z119" s="77" t="e">
        <f>VLOOKUP(K119,'Component List'!S$2:T$30,2,FALSE)</f>
        <v>#N/A</v>
      </c>
      <c r="AA119" s="77" t="e">
        <f>VLOOKUP(L119,'Component List'!U$2:V$30,2,FALSE)</f>
        <v>#N/A</v>
      </c>
      <c r="AB119" s="77">
        <f>VLOOKUP(M119,'Component List'!AA$2:AB$30,2,FALSE)</f>
        <v>3</v>
      </c>
      <c r="AC119" s="77" t="str">
        <f>VLOOKUP(N119,'Component List'!Y$2:Z$30,2,FALSE)</f>
        <v>C</v>
      </c>
      <c r="AD119" s="159" t="e">
        <f>VLOOKUP(O119,'Component List'!W$3:X$30,2,FALSE)</f>
        <v>#N/A</v>
      </c>
      <c r="AG119" s="93"/>
    </row>
    <row r="120" spans="1:33" ht="30" customHeight="1" x14ac:dyDescent="0.3">
      <c r="A120" s="233"/>
      <c r="B120" s="107" t="s">
        <v>201</v>
      </c>
      <c r="C120" s="82" t="s">
        <v>21</v>
      </c>
      <c r="D120" s="80" t="s">
        <v>136</v>
      </c>
      <c r="E120" s="81" t="s">
        <v>137</v>
      </c>
      <c r="F120" s="80" t="s">
        <v>45</v>
      </c>
      <c r="G120" s="80" t="s">
        <v>183</v>
      </c>
      <c r="H120" s="80" t="s">
        <v>208</v>
      </c>
      <c r="I120" s="104" t="s">
        <v>198</v>
      </c>
      <c r="J120" s="117" t="s">
        <v>143</v>
      </c>
      <c r="K120" s="135" t="s">
        <v>366</v>
      </c>
      <c r="L120" s="135" t="s">
        <v>366</v>
      </c>
      <c r="M120" s="82">
        <v>1</v>
      </c>
      <c r="N120" s="82" t="s">
        <v>175</v>
      </c>
      <c r="O120" s="117" t="s">
        <v>367</v>
      </c>
      <c r="P120" s="123" t="e">
        <f t="shared" si="2"/>
        <v>#N/A</v>
      </c>
      <c r="Q120" s="119" t="str">
        <f>VLOOKUP($B120,'Component List'!$A$2:$B$30,2,FALSE)</f>
        <v>SF3</v>
      </c>
      <c r="R120" s="77" t="str">
        <f>VLOOKUP($C120,'Component List'!C$2:D$28,2,FALSE)</f>
        <v>C00</v>
      </c>
      <c r="S120" s="77" t="str">
        <f>VLOOKUP($D120,'Component List'!E$2:F$30,2,FALSE)</f>
        <v>D</v>
      </c>
      <c r="T120" s="77">
        <f>VLOOKUP($E120,'Component List'!G$2:H$30,2,FALSE)</f>
        <v>102</v>
      </c>
      <c r="U120" s="77">
        <f>VLOOKUP($F120,'Component List'!I$2:J$30,2,FALSE)</f>
        <v>106</v>
      </c>
      <c r="V120" s="77">
        <f>VLOOKUP(G120,'Component List'!K$2:L$30,2,FALSE)</f>
        <v>101</v>
      </c>
      <c r="W120" s="77">
        <f>VLOOKUP(H120,'Component List'!M$2:N$31,2,FALSE)</f>
        <v>103</v>
      </c>
      <c r="X120" s="77">
        <f>VLOOKUP(I120,'Component List'!O$2:P$30,2,FALSE)</f>
        <v>100</v>
      </c>
      <c r="Y120" s="77" t="str">
        <f>VLOOKUP(J120,'Component List'!Q$2:R$30,2,FALSE)</f>
        <v>000</v>
      </c>
      <c r="Z120" s="77" t="e">
        <f>VLOOKUP(K120,'Component List'!S$2:T$30,2,FALSE)</f>
        <v>#N/A</v>
      </c>
      <c r="AA120" s="77" t="e">
        <f>VLOOKUP(L120,'Component List'!U$2:V$30,2,FALSE)</f>
        <v>#N/A</v>
      </c>
      <c r="AB120" s="77">
        <f>VLOOKUP(M120,'Component List'!AA$2:AB$30,2,FALSE)</f>
        <v>1</v>
      </c>
      <c r="AC120" s="77" t="str">
        <f>VLOOKUP(N120,'Component List'!Y$2:Z$30,2,FALSE)</f>
        <v>P</v>
      </c>
      <c r="AD120" s="159" t="e">
        <f>VLOOKUP(O120,'Component List'!W$3:X$30,2,FALSE)</f>
        <v>#N/A</v>
      </c>
      <c r="AG120" s="93"/>
    </row>
    <row r="121" spans="1:33" ht="30" customHeight="1" x14ac:dyDescent="0.3">
      <c r="A121" s="233"/>
      <c r="B121" s="107" t="s">
        <v>201</v>
      </c>
      <c r="C121" s="82" t="s">
        <v>21</v>
      </c>
      <c r="D121" s="80" t="s">
        <v>136</v>
      </c>
      <c r="E121" s="81" t="s">
        <v>137</v>
      </c>
      <c r="F121" s="80" t="s">
        <v>45</v>
      </c>
      <c r="G121" s="80" t="s">
        <v>183</v>
      </c>
      <c r="H121" s="80" t="s">
        <v>208</v>
      </c>
      <c r="I121" s="104" t="s">
        <v>198</v>
      </c>
      <c r="J121" s="117" t="s">
        <v>143</v>
      </c>
      <c r="K121" s="135" t="s">
        <v>366</v>
      </c>
      <c r="L121" s="135" t="s">
        <v>366</v>
      </c>
      <c r="M121" s="82">
        <v>1</v>
      </c>
      <c r="N121" s="82" t="s">
        <v>187</v>
      </c>
      <c r="O121" s="117" t="s">
        <v>367</v>
      </c>
      <c r="P121" s="123" t="e">
        <f t="shared" si="2"/>
        <v>#N/A</v>
      </c>
      <c r="Q121" s="119" t="str">
        <f>VLOOKUP($B121,'Component List'!$A$2:$B$30,2,FALSE)</f>
        <v>SF3</v>
      </c>
      <c r="R121" s="77" t="str">
        <f>VLOOKUP($C121,'Component List'!C$2:D$28,2,FALSE)</f>
        <v>C00</v>
      </c>
      <c r="S121" s="77" t="str">
        <f>VLOOKUP($D121,'Component List'!E$2:F$30,2,FALSE)</f>
        <v>D</v>
      </c>
      <c r="T121" s="77">
        <f>VLOOKUP($E121,'Component List'!G$2:H$30,2,FALSE)</f>
        <v>102</v>
      </c>
      <c r="U121" s="77">
        <f>VLOOKUP($F121,'Component List'!I$2:J$30,2,FALSE)</f>
        <v>106</v>
      </c>
      <c r="V121" s="77">
        <f>VLOOKUP(G121,'Component List'!K$2:L$30,2,FALSE)</f>
        <v>101</v>
      </c>
      <c r="W121" s="77">
        <f>VLOOKUP(H121,'Component List'!M$2:N$31,2,FALSE)</f>
        <v>103</v>
      </c>
      <c r="X121" s="77">
        <f>VLOOKUP(I121,'Component List'!O$2:P$30,2,FALSE)</f>
        <v>100</v>
      </c>
      <c r="Y121" s="77" t="str">
        <f>VLOOKUP(J121,'Component List'!Q$2:R$30,2,FALSE)</f>
        <v>000</v>
      </c>
      <c r="Z121" s="77" t="e">
        <f>VLOOKUP(K121,'Component List'!S$2:T$30,2,FALSE)</f>
        <v>#N/A</v>
      </c>
      <c r="AA121" s="77" t="e">
        <f>VLOOKUP(L121,'Component List'!U$2:V$30,2,FALSE)</f>
        <v>#N/A</v>
      </c>
      <c r="AB121" s="77">
        <f>VLOOKUP(M121,'Component List'!AA$2:AB$30,2,FALSE)</f>
        <v>1</v>
      </c>
      <c r="AC121" s="77" t="str">
        <f>VLOOKUP(N121,'Component List'!Y$2:Z$30,2,FALSE)</f>
        <v>C</v>
      </c>
      <c r="AD121" s="159" t="e">
        <f>VLOOKUP(O121,'Component List'!W$3:X$30,2,FALSE)</f>
        <v>#N/A</v>
      </c>
      <c r="AG121" s="93"/>
    </row>
    <row r="122" spans="1:33" ht="30" customHeight="1" x14ac:dyDescent="0.3">
      <c r="A122" s="233"/>
      <c r="B122" s="107" t="s">
        <v>201</v>
      </c>
      <c r="C122" s="82" t="s">
        <v>21</v>
      </c>
      <c r="D122" s="80" t="s">
        <v>136</v>
      </c>
      <c r="E122" s="81" t="s">
        <v>137</v>
      </c>
      <c r="F122" s="80" t="s">
        <v>45</v>
      </c>
      <c r="G122" s="80" t="s">
        <v>183</v>
      </c>
      <c r="H122" s="80" t="s">
        <v>208</v>
      </c>
      <c r="I122" s="104" t="s">
        <v>198</v>
      </c>
      <c r="J122" s="117" t="s">
        <v>143</v>
      </c>
      <c r="K122" s="135" t="s">
        <v>366</v>
      </c>
      <c r="L122" s="135" t="s">
        <v>366</v>
      </c>
      <c r="M122" s="82">
        <v>2</v>
      </c>
      <c r="N122" s="82" t="s">
        <v>175</v>
      </c>
      <c r="O122" s="117" t="s">
        <v>367</v>
      </c>
      <c r="P122" s="123" t="e">
        <f t="shared" si="2"/>
        <v>#N/A</v>
      </c>
      <c r="Q122" s="119" t="str">
        <f>VLOOKUP($B122,'Component List'!$A$2:$B$30,2,FALSE)</f>
        <v>SF3</v>
      </c>
      <c r="R122" s="77" t="str">
        <f>VLOOKUP($C122,'Component List'!C$2:D$28,2,FALSE)</f>
        <v>C00</v>
      </c>
      <c r="S122" s="77" t="str">
        <f>VLOOKUP($D122,'Component List'!E$2:F$30,2,FALSE)</f>
        <v>D</v>
      </c>
      <c r="T122" s="77">
        <f>VLOOKUP($E122,'Component List'!G$2:H$30,2,FALSE)</f>
        <v>102</v>
      </c>
      <c r="U122" s="77">
        <f>VLOOKUP($F122,'Component List'!I$2:J$30,2,FALSE)</f>
        <v>106</v>
      </c>
      <c r="V122" s="77">
        <f>VLOOKUP(G122,'Component List'!K$2:L$30,2,FALSE)</f>
        <v>101</v>
      </c>
      <c r="W122" s="77">
        <f>VLOOKUP(H122,'Component List'!M$2:N$31,2,FALSE)</f>
        <v>103</v>
      </c>
      <c r="X122" s="77">
        <f>VLOOKUP(I122,'Component List'!O$2:P$30,2,FALSE)</f>
        <v>100</v>
      </c>
      <c r="Y122" s="77" t="str">
        <f>VLOOKUP(J122,'Component List'!Q$2:R$30,2,FALSE)</f>
        <v>000</v>
      </c>
      <c r="Z122" s="77" t="e">
        <f>VLOOKUP(K122,'Component List'!S$2:T$30,2,FALSE)</f>
        <v>#N/A</v>
      </c>
      <c r="AA122" s="77" t="e">
        <f>VLOOKUP(L122,'Component List'!U$2:V$30,2,FALSE)</f>
        <v>#N/A</v>
      </c>
      <c r="AB122" s="77">
        <f>VLOOKUP(M122,'Component List'!AA$2:AB$30,2,FALSE)</f>
        <v>2</v>
      </c>
      <c r="AC122" s="77" t="str">
        <f>VLOOKUP(N122,'Component List'!Y$2:Z$30,2,FALSE)</f>
        <v>P</v>
      </c>
      <c r="AD122" s="159" t="e">
        <f>VLOOKUP(O122,'Component List'!W$3:X$30,2,FALSE)</f>
        <v>#N/A</v>
      </c>
      <c r="AG122" s="93"/>
    </row>
    <row r="123" spans="1:33" ht="30" customHeight="1" x14ac:dyDescent="0.3">
      <c r="A123" s="233"/>
      <c r="B123" s="107" t="s">
        <v>201</v>
      </c>
      <c r="C123" s="82" t="s">
        <v>21</v>
      </c>
      <c r="D123" s="80" t="s">
        <v>136</v>
      </c>
      <c r="E123" s="81" t="s">
        <v>137</v>
      </c>
      <c r="F123" s="80" t="s">
        <v>45</v>
      </c>
      <c r="G123" s="80" t="s">
        <v>183</v>
      </c>
      <c r="H123" s="80" t="s">
        <v>208</v>
      </c>
      <c r="I123" s="104" t="s">
        <v>198</v>
      </c>
      <c r="J123" s="117" t="s">
        <v>143</v>
      </c>
      <c r="K123" s="135" t="s">
        <v>366</v>
      </c>
      <c r="L123" s="135" t="s">
        <v>366</v>
      </c>
      <c r="M123" s="82">
        <v>2</v>
      </c>
      <c r="N123" s="82" t="s">
        <v>187</v>
      </c>
      <c r="O123" s="117" t="s">
        <v>367</v>
      </c>
      <c r="P123" s="123" t="e">
        <f t="shared" si="2"/>
        <v>#N/A</v>
      </c>
      <c r="Q123" s="119" t="str">
        <f>VLOOKUP($B123,'Component List'!$A$2:$B$30,2,FALSE)</f>
        <v>SF3</v>
      </c>
      <c r="R123" s="77" t="str">
        <f>VLOOKUP($C123,'Component List'!C$2:D$28,2,FALSE)</f>
        <v>C00</v>
      </c>
      <c r="S123" s="77" t="str">
        <f>VLOOKUP($D123,'Component List'!E$2:F$30,2,FALSE)</f>
        <v>D</v>
      </c>
      <c r="T123" s="77">
        <f>VLOOKUP($E123,'Component List'!G$2:H$30,2,FALSE)</f>
        <v>102</v>
      </c>
      <c r="U123" s="77">
        <f>VLOOKUP($F123,'Component List'!I$2:J$30,2,FALSE)</f>
        <v>106</v>
      </c>
      <c r="V123" s="77">
        <f>VLOOKUP(G123,'Component List'!K$2:L$30,2,FALSE)</f>
        <v>101</v>
      </c>
      <c r="W123" s="77">
        <f>VLOOKUP(H123,'Component List'!M$2:N$31,2,FALSE)</f>
        <v>103</v>
      </c>
      <c r="X123" s="77">
        <f>VLOOKUP(I123,'Component List'!O$2:P$30,2,FALSE)</f>
        <v>100</v>
      </c>
      <c r="Y123" s="77" t="str">
        <f>VLOOKUP(J123,'Component List'!Q$2:R$30,2,FALSE)</f>
        <v>000</v>
      </c>
      <c r="Z123" s="77" t="e">
        <f>VLOOKUP(K123,'Component List'!S$2:T$30,2,FALSE)</f>
        <v>#N/A</v>
      </c>
      <c r="AA123" s="77" t="e">
        <f>VLOOKUP(L123,'Component List'!U$2:V$30,2,FALSE)</f>
        <v>#N/A</v>
      </c>
      <c r="AB123" s="77">
        <f>VLOOKUP(M123,'Component List'!AA$2:AB$30,2,FALSE)</f>
        <v>2</v>
      </c>
      <c r="AC123" s="77" t="str">
        <f>VLOOKUP(N123,'Component List'!Y$2:Z$30,2,FALSE)</f>
        <v>C</v>
      </c>
      <c r="AD123" s="159" t="e">
        <f>VLOOKUP(O123,'Component List'!W$3:X$30,2,FALSE)</f>
        <v>#N/A</v>
      </c>
      <c r="AG123" s="93"/>
    </row>
    <row r="124" spans="1:33" ht="30" customHeight="1" x14ac:dyDescent="0.3">
      <c r="A124" s="233"/>
      <c r="B124" s="107" t="s">
        <v>201</v>
      </c>
      <c r="C124" s="82" t="s">
        <v>21</v>
      </c>
      <c r="D124" s="80" t="s">
        <v>136</v>
      </c>
      <c r="E124" s="81" t="s">
        <v>137</v>
      </c>
      <c r="F124" s="80" t="s">
        <v>45</v>
      </c>
      <c r="G124" s="80" t="s">
        <v>183</v>
      </c>
      <c r="H124" s="80" t="s">
        <v>208</v>
      </c>
      <c r="I124" s="104" t="s">
        <v>198</v>
      </c>
      <c r="J124" s="117" t="s">
        <v>143</v>
      </c>
      <c r="K124" s="135" t="s">
        <v>366</v>
      </c>
      <c r="L124" s="135" t="s">
        <v>366</v>
      </c>
      <c r="M124" s="101">
        <v>3</v>
      </c>
      <c r="N124" s="82" t="s">
        <v>175</v>
      </c>
      <c r="O124" s="117" t="s">
        <v>367</v>
      </c>
      <c r="P124" s="123" t="e">
        <f t="shared" si="2"/>
        <v>#N/A</v>
      </c>
      <c r="Q124" s="119" t="str">
        <f>VLOOKUP($B124,'Component List'!$A$2:$B$30,2,FALSE)</f>
        <v>SF3</v>
      </c>
      <c r="R124" s="77" t="str">
        <f>VLOOKUP($C124,'Component List'!C$2:D$28,2,FALSE)</f>
        <v>C00</v>
      </c>
      <c r="S124" s="77" t="str">
        <f>VLOOKUP($D124,'Component List'!E$2:F$30,2,FALSE)</f>
        <v>D</v>
      </c>
      <c r="T124" s="77">
        <f>VLOOKUP($E124,'Component List'!G$2:H$30,2,FALSE)</f>
        <v>102</v>
      </c>
      <c r="U124" s="77">
        <f>VLOOKUP($F124,'Component List'!I$2:J$30,2,FALSE)</f>
        <v>106</v>
      </c>
      <c r="V124" s="77">
        <f>VLOOKUP(G124,'Component List'!K$2:L$30,2,FALSE)</f>
        <v>101</v>
      </c>
      <c r="W124" s="77">
        <f>VLOOKUP(H124,'Component List'!M$2:N$31,2,FALSE)</f>
        <v>103</v>
      </c>
      <c r="X124" s="77">
        <f>VLOOKUP(I124,'Component List'!O$2:P$30,2,FALSE)</f>
        <v>100</v>
      </c>
      <c r="Y124" s="77" t="str">
        <f>VLOOKUP(J124,'Component List'!Q$2:R$30,2,FALSE)</f>
        <v>000</v>
      </c>
      <c r="Z124" s="77" t="e">
        <f>VLOOKUP(K124,'Component List'!S$2:T$30,2,FALSE)</f>
        <v>#N/A</v>
      </c>
      <c r="AA124" s="77" t="e">
        <f>VLOOKUP(L124,'Component List'!U$2:V$30,2,FALSE)</f>
        <v>#N/A</v>
      </c>
      <c r="AB124" s="77">
        <f>VLOOKUP(M124,'Component List'!AA$2:AB$30,2,FALSE)</f>
        <v>3</v>
      </c>
      <c r="AC124" s="77" t="str">
        <f>VLOOKUP(N124,'Component List'!Y$2:Z$30,2,FALSE)</f>
        <v>P</v>
      </c>
      <c r="AD124" s="159" t="e">
        <f>VLOOKUP(O124,'Component List'!W$3:X$30,2,FALSE)</f>
        <v>#N/A</v>
      </c>
      <c r="AG124" s="93"/>
    </row>
    <row r="125" spans="1:33" ht="30" customHeight="1" x14ac:dyDescent="0.3">
      <c r="A125" s="233"/>
      <c r="B125" s="107" t="s">
        <v>201</v>
      </c>
      <c r="C125" s="82" t="s">
        <v>21</v>
      </c>
      <c r="D125" s="80" t="s">
        <v>136</v>
      </c>
      <c r="E125" s="81" t="s">
        <v>137</v>
      </c>
      <c r="F125" s="80" t="s">
        <v>45</v>
      </c>
      <c r="G125" s="80" t="s">
        <v>183</v>
      </c>
      <c r="H125" s="80" t="s">
        <v>208</v>
      </c>
      <c r="I125" s="104" t="s">
        <v>198</v>
      </c>
      <c r="J125" s="117" t="s">
        <v>143</v>
      </c>
      <c r="K125" s="135" t="s">
        <v>366</v>
      </c>
      <c r="L125" s="135" t="s">
        <v>366</v>
      </c>
      <c r="M125" s="101">
        <v>3</v>
      </c>
      <c r="N125" s="82" t="s">
        <v>187</v>
      </c>
      <c r="O125" s="117" t="s">
        <v>367</v>
      </c>
      <c r="P125" s="123" t="e">
        <f t="shared" si="2"/>
        <v>#N/A</v>
      </c>
      <c r="Q125" s="119" t="str">
        <f>VLOOKUP($B125,'Component List'!$A$2:$B$30,2,FALSE)</f>
        <v>SF3</v>
      </c>
      <c r="R125" s="77" t="str">
        <f>VLOOKUP($C125,'Component List'!C$2:D$28,2,FALSE)</f>
        <v>C00</v>
      </c>
      <c r="S125" s="77" t="str">
        <f>VLOOKUP($D125,'Component List'!E$2:F$30,2,FALSE)</f>
        <v>D</v>
      </c>
      <c r="T125" s="77">
        <f>VLOOKUP($E125,'Component List'!G$2:H$30,2,FALSE)</f>
        <v>102</v>
      </c>
      <c r="U125" s="77">
        <f>VLOOKUP($F125,'Component List'!I$2:J$30,2,FALSE)</f>
        <v>106</v>
      </c>
      <c r="V125" s="77">
        <f>VLOOKUP(G125,'Component List'!K$2:L$30,2,FALSE)</f>
        <v>101</v>
      </c>
      <c r="W125" s="77">
        <f>VLOOKUP(H125,'Component List'!M$2:N$31,2,FALSE)</f>
        <v>103</v>
      </c>
      <c r="X125" s="77">
        <f>VLOOKUP(I125,'Component List'!O$2:P$30,2,FALSE)</f>
        <v>100</v>
      </c>
      <c r="Y125" s="77" t="str">
        <f>VLOOKUP(J125,'Component List'!Q$2:R$30,2,FALSE)</f>
        <v>000</v>
      </c>
      <c r="Z125" s="77" t="e">
        <f>VLOOKUP(K125,'Component List'!S$2:T$30,2,FALSE)</f>
        <v>#N/A</v>
      </c>
      <c r="AA125" s="77" t="e">
        <f>VLOOKUP(L125,'Component List'!U$2:V$30,2,FALSE)</f>
        <v>#N/A</v>
      </c>
      <c r="AB125" s="77">
        <f>VLOOKUP(M125,'Component List'!AA$2:AB$30,2,FALSE)</f>
        <v>3</v>
      </c>
      <c r="AC125" s="77" t="str">
        <f>VLOOKUP(N125,'Component List'!Y$2:Z$30,2,FALSE)</f>
        <v>C</v>
      </c>
      <c r="AD125" s="159" t="e">
        <f>VLOOKUP(O125,'Component List'!W$3:X$30,2,FALSE)</f>
        <v>#N/A</v>
      </c>
      <c r="AG125" s="93"/>
    </row>
    <row r="126" spans="1:33" ht="30" customHeight="1" x14ac:dyDescent="0.3">
      <c r="A126" s="233"/>
      <c r="B126" s="107" t="s">
        <v>201</v>
      </c>
      <c r="C126" s="82" t="s">
        <v>21</v>
      </c>
      <c r="D126" s="80" t="s">
        <v>136</v>
      </c>
      <c r="E126" s="81" t="s">
        <v>182</v>
      </c>
      <c r="F126" s="80" t="s">
        <v>47</v>
      </c>
      <c r="G126" s="80" t="s">
        <v>183</v>
      </c>
      <c r="H126" s="80" t="s">
        <v>138</v>
      </c>
      <c r="I126" s="104" t="s">
        <v>198</v>
      </c>
      <c r="J126" s="117" t="s">
        <v>143</v>
      </c>
      <c r="K126" s="135" t="s">
        <v>366</v>
      </c>
      <c r="L126" s="135" t="s">
        <v>366</v>
      </c>
      <c r="M126" s="82">
        <v>1</v>
      </c>
      <c r="N126" s="82" t="s">
        <v>175</v>
      </c>
      <c r="O126" s="117" t="s">
        <v>367</v>
      </c>
      <c r="P126" s="123" t="e">
        <f t="shared" si="2"/>
        <v>#N/A</v>
      </c>
      <c r="Q126" s="119" t="str">
        <f>VLOOKUP($B126,'Component List'!$A$2:$B$30,2,FALSE)</f>
        <v>SF3</v>
      </c>
      <c r="R126" s="77" t="str">
        <f>VLOOKUP($C126,'Component List'!C$2:D$28,2,FALSE)</f>
        <v>C00</v>
      </c>
      <c r="S126" s="77" t="str">
        <f>VLOOKUP($D126,'Component List'!E$2:F$30,2,FALSE)</f>
        <v>D</v>
      </c>
      <c r="T126" s="77">
        <f>VLOOKUP($E126,'Component List'!G$2:H$30,2,FALSE)</f>
        <v>101</v>
      </c>
      <c r="U126" s="77">
        <f>VLOOKUP($F126,'Component List'!I$2:J$30,2,FALSE)</f>
        <v>104</v>
      </c>
      <c r="V126" s="77">
        <f>VLOOKUP(G126,'Component List'!K$2:L$30,2,FALSE)</f>
        <v>101</v>
      </c>
      <c r="W126" s="77">
        <f>VLOOKUP(H126,'Component List'!M$2:N$31,2,FALSE)</f>
        <v>100</v>
      </c>
      <c r="X126" s="77">
        <f>VLOOKUP(I126,'Component List'!O$2:P$30,2,FALSE)</f>
        <v>100</v>
      </c>
      <c r="Y126" s="77" t="str">
        <f>VLOOKUP(J126,'Component List'!Q$2:R$30,2,FALSE)</f>
        <v>000</v>
      </c>
      <c r="Z126" s="77" t="e">
        <f>VLOOKUP(K126,'Component List'!S$2:T$30,2,FALSE)</f>
        <v>#N/A</v>
      </c>
      <c r="AA126" s="77" t="e">
        <f>VLOOKUP(L126,'Component List'!U$2:V$30,2,FALSE)</f>
        <v>#N/A</v>
      </c>
      <c r="AB126" s="77">
        <f>VLOOKUP(M126,'Component List'!AA$2:AB$30,2,FALSE)</f>
        <v>1</v>
      </c>
      <c r="AC126" s="77" t="str">
        <f>VLOOKUP(N126,'Component List'!Y$2:Z$30,2,FALSE)</f>
        <v>P</v>
      </c>
      <c r="AD126" s="159" t="e">
        <f>VLOOKUP(O126,'Component List'!W$3:X$30,2,FALSE)</f>
        <v>#N/A</v>
      </c>
      <c r="AG126" s="93"/>
    </row>
    <row r="127" spans="1:33" ht="30" customHeight="1" x14ac:dyDescent="0.3">
      <c r="A127" s="233"/>
      <c r="B127" s="107" t="s">
        <v>201</v>
      </c>
      <c r="C127" s="82" t="s">
        <v>21</v>
      </c>
      <c r="D127" s="80" t="s">
        <v>136</v>
      </c>
      <c r="E127" s="81" t="s">
        <v>182</v>
      </c>
      <c r="F127" s="80" t="s">
        <v>47</v>
      </c>
      <c r="G127" s="80" t="s">
        <v>183</v>
      </c>
      <c r="H127" s="80" t="s">
        <v>138</v>
      </c>
      <c r="I127" s="104" t="s">
        <v>198</v>
      </c>
      <c r="J127" s="117" t="s">
        <v>143</v>
      </c>
      <c r="K127" s="135" t="s">
        <v>366</v>
      </c>
      <c r="L127" s="135" t="s">
        <v>366</v>
      </c>
      <c r="M127" s="82">
        <v>1</v>
      </c>
      <c r="N127" s="82" t="s">
        <v>187</v>
      </c>
      <c r="O127" s="117" t="s">
        <v>367</v>
      </c>
      <c r="P127" s="123" t="e">
        <f t="shared" si="2"/>
        <v>#N/A</v>
      </c>
      <c r="Q127" s="119" t="str">
        <f>VLOOKUP($B127,'Component List'!$A$2:$B$30,2,FALSE)</f>
        <v>SF3</v>
      </c>
      <c r="R127" s="77" t="str">
        <f>VLOOKUP($C127,'Component List'!C$2:D$28,2,FALSE)</f>
        <v>C00</v>
      </c>
      <c r="S127" s="77" t="str">
        <f>VLOOKUP($D127,'Component List'!E$2:F$30,2,FALSE)</f>
        <v>D</v>
      </c>
      <c r="T127" s="77">
        <f>VLOOKUP($E127,'Component List'!G$2:H$30,2,FALSE)</f>
        <v>101</v>
      </c>
      <c r="U127" s="77">
        <f>VLOOKUP($F127,'Component List'!I$2:J$30,2,FALSE)</f>
        <v>104</v>
      </c>
      <c r="V127" s="77">
        <f>VLOOKUP(G127,'Component List'!K$2:L$30,2,FALSE)</f>
        <v>101</v>
      </c>
      <c r="W127" s="77">
        <f>VLOOKUP(H127,'Component List'!M$2:N$31,2,FALSE)</f>
        <v>100</v>
      </c>
      <c r="X127" s="77">
        <f>VLOOKUP(I127,'Component List'!O$2:P$30,2,FALSE)</f>
        <v>100</v>
      </c>
      <c r="Y127" s="77" t="str">
        <f>VLOOKUP(J127,'Component List'!Q$2:R$30,2,FALSE)</f>
        <v>000</v>
      </c>
      <c r="Z127" s="77" t="e">
        <f>VLOOKUP(K127,'Component List'!S$2:T$30,2,FALSE)</f>
        <v>#N/A</v>
      </c>
      <c r="AA127" s="77" t="e">
        <f>VLOOKUP(L127,'Component List'!U$2:V$30,2,FALSE)</f>
        <v>#N/A</v>
      </c>
      <c r="AB127" s="77">
        <f>VLOOKUP(M127,'Component List'!AA$2:AB$30,2,FALSE)</f>
        <v>1</v>
      </c>
      <c r="AC127" s="77" t="str">
        <f>VLOOKUP(N127,'Component List'!Y$2:Z$30,2,FALSE)</f>
        <v>C</v>
      </c>
      <c r="AD127" s="159" t="e">
        <f>VLOOKUP(O127,'Component List'!W$3:X$30,2,FALSE)</f>
        <v>#N/A</v>
      </c>
      <c r="AG127" s="93"/>
    </row>
    <row r="128" spans="1:33" ht="30" customHeight="1" x14ac:dyDescent="0.3">
      <c r="A128" s="233"/>
      <c r="B128" s="107" t="s">
        <v>201</v>
      </c>
      <c r="C128" s="82" t="s">
        <v>21</v>
      </c>
      <c r="D128" s="80" t="s">
        <v>136</v>
      </c>
      <c r="E128" s="81" t="s">
        <v>182</v>
      </c>
      <c r="F128" s="80" t="s">
        <v>47</v>
      </c>
      <c r="G128" s="80" t="s">
        <v>183</v>
      </c>
      <c r="H128" s="80" t="s">
        <v>138</v>
      </c>
      <c r="I128" s="104" t="s">
        <v>198</v>
      </c>
      <c r="J128" s="117" t="s">
        <v>143</v>
      </c>
      <c r="K128" s="135" t="s">
        <v>366</v>
      </c>
      <c r="L128" s="135" t="s">
        <v>366</v>
      </c>
      <c r="M128" s="82">
        <v>2</v>
      </c>
      <c r="N128" s="82" t="s">
        <v>175</v>
      </c>
      <c r="O128" s="117" t="s">
        <v>367</v>
      </c>
      <c r="P128" s="123" t="e">
        <f t="shared" si="2"/>
        <v>#N/A</v>
      </c>
      <c r="Q128" s="119" t="str">
        <f>VLOOKUP($B128,'Component List'!$A$2:$B$30,2,FALSE)</f>
        <v>SF3</v>
      </c>
      <c r="R128" s="77" t="str">
        <f>VLOOKUP($C128,'Component List'!C$2:D$28,2,FALSE)</f>
        <v>C00</v>
      </c>
      <c r="S128" s="77" t="str">
        <f>VLOOKUP($D128,'Component List'!E$2:F$30,2,FALSE)</f>
        <v>D</v>
      </c>
      <c r="T128" s="77">
        <f>VLOOKUP($E128,'Component List'!G$2:H$30,2,FALSE)</f>
        <v>101</v>
      </c>
      <c r="U128" s="77">
        <f>VLOOKUP($F128,'Component List'!I$2:J$30,2,FALSE)</f>
        <v>104</v>
      </c>
      <c r="V128" s="77">
        <f>VLOOKUP(G128,'Component List'!K$2:L$30,2,FALSE)</f>
        <v>101</v>
      </c>
      <c r="W128" s="77">
        <f>VLOOKUP(H128,'Component List'!M$2:N$31,2,FALSE)</f>
        <v>100</v>
      </c>
      <c r="X128" s="77">
        <f>VLOOKUP(I128,'Component List'!O$2:P$30,2,FALSE)</f>
        <v>100</v>
      </c>
      <c r="Y128" s="77" t="str">
        <f>VLOOKUP(J128,'Component List'!Q$2:R$30,2,FALSE)</f>
        <v>000</v>
      </c>
      <c r="Z128" s="77" t="e">
        <f>VLOOKUP(K128,'Component List'!S$2:T$30,2,FALSE)</f>
        <v>#N/A</v>
      </c>
      <c r="AA128" s="77" t="e">
        <f>VLOOKUP(L128,'Component List'!U$2:V$30,2,FALSE)</f>
        <v>#N/A</v>
      </c>
      <c r="AB128" s="77">
        <f>VLOOKUP(M128,'Component List'!AA$2:AB$30,2,FALSE)</f>
        <v>2</v>
      </c>
      <c r="AC128" s="77" t="str">
        <f>VLOOKUP(N128,'Component List'!Y$2:Z$30,2,FALSE)</f>
        <v>P</v>
      </c>
      <c r="AD128" s="159" t="e">
        <f>VLOOKUP(O128,'Component List'!W$3:X$30,2,FALSE)</f>
        <v>#N/A</v>
      </c>
      <c r="AG128" s="93"/>
    </row>
    <row r="129" spans="1:33" ht="30" customHeight="1" x14ac:dyDescent="0.3">
      <c r="A129" s="233"/>
      <c r="B129" s="107" t="s">
        <v>201</v>
      </c>
      <c r="C129" s="82" t="s">
        <v>21</v>
      </c>
      <c r="D129" s="80" t="s">
        <v>136</v>
      </c>
      <c r="E129" s="81" t="s">
        <v>182</v>
      </c>
      <c r="F129" s="80" t="s">
        <v>47</v>
      </c>
      <c r="G129" s="80" t="s">
        <v>183</v>
      </c>
      <c r="H129" s="80" t="s">
        <v>138</v>
      </c>
      <c r="I129" s="104" t="s">
        <v>198</v>
      </c>
      <c r="J129" s="117" t="s">
        <v>143</v>
      </c>
      <c r="K129" s="135" t="s">
        <v>366</v>
      </c>
      <c r="L129" s="135" t="s">
        <v>366</v>
      </c>
      <c r="M129" s="82">
        <v>2</v>
      </c>
      <c r="N129" s="82" t="s">
        <v>187</v>
      </c>
      <c r="O129" s="117" t="s">
        <v>367</v>
      </c>
      <c r="P129" s="123" t="e">
        <f t="shared" si="2"/>
        <v>#N/A</v>
      </c>
      <c r="Q129" s="119" t="str">
        <f>VLOOKUP($B129,'Component List'!$A$2:$B$30,2,FALSE)</f>
        <v>SF3</v>
      </c>
      <c r="R129" s="77" t="str">
        <f>VLOOKUP($C129,'Component List'!C$2:D$28,2,FALSE)</f>
        <v>C00</v>
      </c>
      <c r="S129" s="77" t="str">
        <f>VLOOKUP($D129,'Component List'!E$2:F$30,2,FALSE)</f>
        <v>D</v>
      </c>
      <c r="T129" s="77">
        <f>VLOOKUP($E129,'Component List'!G$2:H$30,2,FALSE)</f>
        <v>101</v>
      </c>
      <c r="U129" s="77">
        <f>VLOOKUP($F129,'Component List'!I$2:J$30,2,FALSE)</f>
        <v>104</v>
      </c>
      <c r="V129" s="77">
        <f>VLOOKUP(G129,'Component List'!K$2:L$30,2,FALSE)</f>
        <v>101</v>
      </c>
      <c r="W129" s="77">
        <f>VLOOKUP(H129,'Component List'!M$2:N$31,2,FALSE)</f>
        <v>100</v>
      </c>
      <c r="X129" s="77">
        <f>VLOOKUP(I129,'Component List'!O$2:P$30,2,FALSE)</f>
        <v>100</v>
      </c>
      <c r="Y129" s="77" t="str">
        <f>VLOOKUP(J129,'Component List'!Q$2:R$30,2,FALSE)</f>
        <v>000</v>
      </c>
      <c r="Z129" s="77" t="e">
        <f>VLOOKUP(K129,'Component List'!S$2:T$30,2,FALSE)</f>
        <v>#N/A</v>
      </c>
      <c r="AA129" s="77" t="e">
        <f>VLOOKUP(L129,'Component List'!U$2:V$30,2,FALSE)</f>
        <v>#N/A</v>
      </c>
      <c r="AB129" s="77">
        <f>VLOOKUP(M129,'Component List'!AA$2:AB$30,2,FALSE)</f>
        <v>2</v>
      </c>
      <c r="AC129" s="77" t="str">
        <f>VLOOKUP(N129,'Component List'!Y$2:Z$30,2,FALSE)</f>
        <v>C</v>
      </c>
      <c r="AD129" s="159" t="e">
        <f>VLOOKUP(O129,'Component List'!W$3:X$30,2,FALSE)</f>
        <v>#N/A</v>
      </c>
      <c r="AG129" s="93"/>
    </row>
    <row r="130" spans="1:33" ht="30" customHeight="1" x14ac:dyDescent="0.3">
      <c r="A130" s="233"/>
      <c r="B130" s="107" t="s">
        <v>201</v>
      </c>
      <c r="C130" s="82" t="s">
        <v>21</v>
      </c>
      <c r="D130" s="80" t="s">
        <v>136</v>
      </c>
      <c r="E130" s="81" t="s">
        <v>182</v>
      </c>
      <c r="F130" s="80" t="s">
        <v>47</v>
      </c>
      <c r="G130" s="80" t="s">
        <v>183</v>
      </c>
      <c r="H130" s="80" t="s">
        <v>138</v>
      </c>
      <c r="I130" s="104" t="s">
        <v>198</v>
      </c>
      <c r="J130" s="117" t="s">
        <v>143</v>
      </c>
      <c r="K130" s="135" t="s">
        <v>366</v>
      </c>
      <c r="L130" s="135" t="s">
        <v>366</v>
      </c>
      <c r="M130" s="82">
        <v>3</v>
      </c>
      <c r="N130" s="82" t="s">
        <v>175</v>
      </c>
      <c r="O130" s="117" t="s">
        <v>367</v>
      </c>
      <c r="P130" s="123" t="e">
        <f t="shared" si="2"/>
        <v>#N/A</v>
      </c>
      <c r="Q130" s="119" t="str">
        <f>VLOOKUP($B130,'Component List'!$A$2:$B$30,2,FALSE)</f>
        <v>SF3</v>
      </c>
      <c r="R130" s="77" t="str">
        <f>VLOOKUP($C130,'Component List'!C$2:D$28,2,FALSE)</f>
        <v>C00</v>
      </c>
      <c r="S130" s="77" t="str">
        <f>VLOOKUP($D130,'Component List'!E$2:F$30,2,FALSE)</f>
        <v>D</v>
      </c>
      <c r="T130" s="77">
        <f>VLOOKUP($E130,'Component List'!G$2:H$30,2,FALSE)</f>
        <v>101</v>
      </c>
      <c r="U130" s="77">
        <f>VLOOKUP($F130,'Component List'!I$2:J$30,2,FALSE)</f>
        <v>104</v>
      </c>
      <c r="V130" s="77">
        <f>VLOOKUP(G130,'Component List'!K$2:L$30,2,FALSE)</f>
        <v>101</v>
      </c>
      <c r="W130" s="77">
        <f>VLOOKUP(H130,'Component List'!M$2:N$31,2,FALSE)</f>
        <v>100</v>
      </c>
      <c r="X130" s="77">
        <f>VLOOKUP(I130,'Component List'!O$2:P$30,2,FALSE)</f>
        <v>100</v>
      </c>
      <c r="Y130" s="77" t="str">
        <f>VLOOKUP(J130,'Component List'!Q$2:R$30,2,FALSE)</f>
        <v>000</v>
      </c>
      <c r="Z130" s="77" t="e">
        <f>VLOOKUP(K130,'Component List'!S$2:T$30,2,FALSE)</f>
        <v>#N/A</v>
      </c>
      <c r="AA130" s="77" t="e">
        <f>VLOOKUP(L130,'Component List'!U$2:V$30,2,FALSE)</f>
        <v>#N/A</v>
      </c>
      <c r="AB130" s="77">
        <f>VLOOKUP(M130,'Component List'!AA$2:AB$30,2,FALSE)</f>
        <v>3</v>
      </c>
      <c r="AC130" s="77" t="str">
        <f>VLOOKUP(N130,'Component List'!Y$2:Z$30,2,FALSE)</f>
        <v>P</v>
      </c>
      <c r="AD130" s="159" t="e">
        <f>VLOOKUP(O130,'Component List'!W$3:X$30,2,FALSE)</f>
        <v>#N/A</v>
      </c>
      <c r="AG130" s="93"/>
    </row>
    <row r="131" spans="1:33" ht="30" customHeight="1" x14ac:dyDescent="0.3">
      <c r="A131" s="233"/>
      <c r="B131" s="107" t="s">
        <v>201</v>
      </c>
      <c r="C131" s="82" t="s">
        <v>21</v>
      </c>
      <c r="D131" s="80" t="s">
        <v>136</v>
      </c>
      <c r="E131" s="81" t="s">
        <v>182</v>
      </c>
      <c r="F131" s="80" t="s">
        <v>47</v>
      </c>
      <c r="G131" s="80" t="s">
        <v>183</v>
      </c>
      <c r="H131" s="80" t="s">
        <v>138</v>
      </c>
      <c r="I131" s="104" t="s">
        <v>198</v>
      </c>
      <c r="J131" s="117" t="s">
        <v>143</v>
      </c>
      <c r="K131" s="135" t="s">
        <v>366</v>
      </c>
      <c r="L131" s="135" t="s">
        <v>366</v>
      </c>
      <c r="M131" s="82">
        <v>3</v>
      </c>
      <c r="N131" s="82" t="s">
        <v>187</v>
      </c>
      <c r="O131" s="117" t="s">
        <v>367</v>
      </c>
      <c r="P131" s="123" t="e">
        <f t="shared" si="2"/>
        <v>#N/A</v>
      </c>
      <c r="Q131" s="119" t="str">
        <f>VLOOKUP($B131,'Component List'!$A$2:$B$30,2,FALSE)</f>
        <v>SF3</v>
      </c>
      <c r="R131" s="77" t="str">
        <f>VLOOKUP($C131,'Component List'!C$2:D$28,2,FALSE)</f>
        <v>C00</v>
      </c>
      <c r="S131" s="77" t="str">
        <f>VLOOKUP($D131,'Component List'!E$2:F$30,2,FALSE)</f>
        <v>D</v>
      </c>
      <c r="T131" s="77">
        <f>VLOOKUP($E131,'Component List'!G$2:H$30,2,FALSE)</f>
        <v>101</v>
      </c>
      <c r="U131" s="77">
        <f>VLOOKUP($F131,'Component List'!I$2:J$30,2,FALSE)</f>
        <v>104</v>
      </c>
      <c r="V131" s="77">
        <f>VLOOKUP(G131,'Component List'!K$2:L$30,2,FALSE)</f>
        <v>101</v>
      </c>
      <c r="W131" s="77">
        <f>VLOOKUP(H131,'Component List'!M$2:N$31,2,FALSE)</f>
        <v>100</v>
      </c>
      <c r="X131" s="77">
        <f>VLOOKUP(I131,'Component List'!O$2:P$30,2,FALSE)</f>
        <v>100</v>
      </c>
      <c r="Y131" s="77" t="str">
        <f>VLOOKUP(J131,'Component List'!Q$2:R$30,2,FALSE)</f>
        <v>000</v>
      </c>
      <c r="Z131" s="77" t="e">
        <f>VLOOKUP(K131,'Component List'!S$2:T$30,2,FALSE)</f>
        <v>#N/A</v>
      </c>
      <c r="AA131" s="77" t="e">
        <f>VLOOKUP(L131,'Component List'!U$2:V$30,2,FALSE)</f>
        <v>#N/A</v>
      </c>
      <c r="AB131" s="77">
        <f>VLOOKUP(M131,'Component List'!AA$2:AB$30,2,FALSE)</f>
        <v>3</v>
      </c>
      <c r="AC131" s="77" t="str">
        <f>VLOOKUP(N131,'Component List'!Y$2:Z$30,2,FALSE)</f>
        <v>C</v>
      </c>
      <c r="AD131" s="159" t="e">
        <f>VLOOKUP(O131,'Component List'!W$3:X$30,2,FALSE)</f>
        <v>#N/A</v>
      </c>
      <c r="AG131" s="93"/>
    </row>
    <row r="132" spans="1:33" ht="30" customHeight="1" x14ac:dyDescent="0.3">
      <c r="A132" s="233"/>
      <c r="B132" s="107" t="s">
        <v>201</v>
      </c>
      <c r="C132" s="80" t="s">
        <v>203</v>
      </c>
      <c r="D132" s="80" t="s">
        <v>136</v>
      </c>
      <c r="E132" s="81" t="s">
        <v>182</v>
      </c>
      <c r="F132" s="80" t="s">
        <v>47</v>
      </c>
      <c r="G132" s="80" t="s">
        <v>183</v>
      </c>
      <c r="H132" s="80" t="s">
        <v>138</v>
      </c>
      <c r="I132" s="104" t="s">
        <v>198</v>
      </c>
      <c r="J132" s="117" t="s">
        <v>143</v>
      </c>
      <c r="K132" s="135" t="s">
        <v>366</v>
      </c>
      <c r="L132" s="135" t="s">
        <v>366</v>
      </c>
      <c r="M132" s="82">
        <v>1</v>
      </c>
      <c r="N132" s="82" t="s">
        <v>175</v>
      </c>
      <c r="O132" s="117" t="s">
        <v>367</v>
      </c>
      <c r="P132" s="123" t="e">
        <f t="shared" si="2"/>
        <v>#N/A</v>
      </c>
      <c r="Q132" s="119" t="str">
        <f>VLOOKUP($B132,'Component List'!$A$2:$B$30,2,FALSE)</f>
        <v>SF3</v>
      </c>
      <c r="R132" s="77" t="e">
        <f>VLOOKUP($C132,'Component List'!C$2:D$28,2,FALSE)</f>
        <v>#N/A</v>
      </c>
      <c r="S132" s="77" t="str">
        <f>VLOOKUP($D132,'Component List'!E$2:F$30,2,FALSE)</f>
        <v>D</v>
      </c>
      <c r="T132" s="77">
        <f>VLOOKUP($E132,'Component List'!G$2:H$30,2,FALSE)</f>
        <v>101</v>
      </c>
      <c r="U132" s="77">
        <f>VLOOKUP($F132,'Component List'!I$2:J$30,2,FALSE)</f>
        <v>104</v>
      </c>
      <c r="V132" s="77">
        <f>VLOOKUP(G132,'Component List'!K$2:L$30,2,FALSE)</f>
        <v>101</v>
      </c>
      <c r="W132" s="77">
        <f>VLOOKUP(H132,'Component List'!M$2:N$31,2,FALSE)</f>
        <v>100</v>
      </c>
      <c r="X132" s="77">
        <f>VLOOKUP(I132,'Component List'!O$2:P$30,2,FALSE)</f>
        <v>100</v>
      </c>
      <c r="Y132" s="77" t="str">
        <f>VLOOKUP(J132,'Component List'!Q$2:R$30,2,FALSE)</f>
        <v>000</v>
      </c>
      <c r="Z132" s="77" t="e">
        <f>VLOOKUP(K132,'Component List'!S$2:T$30,2,FALSE)</f>
        <v>#N/A</v>
      </c>
      <c r="AA132" s="77" t="e">
        <f>VLOOKUP(L132,'Component List'!U$2:V$30,2,FALSE)</f>
        <v>#N/A</v>
      </c>
      <c r="AB132" s="77">
        <f>VLOOKUP(M132,'Component List'!AA$2:AB$30,2,FALSE)</f>
        <v>1</v>
      </c>
      <c r="AC132" s="77" t="str">
        <f>VLOOKUP(N132,'Component List'!Y$2:Z$30,2,FALSE)</f>
        <v>P</v>
      </c>
      <c r="AD132" s="159" t="e">
        <f>VLOOKUP(O132,'Component List'!W$3:X$30,2,FALSE)</f>
        <v>#N/A</v>
      </c>
      <c r="AG132" s="93"/>
    </row>
    <row r="133" spans="1:33" ht="30" customHeight="1" x14ac:dyDescent="0.3">
      <c r="A133" s="233"/>
      <c r="B133" s="107" t="s">
        <v>201</v>
      </c>
      <c r="C133" s="80" t="s">
        <v>203</v>
      </c>
      <c r="D133" s="80" t="s">
        <v>136</v>
      </c>
      <c r="E133" s="81" t="s">
        <v>182</v>
      </c>
      <c r="F133" s="80" t="s">
        <v>47</v>
      </c>
      <c r="G133" s="80" t="s">
        <v>183</v>
      </c>
      <c r="H133" s="80" t="s">
        <v>138</v>
      </c>
      <c r="I133" s="104" t="s">
        <v>198</v>
      </c>
      <c r="J133" s="117" t="s">
        <v>143</v>
      </c>
      <c r="K133" s="135" t="s">
        <v>366</v>
      </c>
      <c r="L133" s="135" t="s">
        <v>366</v>
      </c>
      <c r="M133" s="82">
        <v>1</v>
      </c>
      <c r="N133" s="82" t="s">
        <v>187</v>
      </c>
      <c r="O133" s="117" t="s">
        <v>367</v>
      </c>
      <c r="P133" s="123" t="e">
        <f t="shared" si="2"/>
        <v>#N/A</v>
      </c>
      <c r="Q133" s="119" t="str">
        <f>VLOOKUP($B133,'Component List'!$A$2:$B$30,2,FALSE)</f>
        <v>SF3</v>
      </c>
      <c r="R133" s="77" t="e">
        <f>VLOOKUP($C133,'Component List'!C$2:D$28,2,FALSE)</f>
        <v>#N/A</v>
      </c>
      <c r="S133" s="77" t="str">
        <f>VLOOKUP($D133,'Component List'!E$2:F$30,2,FALSE)</f>
        <v>D</v>
      </c>
      <c r="T133" s="77">
        <f>VLOOKUP($E133,'Component List'!G$2:H$30,2,FALSE)</f>
        <v>101</v>
      </c>
      <c r="U133" s="77">
        <f>VLOOKUP($F133,'Component List'!I$2:J$30,2,FALSE)</f>
        <v>104</v>
      </c>
      <c r="V133" s="77">
        <f>VLOOKUP(G133,'Component List'!K$2:L$30,2,FALSE)</f>
        <v>101</v>
      </c>
      <c r="W133" s="77">
        <f>VLOOKUP(H133,'Component List'!M$2:N$31,2,FALSE)</f>
        <v>100</v>
      </c>
      <c r="X133" s="77">
        <f>VLOOKUP(I133,'Component List'!O$2:P$30,2,FALSE)</f>
        <v>100</v>
      </c>
      <c r="Y133" s="77" t="str">
        <f>VLOOKUP(J133,'Component List'!Q$2:R$30,2,FALSE)</f>
        <v>000</v>
      </c>
      <c r="Z133" s="77" t="e">
        <f>VLOOKUP(K133,'Component List'!S$2:T$30,2,FALSE)</f>
        <v>#N/A</v>
      </c>
      <c r="AA133" s="77" t="e">
        <f>VLOOKUP(L133,'Component List'!U$2:V$30,2,FALSE)</f>
        <v>#N/A</v>
      </c>
      <c r="AB133" s="77">
        <f>VLOOKUP(M133,'Component List'!AA$2:AB$30,2,FALSE)</f>
        <v>1</v>
      </c>
      <c r="AC133" s="77" t="str">
        <f>VLOOKUP(N133,'Component List'!Y$2:Z$30,2,FALSE)</f>
        <v>C</v>
      </c>
      <c r="AD133" s="159" t="e">
        <f>VLOOKUP(O133,'Component List'!W$3:X$30,2,FALSE)</f>
        <v>#N/A</v>
      </c>
      <c r="AG133" s="93"/>
    </row>
    <row r="134" spans="1:33" ht="30" customHeight="1" x14ac:dyDescent="0.3">
      <c r="A134" s="233"/>
      <c r="B134" s="107" t="s">
        <v>201</v>
      </c>
      <c r="C134" s="80" t="s">
        <v>203</v>
      </c>
      <c r="D134" s="80" t="s">
        <v>136</v>
      </c>
      <c r="E134" s="81" t="s">
        <v>182</v>
      </c>
      <c r="F134" s="80" t="s">
        <v>47</v>
      </c>
      <c r="G134" s="80" t="s">
        <v>183</v>
      </c>
      <c r="H134" s="80" t="s">
        <v>138</v>
      </c>
      <c r="I134" s="104" t="s">
        <v>198</v>
      </c>
      <c r="J134" s="117" t="s">
        <v>143</v>
      </c>
      <c r="K134" s="135" t="s">
        <v>366</v>
      </c>
      <c r="L134" s="135" t="s">
        <v>366</v>
      </c>
      <c r="M134" s="82">
        <v>2</v>
      </c>
      <c r="N134" s="82" t="s">
        <v>175</v>
      </c>
      <c r="O134" s="117" t="s">
        <v>367</v>
      </c>
      <c r="P134" s="123" t="e">
        <f t="shared" si="2"/>
        <v>#N/A</v>
      </c>
      <c r="Q134" s="119" t="str">
        <f>VLOOKUP($B134,'Component List'!$A$2:$B$30,2,FALSE)</f>
        <v>SF3</v>
      </c>
      <c r="R134" s="77" t="e">
        <f>VLOOKUP($C134,'Component List'!C$2:D$28,2,FALSE)</f>
        <v>#N/A</v>
      </c>
      <c r="S134" s="77" t="str">
        <f>VLOOKUP($D134,'Component List'!E$2:F$30,2,FALSE)</f>
        <v>D</v>
      </c>
      <c r="T134" s="77">
        <f>VLOOKUP($E134,'Component List'!G$2:H$30,2,FALSE)</f>
        <v>101</v>
      </c>
      <c r="U134" s="77">
        <f>VLOOKUP($F134,'Component List'!I$2:J$30,2,FALSE)</f>
        <v>104</v>
      </c>
      <c r="V134" s="77">
        <f>VLOOKUP(G134,'Component List'!K$2:L$30,2,FALSE)</f>
        <v>101</v>
      </c>
      <c r="W134" s="77">
        <f>VLOOKUP(H134,'Component List'!M$2:N$31,2,FALSE)</f>
        <v>100</v>
      </c>
      <c r="X134" s="77">
        <f>VLOOKUP(I134,'Component List'!O$2:P$30,2,FALSE)</f>
        <v>100</v>
      </c>
      <c r="Y134" s="77" t="str">
        <f>VLOOKUP(J134,'Component List'!Q$2:R$30,2,FALSE)</f>
        <v>000</v>
      </c>
      <c r="Z134" s="77" t="e">
        <f>VLOOKUP(K134,'Component List'!S$2:T$30,2,FALSE)</f>
        <v>#N/A</v>
      </c>
      <c r="AA134" s="77" t="e">
        <f>VLOOKUP(L134,'Component List'!U$2:V$30,2,FALSE)</f>
        <v>#N/A</v>
      </c>
      <c r="AB134" s="77">
        <f>VLOOKUP(M134,'Component List'!AA$2:AB$30,2,FALSE)</f>
        <v>2</v>
      </c>
      <c r="AC134" s="77" t="str">
        <f>VLOOKUP(N134,'Component List'!Y$2:Z$30,2,FALSE)</f>
        <v>P</v>
      </c>
      <c r="AD134" s="159" t="e">
        <f>VLOOKUP(O134,'Component List'!W$3:X$30,2,FALSE)</f>
        <v>#N/A</v>
      </c>
      <c r="AG134" s="93"/>
    </row>
    <row r="135" spans="1:33" ht="30" customHeight="1" x14ac:dyDescent="0.3">
      <c r="A135" s="233"/>
      <c r="B135" s="107" t="s">
        <v>201</v>
      </c>
      <c r="C135" s="80" t="s">
        <v>203</v>
      </c>
      <c r="D135" s="80" t="s">
        <v>136</v>
      </c>
      <c r="E135" s="81" t="s">
        <v>182</v>
      </c>
      <c r="F135" s="80" t="s">
        <v>47</v>
      </c>
      <c r="G135" s="80" t="s">
        <v>183</v>
      </c>
      <c r="H135" s="80" t="s">
        <v>138</v>
      </c>
      <c r="I135" s="104" t="s">
        <v>198</v>
      </c>
      <c r="J135" s="117" t="s">
        <v>143</v>
      </c>
      <c r="K135" s="135" t="s">
        <v>366</v>
      </c>
      <c r="L135" s="135" t="s">
        <v>366</v>
      </c>
      <c r="M135" s="82">
        <v>2</v>
      </c>
      <c r="N135" s="82" t="s">
        <v>187</v>
      </c>
      <c r="O135" s="117" t="s">
        <v>367</v>
      </c>
      <c r="P135" s="123" t="e">
        <f t="shared" si="2"/>
        <v>#N/A</v>
      </c>
      <c r="Q135" s="119" t="str">
        <f>VLOOKUP($B135,'Component List'!$A$2:$B$30,2,FALSE)</f>
        <v>SF3</v>
      </c>
      <c r="R135" s="77" t="e">
        <f>VLOOKUP($C135,'Component List'!C$2:D$28,2,FALSE)</f>
        <v>#N/A</v>
      </c>
      <c r="S135" s="77" t="str">
        <f>VLOOKUP($D135,'Component List'!E$2:F$30,2,FALSE)</f>
        <v>D</v>
      </c>
      <c r="T135" s="77">
        <f>VLOOKUP($E135,'Component List'!G$2:H$30,2,FALSE)</f>
        <v>101</v>
      </c>
      <c r="U135" s="77">
        <f>VLOOKUP($F135,'Component List'!I$2:J$30,2,FALSE)</f>
        <v>104</v>
      </c>
      <c r="V135" s="77">
        <f>VLOOKUP(G135,'Component List'!K$2:L$30,2,FALSE)</f>
        <v>101</v>
      </c>
      <c r="W135" s="77">
        <f>VLOOKUP(H135,'Component List'!M$2:N$31,2,FALSE)</f>
        <v>100</v>
      </c>
      <c r="X135" s="77">
        <f>VLOOKUP(I135,'Component List'!O$2:P$30,2,FALSE)</f>
        <v>100</v>
      </c>
      <c r="Y135" s="77" t="str">
        <f>VLOOKUP(J135,'Component List'!Q$2:R$30,2,FALSE)</f>
        <v>000</v>
      </c>
      <c r="Z135" s="77" t="e">
        <f>VLOOKUP(K135,'Component List'!S$2:T$30,2,FALSE)</f>
        <v>#N/A</v>
      </c>
      <c r="AA135" s="77" t="e">
        <f>VLOOKUP(L135,'Component List'!U$2:V$30,2,FALSE)</f>
        <v>#N/A</v>
      </c>
      <c r="AB135" s="77">
        <f>VLOOKUP(M135,'Component List'!AA$2:AB$30,2,FALSE)</f>
        <v>2</v>
      </c>
      <c r="AC135" s="77" t="str">
        <f>VLOOKUP(N135,'Component List'!Y$2:Z$30,2,FALSE)</f>
        <v>C</v>
      </c>
      <c r="AD135" s="159" t="e">
        <f>VLOOKUP(O135,'Component List'!W$3:X$30,2,FALSE)</f>
        <v>#N/A</v>
      </c>
      <c r="AG135" s="93"/>
    </row>
    <row r="136" spans="1:33" ht="30" customHeight="1" x14ac:dyDescent="0.3">
      <c r="A136" s="233"/>
      <c r="B136" s="107" t="s">
        <v>201</v>
      </c>
      <c r="C136" s="80" t="s">
        <v>203</v>
      </c>
      <c r="D136" s="80" t="s">
        <v>136</v>
      </c>
      <c r="E136" s="81" t="s">
        <v>182</v>
      </c>
      <c r="F136" s="80" t="s">
        <v>47</v>
      </c>
      <c r="G136" s="80" t="s">
        <v>183</v>
      </c>
      <c r="H136" s="80" t="s">
        <v>138</v>
      </c>
      <c r="I136" s="104" t="s">
        <v>198</v>
      </c>
      <c r="J136" s="117" t="s">
        <v>143</v>
      </c>
      <c r="K136" s="135" t="s">
        <v>366</v>
      </c>
      <c r="L136" s="135" t="s">
        <v>366</v>
      </c>
      <c r="M136" s="82">
        <v>3</v>
      </c>
      <c r="N136" s="82" t="s">
        <v>175</v>
      </c>
      <c r="O136" s="117" t="s">
        <v>367</v>
      </c>
      <c r="P136" s="123" t="e">
        <f t="shared" si="2"/>
        <v>#N/A</v>
      </c>
      <c r="Q136" s="119" t="str">
        <f>VLOOKUP($B136,'Component List'!$A$2:$B$30,2,FALSE)</f>
        <v>SF3</v>
      </c>
      <c r="R136" s="77" t="e">
        <f>VLOOKUP($C136,'Component List'!C$2:D$28,2,FALSE)</f>
        <v>#N/A</v>
      </c>
      <c r="S136" s="77" t="str">
        <f>VLOOKUP($D136,'Component List'!E$2:F$30,2,FALSE)</f>
        <v>D</v>
      </c>
      <c r="T136" s="77">
        <f>VLOOKUP($E136,'Component List'!G$2:H$30,2,FALSE)</f>
        <v>101</v>
      </c>
      <c r="U136" s="77">
        <f>VLOOKUP($F136,'Component List'!I$2:J$30,2,FALSE)</f>
        <v>104</v>
      </c>
      <c r="V136" s="77">
        <f>VLOOKUP(G136,'Component List'!K$2:L$30,2,FALSE)</f>
        <v>101</v>
      </c>
      <c r="W136" s="77">
        <f>VLOOKUP(H136,'Component List'!M$2:N$31,2,FALSE)</f>
        <v>100</v>
      </c>
      <c r="X136" s="77">
        <f>VLOOKUP(I136,'Component List'!O$2:P$30,2,FALSE)</f>
        <v>100</v>
      </c>
      <c r="Y136" s="77" t="str">
        <f>VLOOKUP(J136,'Component List'!Q$2:R$30,2,FALSE)</f>
        <v>000</v>
      </c>
      <c r="Z136" s="77" t="e">
        <f>VLOOKUP(K136,'Component List'!S$2:T$30,2,FALSE)</f>
        <v>#N/A</v>
      </c>
      <c r="AA136" s="77" t="e">
        <f>VLOOKUP(L136,'Component List'!U$2:V$30,2,FALSE)</f>
        <v>#N/A</v>
      </c>
      <c r="AB136" s="77">
        <f>VLOOKUP(M136,'Component List'!AA$2:AB$30,2,FALSE)</f>
        <v>3</v>
      </c>
      <c r="AC136" s="77" t="str">
        <f>VLOOKUP(N136,'Component List'!Y$2:Z$30,2,FALSE)</f>
        <v>P</v>
      </c>
      <c r="AD136" s="159" t="e">
        <f>VLOOKUP(O136,'Component List'!W$3:X$30,2,FALSE)</f>
        <v>#N/A</v>
      </c>
      <c r="AG136" s="93"/>
    </row>
    <row r="137" spans="1:33" ht="30" customHeight="1" x14ac:dyDescent="0.3">
      <c r="A137" s="233"/>
      <c r="B137" s="107" t="s">
        <v>201</v>
      </c>
      <c r="C137" s="80" t="s">
        <v>203</v>
      </c>
      <c r="D137" s="80" t="s">
        <v>136</v>
      </c>
      <c r="E137" s="81" t="s">
        <v>182</v>
      </c>
      <c r="F137" s="80" t="s">
        <v>47</v>
      </c>
      <c r="G137" s="80" t="s">
        <v>183</v>
      </c>
      <c r="H137" s="80" t="s">
        <v>138</v>
      </c>
      <c r="I137" s="104" t="s">
        <v>198</v>
      </c>
      <c r="J137" s="117" t="s">
        <v>143</v>
      </c>
      <c r="K137" s="135" t="s">
        <v>366</v>
      </c>
      <c r="L137" s="135" t="s">
        <v>366</v>
      </c>
      <c r="M137" s="101">
        <v>3</v>
      </c>
      <c r="N137" s="82" t="s">
        <v>187</v>
      </c>
      <c r="O137" s="117" t="s">
        <v>367</v>
      </c>
      <c r="P137" s="123" t="e">
        <f t="shared" si="2"/>
        <v>#N/A</v>
      </c>
      <c r="Q137" s="119" t="str">
        <f>VLOOKUP($B137,'Component List'!$A$2:$B$30,2,FALSE)</f>
        <v>SF3</v>
      </c>
      <c r="R137" s="77" t="e">
        <f>VLOOKUP($C137,'Component List'!C$2:D$28,2,FALSE)</f>
        <v>#N/A</v>
      </c>
      <c r="S137" s="77" t="str">
        <f>VLOOKUP($D137,'Component List'!E$2:F$30,2,FALSE)</f>
        <v>D</v>
      </c>
      <c r="T137" s="77">
        <f>VLOOKUP($E137,'Component List'!G$2:H$30,2,FALSE)</f>
        <v>101</v>
      </c>
      <c r="U137" s="77">
        <f>VLOOKUP($F137,'Component List'!I$2:J$30,2,FALSE)</f>
        <v>104</v>
      </c>
      <c r="V137" s="77">
        <f>VLOOKUP(G137,'Component List'!K$2:L$30,2,FALSE)</f>
        <v>101</v>
      </c>
      <c r="W137" s="77">
        <f>VLOOKUP(H137,'Component List'!M$2:N$31,2,FALSE)</f>
        <v>100</v>
      </c>
      <c r="X137" s="77">
        <f>VLOOKUP(I137,'Component List'!O$2:P$30,2,FALSE)</f>
        <v>100</v>
      </c>
      <c r="Y137" s="77" t="str">
        <f>VLOOKUP(J137,'Component List'!Q$2:R$30,2,FALSE)</f>
        <v>000</v>
      </c>
      <c r="Z137" s="77" t="e">
        <f>VLOOKUP(K137,'Component List'!S$2:T$30,2,FALSE)</f>
        <v>#N/A</v>
      </c>
      <c r="AA137" s="77" t="e">
        <f>VLOOKUP(L137,'Component List'!U$2:V$30,2,FALSE)</f>
        <v>#N/A</v>
      </c>
      <c r="AB137" s="77">
        <f>VLOOKUP(M137,'Component List'!AA$2:AB$30,2,FALSE)</f>
        <v>3</v>
      </c>
      <c r="AC137" s="77" t="str">
        <f>VLOOKUP(N137,'Component List'!Y$2:Z$30,2,FALSE)</f>
        <v>C</v>
      </c>
      <c r="AD137" s="159" t="e">
        <f>VLOOKUP(O137,'Component List'!W$3:X$30,2,FALSE)</f>
        <v>#N/A</v>
      </c>
      <c r="AG137" s="93"/>
    </row>
    <row r="138" spans="1:33" ht="30" customHeight="1" x14ac:dyDescent="0.3">
      <c r="A138" s="233"/>
      <c r="B138" s="107" t="s">
        <v>201</v>
      </c>
      <c r="C138" s="80" t="s">
        <v>203</v>
      </c>
      <c r="D138" s="80" t="s">
        <v>136</v>
      </c>
      <c r="E138" s="81" t="s">
        <v>137</v>
      </c>
      <c r="F138" s="80" t="s">
        <v>39</v>
      </c>
      <c r="G138" s="80" t="s">
        <v>183</v>
      </c>
      <c r="H138" s="80" t="s">
        <v>138</v>
      </c>
      <c r="I138" s="104" t="s">
        <v>198</v>
      </c>
      <c r="J138" s="117" t="s">
        <v>143</v>
      </c>
      <c r="K138" s="135" t="s">
        <v>366</v>
      </c>
      <c r="L138" s="135" t="s">
        <v>366</v>
      </c>
      <c r="M138" s="101">
        <v>1</v>
      </c>
      <c r="N138" s="82" t="s">
        <v>175</v>
      </c>
      <c r="O138" s="117" t="s">
        <v>367</v>
      </c>
      <c r="P138" s="123" t="e">
        <f t="shared" si="2"/>
        <v>#N/A</v>
      </c>
      <c r="Q138" s="119" t="str">
        <f>VLOOKUP($B138,'Component List'!$A$2:$B$30,2,FALSE)</f>
        <v>SF3</v>
      </c>
      <c r="R138" s="77" t="e">
        <f>VLOOKUP($C138,'Component List'!C$2:D$28,2,FALSE)</f>
        <v>#N/A</v>
      </c>
      <c r="S138" s="77" t="str">
        <f>VLOOKUP($D138,'Component List'!E$2:F$30,2,FALSE)</f>
        <v>D</v>
      </c>
      <c r="T138" s="77">
        <f>VLOOKUP($E138,'Component List'!G$2:H$30,2,FALSE)</f>
        <v>102</v>
      </c>
      <c r="U138" s="77">
        <f>VLOOKUP($F138,'Component List'!I$2:J$30,2,FALSE)</f>
        <v>105</v>
      </c>
      <c r="V138" s="77">
        <f>VLOOKUP(G138,'Component List'!K$2:L$30,2,FALSE)</f>
        <v>101</v>
      </c>
      <c r="W138" s="77">
        <f>VLOOKUP(H138,'Component List'!M$2:N$31,2,FALSE)</f>
        <v>100</v>
      </c>
      <c r="X138" s="77">
        <f>VLOOKUP(I138,'Component List'!O$2:P$30,2,FALSE)</f>
        <v>100</v>
      </c>
      <c r="Y138" s="77" t="str">
        <f>VLOOKUP(J138,'Component List'!Q$2:R$30,2,FALSE)</f>
        <v>000</v>
      </c>
      <c r="Z138" s="77" t="e">
        <f>VLOOKUP(K138,'Component List'!S$2:T$30,2,FALSE)</f>
        <v>#N/A</v>
      </c>
      <c r="AA138" s="77" t="e">
        <f>VLOOKUP(L138,'Component List'!U$2:V$30,2,FALSE)</f>
        <v>#N/A</v>
      </c>
      <c r="AB138" s="77">
        <f>VLOOKUP(M138,'Component List'!AA$2:AB$30,2,FALSE)</f>
        <v>1</v>
      </c>
      <c r="AC138" s="77" t="str">
        <f>VLOOKUP(N138,'Component List'!Y$2:Z$30,2,FALSE)</f>
        <v>P</v>
      </c>
      <c r="AD138" s="159" t="e">
        <f>VLOOKUP(O138,'Component List'!W$3:X$30,2,FALSE)</f>
        <v>#N/A</v>
      </c>
      <c r="AG138" s="93"/>
    </row>
    <row r="139" spans="1:33" ht="30" customHeight="1" x14ac:dyDescent="0.3">
      <c r="A139" s="233"/>
      <c r="B139" s="107" t="s">
        <v>201</v>
      </c>
      <c r="C139" s="80" t="s">
        <v>203</v>
      </c>
      <c r="D139" s="80" t="s">
        <v>136</v>
      </c>
      <c r="E139" s="81" t="s">
        <v>137</v>
      </c>
      <c r="F139" s="80" t="s">
        <v>39</v>
      </c>
      <c r="G139" s="80" t="s">
        <v>183</v>
      </c>
      <c r="H139" s="80" t="s">
        <v>138</v>
      </c>
      <c r="I139" s="104" t="s">
        <v>198</v>
      </c>
      <c r="J139" s="117" t="s">
        <v>143</v>
      </c>
      <c r="K139" s="135" t="s">
        <v>366</v>
      </c>
      <c r="L139" s="135" t="s">
        <v>366</v>
      </c>
      <c r="M139" s="101">
        <v>1</v>
      </c>
      <c r="N139" s="82" t="s">
        <v>187</v>
      </c>
      <c r="O139" s="117" t="s">
        <v>367</v>
      </c>
      <c r="P139" s="123" t="e">
        <f t="shared" si="2"/>
        <v>#N/A</v>
      </c>
      <c r="Q139" s="119" t="str">
        <f>VLOOKUP($B139,'Component List'!$A$2:$B$30,2,FALSE)</f>
        <v>SF3</v>
      </c>
      <c r="R139" s="77" t="e">
        <f>VLOOKUP($C139,'Component List'!C$2:D$28,2,FALSE)</f>
        <v>#N/A</v>
      </c>
      <c r="S139" s="77" t="str">
        <f>VLOOKUP($D139,'Component List'!E$2:F$30,2,FALSE)</f>
        <v>D</v>
      </c>
      <c r="T139" s="77">
        <f>VLOOKUP($E139,'Component List'!G$2:H$30,2,FALSE)</f>
        <v>102</v>
      </c>
      <c r="U139" s="77">
        <f>VLOOKUP($F139,'Component List'!I$2:J$30,2,FALSE)</f>
        <v>105</v>
      </c>
      <c r="V139" s="77">
        <f>VLOOKUP(G139,'Component List'!K$2:L$30,2,FALSE)</f>
        <v>101</v>
      </c>
      <c r="W139" s="77">
        <f>VLOOKUP(H139,'Component List'!M$2:N$31,2,FALSE)</f>
        <v>100</v>
      </c>
      <c r="X139" s="77">
        <f>VLOOKUP(I139,'Component List'!O$2:P$30,2,FALSE)</f>
        <v>100</v>
      </c>
      <c r="Y139" s="77" t="str">
        <f>VLOOKUP(J139,'Component List'!Q$2:R$30,2,FALSE)</f>
        <v>000</v>
      </c>
      <c r="Z139" s="77" t="e">
        <f>VLOOKUP(K139,'Component List'!S$2:T$30,2,FALSE)</f>
        <v>#N/A</v>
      </c>
      <c r="AA139" s="77" t="e">
        <f>VLOOKUP(L139,'Component List'!U$2:V$30,2,FALSE)</f>
        <v>#N/A</v>
      </c>
      <c r="AB139" s="77">
        <f>VLOOKUP(M139,'Component List'!AA$2:AB$30,2,FALSE)</f>
        <v>1</v>
      </c>
      <c r="AC139" s="77" t="str">
        <f>VLOOKUP(N139,'Component List'!Y$2:Z$30,2,FALSE)</f>
        <v>C</v>
      </c>
      <c r="AD139" s="159" t="e">
        <f>VLOOKUP(O139,'Component List'!W$3:X$30,2,FALSE)</f>
        <v>#N/A</v>
      </c>
      <c r="AG139" s="93"/>
    </row>
    <row r="140" spans="1:33" ht="30" customHeight="1" x14ac:dyDescent="0.3">
      <c r="A140" s="233"/>
      <c r="B140" s="107" t="s">
        <v>201</v>
      </c>
      <c r="C140" s="80" t="s">
        <v>203</v>
      </c>
      <c r="D140" s="80" t="s">
        <v>136</v>
      </c>
      <c r="E140" s="81" t="s">
        <v>137</v>
      </c>
      <c r="F140" s="80" t="s">
        <v>39</v>
      </c>
      <c r="G140" s="80" t="s">
        <v>183</v>
      </c>
      <c r="H140" s="80" t="s">
        <v>138</v>
      </c>
      <c r="I140" s="104" t="s">
        <v>198</v>
      </c>
      <c r="J140" s="117" t="s">
        <v>143</v>
      </c>
      <c r="K140" s="135" t="s">
        <v>366</v>
      </c>
      <c r="L140" s="135" t="s">
        <v>366</v>
      </c>
      <c r="M140" s="101">
        <v>2</v>
      </c>
      <c r="N140" s="82" t="s">
        <v>175</v>
      </c>
      <c r="O140" s="117" t="s">
        <v>367</v>
      </c>
      <c r="P140" s="123" t="e">
        <f t="shared" si="2"/>
        <v>#N/A</v>
      </c>
      <c r="Q140" s="119" t="str">
        <f>VLOOKUP($B140,'Component List'!$A$2:$B$30,2,FALSE)</f>
        <v>SF3</v>
      </c>
      <c r="R140" s="77" t="e">
        <f>VLOOKUP($C140,'Component List'!C$2:D$28,2,FALSE)</f>
        <v>#N/A</v>
      </c>
      <c r="S140" s="77" t="str">
        <f>VLOOKUP($D140,'Component List'!E$2:F$30,2,FALSE)</f>
        <v>D</v>
      </c>
      <c r="T140" s="77">
        <f>VLOOKUP($E140,'Component List'!G$2:H$30,2,FALSE)</f>
        <v>102</v>
      </c>
      <c r="U140" s="77">
        <f>VLOOKUP($F140,'Component List'!I$2:J$30,2,FALSE)</f>
        <v>105</v>
      </c>
      <c r="V140" s="77">
        <f>VLOOKUP(G140,'Component List'!K$2:L$30,2,FALSE)</f>
        <v>101</v>
      </c>
      <c r="W140" s="77">
        <f>VLOOKUP(H140,'Component List'!M$2:N$31,2,FALSE)</f>
        <v>100</v>
      </c>
      <c r="X140" s="77">
        <f>VLOOKUP(I140,'Component List'!O$2:P$30,2,FALSE)</f>
        <v>100</v>
      </c>
      <c r="Y140" s="77" t="str">
        <f>VLOOKUP(J140,'Component List'!Q$2:R$30,2,FALSE)</f>
        <v>000</v>
      </c>
      <c r="Z140" s="77" t="e">
        <f>VLOOKUP(K140,'Component List'!S$2:T$30,2,FALSE)</f>
        <v>#N/A</v>
      </c>
      <c r="AA140" s="77" t="e">
        <f>VLOOKUP(L140,'Component List'!U$2:V$30,2,FALSE)</f>
        <v>#N/A</v>
      </c>
      <c r="AB140" s="77">
        <f>VLOOKUP(M140,'Component List'!AA$2:AB$30,2,FALSE)</f>
        <v>2</v>
      </c>
      <c r="AC140" s="77" t="str">
        <f>VLOOKUP(N140,'Component List'!Y$2:Z$30,2,FALSE)</f>
        <v>P</v>
      </c>
      <c r="AD140" s="159" t="e">
        <f>VLOOKUP(O140,'Component List'!W$3:X$30,2,FALSE)</f>
        <v>#N/A</v>
      </c>
      <c r="AG140" s="93"/>
    </row>
    <row r="141" spans="1:33" ht="30" customHeight="1" x14ac:dyDescent="0.3">
      <c r="A141" s="233"/>
      <c r="B141" s="107" t="s">
        <v>201</v>
      </c>
      <c r="C141" s="80" t="s">
        <v>203</v>
      </c>
      <c r="D141" s="80" t="s">
        <v>136</v>
      </c>
      <c r="E141" s="81" t="s">
        <v>137</v>
      </c>
      <c r="F141" s="80" t="s">
        <v>39</v>
      </c>
      <c r="G141" s="80" t="s">
        <v>183</v>
      </c>
      <c r="H141" s="80" t="s">
        <v>138</v>
      </c>
      <c r="I141" s="104" t="s">
        <v>198</v>
      </c>
      <c r="J141" s="117" t="s">
        <v>143</v>
      </c>
      <c r="K141" s="135" t="s">
        <v>366</v>
      </c>
      <c r="L141" s="135" t="s">
        <v>366</v>
      </c>
      <c r="M141" s="101">
        <v>2</v>
      </c>
      <c r="N141" s="82" t="s">
        <v>187</v>
      </c>
      <c r="O141" s="117" t="s">
        <v>367</v>
      </c>
      <c r="P141" s="123" t="e">
        <f t="shared" si="2"/>
        <v>#N/A</v>
      </c>
      <c r="Q141" s="119" t="str">
        <f>VLOOKUP($B141,'Component List'!$A$2:$B$30,2,FALSE)</f>
        <v>SF3</v>
      </c>
      <c r="R141" s="77" t="e">
        <f>VLOOKUP($C141,'Component List'!C$2:D$28,2,FALSE)</f>
        <v>#N/A</v>
      </c>
      <c r="S141" s="77" t="str">
        <f>VLOOKUP($D141,'Component List'!E$2:F$30,2,FALSE)</f>
        <v>D</v>
      </c>
      <c r="T141" s="77">
        <f>VLOOKUP($E141,'Component List'!G$2:H$30,2,FALSE)</f>
        <v>102</v>
      </c>
      <c r="U141" s="77">
        <f>VLOOKUP($F141,'Component List'!I$2:J$30,2,FALSE)</f>
        <v>105</v>
      </c>
      <c r="V141" s="77">
        <f>VLOOKUP(G141,'Component List'!K$2:L$30,2,FALSE)</f>
        <v>101</v>
      </c>
      <c r="W141" s="77">
        <f>VLOOKUP(H141,'Component List'!M$2:N$31,2,FALSE)</f>
        <v>100</v>
      </c>
      <c r="X141" s="77">
        <f>VLOOKUP(I141,'Component List'!O$2:P$30,2,FALSE)</f>
        <v>100</v>
      </c>
      <c r="Y141" s="77" t="str">
        <f>VLOOKUP(J141,'Component List'!Q$2:R$30,2,FALSE)</f>
        <v>000</v>
      </c>
      <c r="Z141" s="77" t="e">
        <f>VLOOKUP(K141,'Component List'!S$2:T$30,2,FALSE)</f>
        <v>#N/A</v>
      </c>
      <c r="AA141" s="77" t="e">
        <f>VLOOKUP(L141,'Component List'!U$2:V$30,2,FALSE)</f>
        <v>#N/A</v>
      </c>
      <c r="AB141" s="77">
        <f>VLOOKUP(M141,'Component List'!AA$2:AB$30,2,FALSE)</f>
        <v>2</v>
      </c>
      <c r="AC141" s="77" t="str">
        <f>VLOOKUP(N141,'Component List'!Y$2:Z$30,2,FALSE)</f>
        <v>C</v>
      </c>
      <c r="AD141" s="159" t="e">
        <f>VLOOKUP(O141,'Component List'!W$3:X$30,2,FALSE)</f>
        <v>#N/A</v>
      </c>
      <c r="AG141" s="93"/>
    </row>
    <row r="142" spans="1:33" ht="30" customHeight="1" x14ac:dyDescent="0.3">
      <c r="A142" s="233"/>
      <c r="B142" s="107" t="s">
        <v>201</v>
      </c>
      <c r="C142" s="80" t="s">
        <v>203</v>
      </c>
      <c r="D142" s="80" t="s">
        <v>136</v>
      </c>
      <c r="E142" s="81" t="s">
        <v>137</v>
      </c>
      <c r="F142" s="80" t="s">
        <v>39</v>
      </c>
      <c r="G142" s="80" t="s">
        <v>183</v>
      </c>
      <c r="H142" s="80" t="s">
        <v>138</v>
      </c>
      <c r="I142" s="104" t="s">
        <v>198</v>
      </c>
      <c r="J142" s="117" t="s">
        <v>143</v>
      </c>
      <c r="K142" s="135" t="s">
        <v>366</v>
      </c>
      <c r="L142" s="135" t="s">
        <v>366</v>
      </c>
      <c r="M142" s="101">
        <v>3</v>
      </c>
      <c r="N142" s="82" t="s">
        <v>175</v>
      </c>
      <c r="O142" s="117" t="s">
        <v>367</v>
      </c>
      <c r="P142" s="123" t="e">
        <f t="shared" si="2"/>
        <v>#N/A</v>
      </c>
      <c r="Q142" s="119" t="str">
        <f>VLOOKUP($B142,'Component List'!$A$2:$B$30,2,FALSE)</f>
        <v>SF3</v>
      </c>
      <c r="R142" s="77" t="e">
        <f>VLOOKUP($C142,'Component List'!C$2:D$28,2,FALSE)</f>
        <v>#N/A</v>
      </c>
      <c r="S142" s="77" t="str">
        <f>VLOOKUP($D142,'Component List'!E$2:F$30,2,FALSE)</f>
        <v>D</v>
      </c>
      <c r="T142" s="77">
        <f>VLOOKUP($E142,'Component List'!G$2:H$30,2,FALSE)</f>
        <v>102</v>
      </c>
      <c r="U142" s="77">
        <f>VLOOKUP($F142,'Component List'!I$2:J$30,2,FALSE)</f>
        <v>105</v>
      </c>
      <c r="V142" s="77">
        <f>VLOOKUP(G142,'Component List'!K$2:L$30,2,FALSE)</f>
        <v>101</v>
      </c>
      <c r="W142" s="77">
        <f>VLOOKUP(H142,'Component List'!M$2:N$31,2,FALSE)</f>
        <v>100</v>
      </c>
      <c r="X142" s="77">
        <f>VLOOKUP(I142,'Component List'!O$2:P$30,2,FALSE)</f>
        <v>100</v>
      </c>
      <c r="Y142" s="77" t="str">
        <f>VLOOKUP(J142,'Component List'!Q$2:R$30,2,FALSE)</f>
        <v>000</v>
      </c>
      <c r="Z142" s="77" t="e">
        <f>VLOOKUP(K142,'Component List'!S$2:T$30,2,FALSE)</f>
        <v>#N/A</v>
      </c>
      <c r="AA142" s="77" t="e">
        <f>VLOOKUP(L142,'Component List'!U$2:V$30,2,FALSE)</f>
        <v>#N/A</v>
      </c>
      <c r="AB142" s="77">
        <f>VLOOKUP(M142,'Component List'!AA$2:AB$30,2,FALSE)</f>
        <v>3</v>
      </c>
      <c r="AC142" s="77" t="str">
        <f>VLOOKUP(N142,'Component List'!Y$2:Z$30,2,FALSE)</f>
        <v>P</v>
      </c>
      <c r="AD142" s="159" t="e">
        <f>VLOOKUP(O142,'Component List'!W$3:X$30,2,FALSE)</f>
        <v>#N/A</v>
      </c>
      <c r="AG142" s="93"/>
    </row>
    <row r="143" spans="1:33" ht="30" customHeight="1" x14ac:dyDescent="0.3">
      <c r="A143" s="233"/>
      <c r="B143" s="107" t="s">
        <v>201</v>
      </c>
      <c r="C143" s="80" t="s">
        <v>203</v>
      </c>
      <c r="D143" s="80" t="s">
        <v>136</v>
      </c>
      <c r="E143" s="81" t="s">
        <v>137</v>
      </c>
      <c r="F143" s="80" t="s">
        <v>39</v>
      </c>
      <c r="G143" s="80" t="s">
        <v>183</v>
      </c>
      <c r="H143" s="80" t="s">
        <v>138</v>
      </c>
      <c r="I143" s="104" t="s">
        <v>198</v>
      </c>
      <c r="J143" s="117" t="s">
        <v>143</v>
      </c>
      <c r="K143" s="135" t="s">
        <v>366</v>
      </c>
      <c r="L143" s="135" t="s">
        <v>366</v>
      </c>
      <c r="M143" s="101">
        <v>3</v>
      </c>
      <c r="N143" s="82" t="s">
        <v>187</v>
      </c>
      <c r="O143" s="117" t="s">
        <v>367</v>
      </c>
      <c r="P143" s="123" t="e">
        <f t="shared" si="2"/>
        <v>#N/A</v>
      </c>
      <c r="Q143" s="119" t="str">
        <f>VLOOKUP($B143,'Component List'!$A$2:$B$30,2,FALSE)</f>
        <v>SF3</v>
      </c>
      <c r="R143" s="77" t="e">
        <f>VLOOKUP($C143,'Component List'!C$2:D$28,2,FALSE)</f>
        <v>#N/A</v>
      </c>
      <c r="S143" s="77" t="str">
        <f>VLOOKUP($D143,'Component List'!E$2:F$30,2,FALSE)</f>
        <v>D</v>
      </c>
      <c r="T143" s="77">
        <f>VLOOKUP($E143,'Component List'!G$2:H$30,2,FALSE)</f>
        <v>102</v>
      </c>
      <c r="U143" s="77">
        <f>VLOOKUP($F143,'Component List'!I$2:J$30,2,FALSE)</f>
        <v>105</v>
      </c>
      <c r="V143" s="77">
        <f>VLOOKUP(G143,'Component List'!K$2:L$30,2,FALSE)</f>
        <v>101</v>
      </c>
      <c r="W143" s="77">
        <f>VLOOKUP(H143,'Component List'!M$2:N$31,2,FALSE)</f>
        <v>100</v>
      </c>
      <c r="X143" s="77">
        <f>VLOOKUP(I143,'Component List'!O$2:P$30,2,FALSE)</f>
        <v>100</v>
      </c>
      <c r="Y143" s="77" t="str">
        <f>VLOOKUP(J143,'Component List'!Q$2:R$30,2,FALSE)</f>
        <v>000</v>
      </c>
      <c r="Z143" s="77" t="e">
        <f>VLOOKUP(K143,'Component List'!S$2:T$30,2,FALSE)</f>
        <v>#N/A</v>
      </c>
      <c r="AA143" s="77" t="e">
        <f>VLOOKUP(L143,'Component List'!U$2:V$30,2,FALSE)</f>
        <v>#N/A</v>
      </c>
      <c r="AB143" s="77">
        <f>VLOOKUP(M143,'Component List'!AA$2:AB$30,2,FALSE)</f>
        <v>3</v>
      </c>
      <c r="AC143" s="77" t="str">
        <f>VLOOKUP(N143,'Component List'!Y$2:Z$30,2,FALSE)</f>
        <v>C</v>
      </c>
      <c r="AD143" s="159" t="e">
        <f>VLOOKUP(O143,'Component List'!W$3:X$30,2,FALSE)</f>
        <v>#N/A</v>
      </c>
      <c r="AG143" s="93"/>
    </row>
    <row r="144" spans="1:33" ht="30" customHeight="1" x14ac:dyDescent="0.3">
      <c r="A144" s="233"/>
      <c r="B144" s="107" t="s">
        <v>201</v>
      </c>
      <c r="C144" s="80" t="s">
        <v>178</v>
      </c>
      <c r="D144" s="80" t="s">
        <v>136</v>
      </c>
      <c r="E144" s="81" t="s">
        <v>182</v>
      </c>
      <c r="F144" s="80" t="s">
        <v>207</v>
      </c>
      <c r="G144" s="80" t="s">
        <v>183</v>
      </c>
      <c r="H144" s="80" t="s">
        <v>184</v>
      </c>
      <c r="I144" s="104" t="s">
        <v>198</v>
      </c>
      <c r="J144" s="85" t="s">
        <v>219</v>
      </c>
      <c r="K144" s="135" t="s">
        <v>366</v>
      </c>
      <c r="L144" s="135" t="s">
        <v>366</v>
      </c>
      <c r="M144" s="101">
        <v>1</v>
      </c>
      <c r="N144" s="82" t="s">
        <v>175</v>
      </c>
      <c r="O144" s="117" t="s">
        <v>367</v>
      </c>
      <c r="P144" s="123" t="e">
        <f t="shared" si="2"/>
        <v>#N/A</v>
      </c>
      <c r="Q144" s="119" t="str">
        <f>VLOOKUP($B144,'Component List'!$A$2:$B$30,2,FALSE)</f>
        <v>SF3</v>
      </c>
      <c r="R144" s="77" t="e">
        <f>VLOOKUP($C144,'Component List'!C$2:D$28,2,FALSE)</f>
        <v>#N/A</v>
      </c>
      <c r="S144" s="77" t="str">
        <f>VLOOKUP($D144,'Component List'!E$2:F$30,2,FALSE)</f>
        <v>D</v>
      </c>
      <c r="T144" s="77">
        <f>VLOOKUP($E144,'Component List'!G$2:H$30,2,FALSE)</f>
        <v>101</v>
      </c>
      <c r="U144" s="77">
        <f>VLOOKUP($F144,'Component List'!I$2:J$30,2,FALSE)</f>
        <v>103</v>
      </c>
      <c r="V144" s="77">
        <f>VLOOKUP(G144,'Component List'!K$2:L$30,2,FALSE)</f>
        <v>101</v>
      </c>
      <c r="W144" s="77">
        <f>VLOOKUP(H144,'Component List'!M$2:N$31,2,FALSE)</f>
        <v>101</v>
      </c>
      <c r="X144" s="77">
        <f>VLOOKUP(I144,'Component List'!O$2:P$30,2,FALSE)</f>
        <v>100</v>
      </c>
      <c r="Y144" s="77">
        <f>VLOOKUP(J144,'Component List'!Q$2:R$30,2,FALSE)</f>
        <v>101</v>
      </c>
      <c r="Z144" s="77" t="e">
        <f>VLOOKUP(K144,'Component List'!S$2:T$30,2,FALSE)</f>
        <v>#N/A</v>
      </c>
      <c r="AA144" s="77" t="e">
        <f>VLOOKUP(L144,'Component List'!U$2:V$30,2,FALSE)</f>
        <v>#N/A</v>
      </c>
      <c r="AB144" s="77">
        <f>VLOOKUP(M144,'Component List'!AA$2:AB$30,2,FALSE)</f>
        <v>1</v>
      </c>
      <c r="AC144" s="77" t="str">
        <f>VLOOKUP(N144,'Component List'!Y$2:Z$30,2,FALSE)</f>
        <v>P</v>
      </c>
      <c r="AD144" s="159" t="e">
        <f>VLOOKUP(O144,'Component List'!W$3:X$30,2,FALSE)</f>
        <v>#N/A</v>
      </c>
      <c r="AG144" s="93"/>
    </row>
    <row r="145" spans="1:33" ht="30" customHeight="1" x14ac:dyDescent="0.3">
      <c r="A145" s="233"/>
      <c r="B145" s="107" t="s">
        <v>201</v>
      </c>
      <c r="C145" s="80" t="s">
        <v>178</v>
      </c>
      <c r="D145" s="80" t="s">
        <v>136</v>
      </c>
      <c r="E145" s="81" t="s">
        <v>182</v>
      </c>
      <c r="F145" s="80" t="s">
        <v>207</v>
      </c>
      <c r="G145" s="80" t="s">
        <v>183</v>
      </c>
      <c r="H145" s="80" t="s">
        <v>184</v>
      </c>
      <c r="I145" s="104" t="s">
        <v>198</v>
      </c>
      <c r="J145" s="85" t="s">
        <v>219</v>
      </c>
      <c r="K145" s="135" t="s">
        <v>366</v>
      </c>
      <c r="L145" s="135" t="s">
        <v>366</v>
      </c>
      <c r="M145" s="101">
        <v>1</v>
      </c>
      <c r="N145" s="82" t="s">
        <v>187</v>
      </c>
      <c r="O145" s="117" t="s">
        <v>367</v>
      </c>
      <c r="P145" s="123" t="e">
        <f t="shared" si="2"/>
        <v>#N/A</v>
      </c>
      <c r="Q145" s="119" t="str">
        <f>VLOOKUP($B145,'Component List'!$A$2:$B$30,2,FALSE)</f>
        <v>SF3</v>
      </c>
      <c r="R145" s="77" t="e">
        <f>VLOOKUP($C145,'Component List'!C$2:D$28,2,FALSE)</f>
        <v>#N/A</v>
      </c>
      <c r="S145" s="77" t="str">
        <f>VLOOKUP($D145,'Component List'!E$2:F$30,2,FALSE)</f>
        <v>D</v>
      </c>
      <c r="T145" s="77">
        <f>VLOOKUP($E145,'Component List'!G$2:H$30,2,FALSE)</f>
        <v>101</v>
      </c>
      <c r="U145" s="77">
        <f>VLOOKUP($F145,'Component List'!I$2:J$30,2,FALSE)</f>
        <v>103</v>
      </c>
      <c r="V145" s="77">
        <f>VLOOKUP(G145,'Component List'!K$2:L$30,2,FALSE)</f>
        <v>101</v>
      </c>
      <c r="W145" s="77">
        <f>VLOOKUP(H145,'Component List'!M$2:N$31,2,FALSE)</f>
        <v>101</v>
      </c>
      <c r="X145" s="77">
        <f>VLOOKUP(I145,'Component List'!O$2:P$30,2,FALSE)</f>
        <v>100</v>
      </c>
      <c r="Y145" s="77">
        <f>VLOOKUP(J145,'Component List'!Q$2:R$30,2,FALSE)</f>
        <v>101</v>
      </c>
      <c r="Z145" s="77" t="e">
        <f>VLOOKUP(K145,'Component List'!S$2:T$30,2,FALSE)</f>
        <v>#N/A</v>
      </c>
      <c r="AA145" s="77" t="e">
        <f>VLOOKUP(L145,'Component List'!U$2:V$30,2,FALSE)</f>
        <v>#N/A</v>
      </c>
      <c r="AB145" s="77">
        <f>VLOOKUP(M145,'Component List'!AA$2:AB$30,2,FALSE)</f>
        <v>1</v>
      </c>
      <c r="AC145" s="77" t="str">
        <f>VLOOKUP(N145,'Component List'!Y$2:Z$30,2,FALSE)</f>
        <v>C</v>
      </c>
      <c r="AD145" s="159" t="e">
        <f>VLOOKUP(O145,'Component List'!W$3:X$30,2,FALSE)</f>
        <v>#N/A</v>
      </c>
      <c r="AG145" s="93"/>
    </row>
    <row r="146" spans="1:33" ht="30" customHeight="1" x14ac:dyDescent="0.3">
      <c r="A146" s="233"/>
      <c r="B146" s="107" t="s">
        <v>201</v>
      </c>
      <c r="C146" s="80" t="s">
        <v>178</v>
      </c>
      <c r="D146" s="80" t="s">
        <v>136</v>
      </c>
      <c r="E146" s="81" t="s">
        <v>182</v>
      </c>
      <c r="F146" s="80" t="s">
        <v>207</v>
      </c>
      <c r="G146" s="80" t="s">
        <v>183</v>
      </c>
      <c r="H146" s="80" t="s">
        <v>184</v>
      </c>
      <c r="I146" s="104" t="s">
        <v>198</v>
      </c>
      <c r="J146" s="85" t="s">
        <v>219</v>
      </c>
      <c r="K146" s="135" t="s">
        <v>366</v>
      </c>
      <c r="L146" s="135" t="s">
        <v>366</v>
      </c>
      <c r="M146" s="101">
        <v>2</v>
      </c>
      <c r="N146" s="82" t="s">
        <v>175</v>
      </c>
      <c r="O146" s="117" t="s">
        <v>367</v>
      </c>
      <c r="P146" s="123" t="e">
        <f t="shared" si="2"/>
        <v>#N/A</v>
      </c>
      <c r="Q146" s="119" t="str">
        <f>VLOOKUP($B146,'Component List'!$A$2:$B$30,2,FALSE)</f>
        <v>SF3</v>
      </c>
      <c r="R146" s="77" t="e">
        <f>VLOOKUP($C146,'Component List'!C$2:D$28,2,FALSE)</f>
        <v>#N/A</v>
      </c>
      <c r="S146" s="77" t="str">
        <f>VLOOKUP($D146,'Component List'!E$2:F$30,2,FALSE)</f>
        <v>D</v>
      </c>
      <c r="T146" s="77">
        <f>VLOOKUP($E146,'Component List'!G$2:H$30,2,FALSE)</f>
        <v>101</v>
      </c>
      <c r="U146" s="77">
        <f>VLOOKUP($F146,'Component List'!I$2:J$30,2,FALSE)</f>
        <v>103</v>
      </c>
      <c r="V146" s="77">
        <f>VLOOKUP(G146,'Component List'!K$2:L$30,2,FALSE)</f>
        <v>101</v>
      </c>
      <c r="W146" s="77">
        <f>VLOOKUP(H146,'Component List'!M$2:N$31,2,FALSE)</f>
        <v>101</v>
      </c>
      <c r="X146" s="77">
        <f>VLOOKUP(I146,'Component List'!O$2:P$30,2,FALSE)</f>
        <v>100</v>
      </c>
      <c r="Y146" s="77">
        <f>VLOOKUP(J146,'Component List'!Q$2:R$30,2,FALSE)</f>
        <v>101</v>
      </c>
      <c r="Z146" s="77" t="e">
        <f>VLOOKUP(K146,'Component List'!S$2:T$30,2,FALSE)</f>
        <v>#N/A</v>
      </c>
      <c r="AA146" s="77" t="e">
        <f>VLOOKUP(L146,'Component List'!U$2:V$30,2,FALSE)</f>
        <v>#N/A</v>
      </c>
      <c r="AB146" s="77">
        <f>VLOOKUP(M146,'Component List'!AA$2:AB$30,2,FALSE)</f>
        <v>2</v>
      </c>
      <c r="AC146" s="77" t="str">
        <f>VLOOKUP(N146,'Component List'!Y$2:Z$30,2,FALSE)</f>
        <v>P</v>
      </c>
      <c r="AD146" s="159" t="e">
        <f>VLOOKUP(O146,'Component List'!W$3:X$30,2,FALSE)</f>
        <v>#N/A</v>
      </c>
      <c r="AG146" s="93"/>
    </row>
    <row r="147" spans="1:33" ht="30" customHeight="1" x14ac:dyDescent="0.3">
      <c r="A147" s="233"/>
      <c r="B147" s="107" t="s">
        <v>201</v>
      </c>
      <c r="C147" s="80" t="s">
        <v>178</v>
      </c>
      <c r="D147" s="80" t="s">
        <v>136</v>
      </c>
      <c r="E147" s="81" t="s">
        <v>182</v>
      </c>
      <c r="F147" s="80" t="s">
        <v>207</v>
      </c>
      <c r="G147" s="80" t="s">
        <v>183</v>
      </c>
      <c r="H147" s="80" t="s">
        <v>184</v>
      </c>
      <c r="I147" s="104" t="s">
        <v>198</v>
      </c>
      <c r="J147" s="85" t="s">
        <v>219</v>
      </c>
      <c r="K147" s="135" t="s">
        <v>366</v>
      </c>
      <c r="L147" s="135" t="s">
        <v>366</v>
      </c>
      <c r="M147" s="101">
        <v>2</v>
      </c>
      <c r="N147" s="82" t="s">
        <v>187</v>
      </c>
      <c r="O147" s="117" t="s">
        <v>367</v>
      </c>
      <c r="P147" s="123" t="e">
        <f t="shared" si="2"/>
        <v>#N/A</v>
      </c>
      <c r="Q147" s="119" t="str">
        <f>VLOOKUP($B147,'Component List'!$A$2:$B$30,2,FALSE)</f>
        <v>SF3</v>
      </c>
      <c r="R147" s="77" t="e">
        <f>VLOOKUP($C147,'Component List'!C$2:D$28,2,FALSE)</f>
        <v>#N/A</v>
      </c>
      <c r="S147" s="77" t="str">
        <f>VLOOKUP($D147,'Component List'!E$2:F$30,2,FALSE)</f>
        <v>D</v>
      </c>
      <c r="T147" s="77">
        <f>VLOOKUP($E147,'Component List'!G$2:H$30,2,FALSE)</f>
        <v>101</v>
      </c>
      <c r="U147" s="77">
        <f>VLOOKUP($F147,'Component List'!I$2:J$30,2,FALSE)</f>
        <v>103</v>
      </c>
      <c r="V147" s="77">
        <f>VLOOKUP(G147,'Component List'!K$2:L$30,2,FALSE)</f>
        <v>101</v>
      </c>
      <c r="W147" s="77">
        <f>VLOOKUP(H147,'Component List'!M$2:N$31,2,FALSE)</f>
        <v>101</v>
      </c>
      <c r="X147" s="77">
        <f>VLOOKUP(I147,'Component List'!O$2:P$30,2,FALSE)</f>
        <v>100</v>
      </c>
      <c r="Y147" s="77">
        <f>VLOOKUP(J147,'Component List'!Q$2:R$30,2,FALSE)</f>
        <v>101</v>
      </c>
      <c r="Z147" s="77" t="e">
        <f>VLOOKUP(K147,'Component List'!S$2:T$30,2,FALSE)</f>
        <v>#N/A</v>
      </c>
      <c r="AA147" s="77" t="e">
        <f>VLOOKUP(L147,'Component List'!U$2:V$30,2,FALSE)</f>
        <v>#N/A</v>
      </c>
      <c r="AB147" s="77">
        <f>VLOOKUP(M147,'Component List'!AA$2:AB$30,2,FALSE)</f>
        <v>2</v>
      </c>
      <c r="AC147" s="77" t="str">
        <f>VLOOKUP(N147,'Component List'!Y$2:Z$30,2,FALSE)</f>
        <v>C</v>
      </c>
      <c r="AD147" s="159" t="e">
        <f>VLOOKUP(O147,'Component List'!W$3:X$30,2,FALSE)</f>
        <v>#N/A</v>
      </c>
      <c r="AG147" s="93"/>
    </row>
    <row r="148" spans="1:33" ht="30" customHeight="1" x14ac:dyDescent="0.3">
      <c r="A148" s="233"/>
      <c r="B148" s="107" t="s">
        <v>201</v>
      </c>
      <c r="C148" s="80" t="s">
        <v>178</v>
      </c>
      <c r="D148" s="80" t="s">
        <v>136</v>
      </c>
      <c r="E148" s="81" t="s">
        <v>182</v>
      </c>
      <c r="F148" s="80" t="s">
        <v>207</v>
      </c>
      <c r="G148" s="80" t="s">
        <v>183</v>
      </c>
      <c r="H148" s="80" t="s">
        <v>184</v>
      </c>
      <c r="I148" s="104" t="s">
        <v>198</v>
      </c>
      <c r="J148" s="85" t="s">
        <v>219</v>
      </c>
      <c r="K148" s="135" t="s">
        <v>366</v>
      </c>
      <c r="L148" s="135" t="s">
        <v>366</v>
      </c>
      <c r="M148" s="101">
        <v>3</v>
      </c>
      <c r="N148" s="82" t="s">
        <v>175</v>
      </c>
      <c r="O148" s="117" t="s">
        <v>367</v>
      </c>
      <c r="P148" s="123" t="e">
        <f t="shared" si="2"/>
        <v>#N/A</v>
      </c>
      <c r="Q148" s="119" t="str">
        <f>VLOOKUP($B148,'Component List'!$A$2:$B$30,2,FALSE)</f>
        <v>SF3</v>
      </c>
      <c r="R148" s="77" t="e">
        <f>VLOOKUP($C148,'Component List'!C$2:D$28,2,FALSE)</f>
        <v>#N/A</v>
      </c>
      <c r="S148" s="77" t="str">
        <f>VLOOKUP($D148,'Component List'!E$2:F$30,2,FALSE)</f>
        <v>D</v>
      </c>
      <c r="T148" s="77">
        <f>VLOOKUP($E148,'Component List'!G$2:H$30,2,FALSE)</f>
        <v>101</v>
      </c>
      <c r="U148" s="77">
        <f>VLOOKUP($F148,'Component List'!I$2:J$30,2,FALSE)</f>
        <v>103</v>
      </c>
      <c r="V148" s="77">
        <f>VLOOKUP(G148,'Component List'!K$2:L$30,2,FALSE)</f>
        <v>101</v>
      </c>
      <c r="W148" s="77">
        <f>VLOOKUP(H148,'Component List'!M$2:N$31,2,FALSE)</f>
        <v>101</v>
      </c>
      <c r="X148" s="77">
        <f>VLOOKUP(I148,'Component List'!O$2:P$30,2,FALSE)</f>
        <v>100</v>
      </c>
      <c r="Y148" s="77">
        <f>VLOOKUP(J148,'Component List'!Q$2:R$30,2,FALSE)</f>
        <v>101</v>
      </c>
      <c r="Z148" s="77" t="e">
        <f>VLOOKUP(K148,'Component List'!S$2:T$30,2,FALSE)</f>
        <v>#N/A</v>
      </c>
      <c r="AA148" s="77" t="e">
        <f>VLOOKUP(L148,'Component List'!U$2:V$30,2,FALSE)</f>
        <v>#N/A</v>
      </c>
      <c r="AB148" s="77">
        <f>VLOOKUP(M148,'Component List'!AA$2:AB$30,2,FALSE)</f>
        <v>3</v>
      </c>
      <c r="AC148" s="77" t="str">
        <f>VLOOKUP(N148,'Component List'!Y$2:Z$30,2,FALSE)</f>
        <v>P</v>
      </c>
      <c r="AD148" s="159" t="e">
        <f>VLOOKUP(O148,'Component List'!W$3:X$30,2,FALSE)</f>
        <v>#N/A</v>
      </c>
      <c r="AG148" s="93"/>
    </row>
    <row r="149" spans="1:33" ht="30" customHeight="1" x14ac:dyDescent="0.3">
      <c r="A149" s="233"/>
      <c r="B149" s="107" t="s">
        <v>201</v>
      </c>
      <c r="C149" s="80" t="s">
        <v>178</v>
      </c>
      <c r="D149" s="80" t="s">
        <v>136</v>
      </c>
      <c r="E149" s="81" t="s">
        <v>182</v>
      </c>
      <c r="F149" s="80" t="s">
        <v>207</v>
      </c>
      <c r="G149" s="80" t="s">
        <v>183</v>
      </c>
      <c r="H149" s="80" t="s">
        <v>184</v>
      </c>
      <c r="I149" s="104" t="s">
        <v>198</v>
      </c>
      <c r="J149" s="85" t="s">
        <v>219</v>
      </c>
      <c r="K149" s="135" t="s">
        <v>366</v>
      </c>
      <c r="L149" s="135" t="s">
        <v>366</v>
      </c>
      <c r="M149" s="101">
        <v>3</v>
      </c>
      <c r="N149" s="82" t="s">
        <v>187</v>
      </c>
      <c r="O149" s="117" t="s">
        <v>367</v>
      </c>
      <c r="P149" s="123" t="e">
        <f t="shared" si="2"/>
        <v>#N/A</v>
      </c>
      <c r="Q149" s="119" t="str">
        <f>VLOOKUP($B149,'Component List'!$A$2:$B$30,2,FALSE)</f>
        <v>SF3</v>
      </c>
      <c r="R149" s="77" t="e">
        <f>VLOOKUP($C149,'Component List'!C$2:D$28,2,FALSE)</f>
        <v>#N/A</v>
      </c>
      <c r="S149" s="77" t="str">
        <f>VLOOKUP($D149,'Component List'!E$2:F$30,2,FALSE)</f>
        <v>D</v>
      </c>
      <c r="T149" s="77">
        <f>VLOOKUP($E149,'Component List'!G$2:H$30,2,FALSE)</f>
        <v>101</v>
      </c>
      <c r="U149" s="77">
        <f>VLOOKUP($F149,'Component List'!I$2:J$30,2,FALSE)</f>
        <v>103</v>
      </c>
      <c r="V149" s="77">
        <f>VLOOKUP(G149,'Component List'!K$2:L$30,2,FALSE)</f>
        <v>101</v>
      </c>
      <c r="W149" s="77">
        <f>VLOOKUP(H149,'Component List'!M$2:N$31,2,FALSE)</f>
        <v>101</v>
      </c>
      <c r="X149" s="77">
        <f>VLOOKUP(I149,'Component List'!O$2:P$30,2,FALSE)</f>
        <v>100</v>
      </c>
      <c r="Y149" s="77">
        <f>VLOOKUP(J149,'Component List'!Q$2:R$30,2,FALSE)</f>
        <v>101</v>
      </c>
      <c r="Z149" s="77" t="e">
        <f>VLOOKUP(K149,'Component List'!S$2:T$30,2,FALSE)</f>
        <v>#N/A</v>
      </c>
      <c r="AA149" s="77" t="e">
        <f>VLOOKUP(L149,'Component List'!U$2:V$30,2,FALSE)</f>
        <v>#N/A</v>
      </c>
      <c r="AB149" s="77">
        <f>VLOOKUP(M149,'Component List'!AA$2:AB$30,2,FALSE)</f>
        <v>3</v>
      </c>
      <c r="AC149" s="77" t="str">
        <f>VLOOKUP(N149,'Component List'!Y$2:Z$30,2,FALSE)</f>
        <v>C</v>
      </c>
      <c r="AD149" s="159" t="e">
        <f>VLOOKUP(O149,'Component List'!W$3:X$30,2,FALSE)</f>
        <v>#N/A</v>
      </c>
      <c r="AG149" s="93"/>
    </row>
    <row r="150" spans="1:33" ht="30" customHeight="1" x14ac:dyDescent="0.3">
      <c r="A150" s="233"/>
      <c r="B150" s="107" t="s">
        <v>201</v>
      </c>
      <c r="C150" s="80" t="s">
        <v>178</v>
      </c>
      <c r="D150" s="80" t="s">
        <v>136</v>
      </c>
      <c r="E150" s="81" t="s">
        <v>137</v>
      </c>
      <c r="F150" s="80" t="s">
        <v>39</v>
      </c>
      <c r="G150" s="80" t="s">
        <v>183</v>
      </c>
      <c r="H150" s="80" t="s">
        <v>138</v>
      </c>
      <c r="I150" s="104" t="s">
        <v>198</v>
      </c>
      <c r="J150" s="117" t="s">
        <v>143</v>
      </c>
      <c r="K150" s="135" t="s">
        <v>366</v>
      </c>
      <c r="L150" s="135" t="s">
        <v>366</v>
      </c>
      <c r="M150" s="101">
        <v>1</v>
      </c>
      <c r="N150" s="82" t="s">
        <v>175</v>
      </c>
      <c r="O150" s="117" t="s">
        <v>367</v>
      </c>
      <c r="P150" s="123" t="e">
        <f t="shared" si="2"/>
        <v>#N/A</v>
      </c>
      <c r="Q150" s="119" t="str">
        <f>VLOOKUP($B150,'Component List'!$A$2:$B$30,2,FALSE)</f>
        <v>SF3</v>
      </c>
      <c r="R150" s="77" t="e">
        <f>VLOOKUP($C150,'Component List'!C$2:D$28,2,FALSE)</f>
        <v>#N/A</v>
      </c>
      <c r="S150" s="77" t="str">
        <f>VLOOKUP($D150,'Component List'!E$2:F$30,2,FALSE)</f>
        <v>D</v>
      </c>
      <c r="T150" s="77">
        <f>VLOOKUP($E150,'Component List'!G$2:H$30,2,FALSE)</f>
        <v>102</v>
      </c>
      <c r="U150" s="77">
        <f>VLOOKUP($F150,'Component List'!I$2:J$30,2,FALSE)</f>
        <v>105</v>
      </c>
      <c r="V150" s="77">
        <f>VLOOKUP(G150,'Component List'!K$2:L$30,2,FALSE)</f>
        <v>101</v>
      </c>
      <c r="W150" s="77">
        <f>VLOOKUP(H150,'Component List'!M$2:N$31,2,FALSE)</f>
        <v>100</v>
      </c>
      <c r="X150" s="77">
        <f>VLOOKUP(I150,'Component List'!O$2:P$30,2,FALSE)</f>
        <v>100</v>
      </c>
      <c r="Y150" s="77" t="str">
        <f>VLOOKUP(J150,'Component List'!Q$2:R$30,2,FALSE)</f>
        <v>000</v>
      </c>
      <c r="Z150" s="77" t="e">
        <f>VLOOKUP(K150,'Component List'!S$2:T$30,2,FALSE)</f>
        <v>#N/A</v>
      </c>
      <c r="AA150" s="77" t="e">
        <f>VLOOKUP(L150,'Component List'!U$2:V$30,2,FALSE)</f>
        <v>#N/A</v>
      </c>
      <c r="AB150" s="77">
        <f>VLOOKUP(M150,'Component List'!AA$2:AB$30,2,FALSE)</f>
        <v>1</v>
      </c>
      <c r="AC150" s="77" t="str">
        <f>VLOOKUP(N150,'Component List'!Y$2:Z$30,2,FALSE)</f>
        <v>P</v>
      </c>
      <c r="AD150" s="159" t="e">
        <f>VLOOKUP(O150,'Component List'!W$3:X$30,2,FALSE)</f>
        <v>#N/A</v>
      </c>
      <c r="AG150" s="93"/>
    </row>
    <row r="151" spans="1:33" ht="30" customHeight="1" x14ac:dyDescent="0.3">
      <c r="A151" s="233"/>
      <c r="B151" s="107" t="s">
        <v>201</v>
      </c>
      <c r="C151" s="80" t="s">
        <v>178</v>
      </c>
      <c r="D151" s="80" t="s">
        <v>136</v>
      </c>
      <c r="E151" s="81" t="s">
        <v>137</v>
      </c>
      <c r="F151" s="80" t="s">
        <v>39</v>
      </c>
      <c r="G151" s="80" t="s">
        <v>183</v>
      </c>
      <c r="H151" s="80" t="s">
        <v>138</v>
      </c>
      <c r="I151" s="104" t="s">
        <v>198</v>
      </c>
      <c r="J151" s="117" t="s">
        <v>143</v>
      </c>
      <c r="K151" s="135" t="s">
        <v>366</v>
      </c>
      <c r="L151" s="135" t="s">
        <v>366</v>
      </c>
      <c r="M151" s="101">
        <v>1</v>
      </c>
      <c r="N151" s="82" t="s">
        <v>187</v>
      </c>
      <c r="O151" s="117" t="s">
        <v>367</v>
      </c>
      <c r="P151" s="123" t="e">
        <f t="shared" si="2"/>
        <v>#N/A</v>
      </c>
      <c r="Q151" s="119" t="str">
        <f>VLOOKUP($B151,'Component List'!$A$2:$B$30,2,FALSE)</f>
        <v>SF3</v>
      </c>
      <c r="R151" s="77" t="e">
        <f>VLOOKUP($C151,'Component List'!C$2:D$28,2,FALSE)</f>
        <v>#N/A</v>
      </c>
      <c r="S151" s="77" t="str">
        <f>VLOOKUP($D151,'Component List'!E$2:F$30,2,FALSE)</f>
        <v>D</v>
      </c>
      <c r="T151" s="77">
        <f>VLOOKUP($E151,'Component List'!G$2:H$30,2,FALSE)</f>
        <v>102</v>
      </c>
      <c r="U151" s="77">
        <f>VLOOKUP($F151,'Component List'!I$2:J$30,2,FALSE)</f>
        <v>105</v>
      </c>
      <c r="V151" s="77">
        <f>VLOOKUP(G151,'Component List'!K$2:L$30,2,FALSE)</f>
        <v>101</v>
      </c>
      <c r="W151" s="77">
        <f>VLOOKUP(H151,'Component List'!M$2:N$31,2,FALSE)</f>
        <v>100</v>
      </c>
      <c r="X151" s="77">
        <f>VLOOKUP(I151,'Component List'!O$2:P$30,2,FALSE)</f>
        <v>100</v>
      </c>
      <c r="Y151" s="77" t="str">
        <f>VLOOKUP(J151,'Component List'!Q$2:R$30,2,FALSE)</f>
        <v>000</v>
      </c>
      <c r="Z151" s="77" t="e">
        <f>VLOOKUP(K151,'Component List'!S$2:T$30,2,FALSE)</f>
        <v>#N/A</v>
      </c>
      <c r="AA151" s="77" t="e">
        <f>VLOOKUP(L151,'Component List'!U$2:V$30,2,FALSE)</f>
        <v>#N/A</v>
      </c>
      <c r="AB151" s="77">
        <f>VLOOKUP(M151,'Component List'!AA$2:AB$30,2,FALSE)</f>
        <v>1</v>
      </c>
      <c r="AC151" s="77" t="str">
        <f>VLOOKUP(N151,'Component List'!Y$2:Z$30,2,FALSE)</f>
        <v>C</v>
      </c>
      <c r="AD151" s="159" t="e">
        <f>VLOOKUP(O151,'Component List'!W$3:X$30,2,FALSE)</f>
        <v>#N/A</v>
      </c>
      <c r="AG151" s="93"/>
    </row>
    <row r="152" spans="1:33" ht="30" customHeight="1" x14ac:dyDescent="0.3">
      <c r="A152" s="233"/>
      <c r="B152" s="107" t="s">
        <v>201</v>
      </c>
      <c r="C152" s="80" t="s">
        <v>178</v>
      </c>
      <c r="D152" s="80" t="s">
        <v>136</v>
      </c>
      <c r="E152" s="81" t="s">
        <v>137</v>
      </c>
      <c r="F152" s="80" t="s">
        <v>39</v>
      </c>
      <c r="G152" s="80" t="s">
        <v>183</v>
      </c>
      <c r="H152" s="80" t="s">
        <v>138</v>
      </c>
      <c r="I152" s="104" t="s">
        <v>198</v>
      </c>
      <c r="J152" s="117" t="s">
        <v>143</v>
      </c>
      <c r="K152" s="135" t="s">
        <v>366</v>
      </c>
      <c r="L152" s="135" t="s">
        <v>366</v>
      </c>
      <c r="M152" s="101">
        <v>2</v>
      </c>
      <c r="N152" s="82" t="s">
        <v>175</v>
      </c>
      <c r="O152" s="117" t="s">
        <v>367</v>
      </c>
      <c r="P152" s="123" t="e">
        <f t="shared" si="2"/>
        <v>#N/A</v>
      </c>
      <c r="Q152" s="119" t="str">
        <f>VLOOKUP($B152,'Component List'!$A$2:$B$30,2,FALSE)</f>
        <v>SF3</v>
      </c>
      <c r="R152" s="77" t="e">
        <f>VLOOKUP($C152,'Component List'!C$2:D$28,2,FALSE)</f>
        <v>#N/A</v>
      </c>
      <c r="S152" s="77" t="str">
        <f>VLOOKUP($D152,'Component List'!E$2:F$30,2,FALSE)</f>
        <v>D</v>
      </c>
      <c r="T152" s="77">
        <f>VLOOKUP($E152,'Component List'!G$2:H$30,2,FALSE)</f>
        <v>102</v>
      </c>
      <c r="U152" s="77">
        <f>VLOOKUP($F152,'Component List'!I$2:J$30,2,FALSE)</f>
        <v>105</v>
      </c>
      <c r="V152" s="77">
        <f>VLOOKUP(G152,'Component List'!K$2:L$30,2,FALSE)</f>
        <v>101</v>
      </c>
      <c r="W152" s="77">
        <f>VLOOKUP(H152,'Component List'!M$2:N$31,2,FALSE)</f>
        <v>100</v>
      </c>
      <c r="X152" s="77">
        <f>VLOOKUP(I152,'Component List'!O$2:P$30,2,FALSE)</f>
        <v>100</v>
      </c>
      <c r="Y152" s="77" t="str">
        <f>VLOOKUP(J152,'Component List'!Q$2:R$30,2,FALSE)</f>
        <v>000</v>
      </c>
      <c r="Z152" s="77" t="e">
        <f>VLOOKUP(K152,'Component List'!S$2:T$30,2,FALSE)</f>
        <v>#N/A</v>
      </c>
      <c r="AA152" s="77" t="e">
        <f>VLOOKUP(L152,'Component List'!U$2:V$30,2,FALSE)</f>
        <v>#N/A</v>
      </c>
      <c r="AB152" s="77">
        <f>VLOOKUP(M152,'Component List'!AA$2:AB$30,2,FALSE)</f>
        <v>2</v>
      </c>
      <c r="AC152" s="77" t="str">
        <f>VLOOKUP(N152,'Component List'!Y$2:Z$30,2,FALSE)</f>
        <v>P</v>
      </c>
      <c r="AD152" s="159" t="e">
        <f>VLOOKUP(O152,'Component List'!W$3:X$30,2,FALSE)</f>
        <v>#N/A</v>
      </c>
      <c r="AG152" s="93"/>
    </row>
    <row r="153" spans="1:33" ht="30" customHeight="1" x14ac:dyDescent="0.3">
      <c r="A153" s="233"/>
      <c r="B153" s="107" t="s">
        <v>201</v>
      </c>
      <c r="C153" s="80" t="s">
        <v>178</v>
      </c>
      <c r="D153" s="80" t="s">
        <v>136</v>
      </c>
      <c r="E153" s="81" t="s">
        <v>137</v>
      </c>
      <c r="F153" s="80" t="s">
        <v>39</v>
      </c>
      <c r="G153" s="80" t="s">
        <v>183</v>
      </c>
      <c r="H153" s="80" t="s">
        <v>138</v>
      </c>
      <c r="I153" s="104" t="s">
        <v>198</v>
      </c>
      <c r="J153" s="117" t="s">
        <v>143</v>
      </c>
      <c r="K153" s="135" t="s">
        <v>366</v>
      </c>
      <c r="L153" s="135" t="s">
        <v>366</v>
      </c>
      <c r="M153" s="101">
        <v>2</v>
      </c>
      <c r="N153" s="82" t="s">
        <v>187</v>
      </c>
      <c r="O153" s="117" t="s">
        <v>367</v>
      </c>
      <c r="P153" s="123" t="e">
        <f t="shared" si="2"/>
        <v>#N/A</v>
      </c>
      <c r="Q153" s="119" t="str">
        <f>VLOOKUP($B153,'Component List'!$A$2:$B$30,2,FALSE)</f>
        <v>SF3</v>
      </c>
      <c r="R153" s="77" t="e">
        <f>VLOOKUP($C153,'Component List'!C$2:D$28,2,FALSE)</f>
        <v>#N/A</v>
      </c>
      <c r="S153" s="77" t="str">
        <f>VLOOKUP($D153,'Component List'!E$2:F$30,2,FALSE)</f>
        <v>D</v>
      </c>
      <c r="T153" s="77">
        <f>VLOOKUP($E153,'Component List'!G$2:H$30,2,FALSE)</f>
        <v>102</v>
      </c>
      <c r="U153" s="77">
        <f>VLOOKUP($F153,'Component List'!I$2:J$30,2,FALSE)</f>
        <v>105</v>
      </c>
      <c r="V153" s="77">
        <f>VLOOKUP(G153,'Component List'!K$2:L$30,2,FALSE)</f>
        <v>101</v>
      </c>
      <c r="W153" s="77">
        <f>VLOOKUP(H153,'Component List'!M$2:N$31,2,FALSE)</f>
        <v>100</v>
      </c>
      <c r="X153" s="77">
        <f>VLOOKUP(I153,'Component List'!O$2:P$30,2,FALSE)</f>
        <v>100</v>
      </c>
      <c r="Y153" s="77" t="str">
        <f>VLOOKUP(J153,'Component List'!Q$2:R$30,2,FALSE)</f>
        <v>000</v>
      </c>
      <c r="Z153" s="77" t="e">
        <f>VLOOKUP(K153,'Component List'!S$2:T$30,2,FALSE)</f>
        <v>#N/A</v>
      </c>
      <c r="AA153" s="77" t="e">
        <f>VLOOKUP(L153,'Component List'!U$2:V$30,2,FALSE)</f>
        <v>#N/A</v>
      </c>
      <c r="AB153" s="77">
        <f>VLOOKUP(M153,'Component List'!AA$2:AB$30,2,FALSE)</f>
        <v>2</v>
      </c>
      <c r="AC153" s="77" t="str">
        <f>VLOOKUP(N153,'Component List'!Y$2:Z$30,2,FALSE)</f>
        <v>C</v>
      </c>
      <c r="AD153" s="159" t="e">
        <f>VLOOKUP(O153,'Component List'!W$3:X$30,2,FALSE)</f>
        <v>#N/A</v>
      </c>
      <c r="AG153" s="93"/>
    </row>
    <row r="154" spans="1:33" ht="30" customHeight="1" x14ac:dyDescent="0.3">
      <c r="A154" s="233"/>
      <c r="B154" s="107" t="s">
        <v>201</v>
      </c>
      <c r="C154" s="80" t="s">
        <v>178</v>
      </c>
      <c r="D154" s="80" t="s">
        <v>136</v>
      </c>
      <c r="E154" s="81" t="s">
        <v>137</v>
      </c>
      <c r="F154" s="80" t="s">
        <v>39</v>
      </c>
      <c r="G154" s="80" t="s">
        <v>183</v>
      </c>
      <c r="H154" s="80" t="s">
        <v>138</v>
      </c>
      <c r="I154" s="104" t="s">
        <v>198</v>
      </c>
      <c r="J154" s="117" t="s">
        <v>143</v>
      </c>
      <c r="K154" s="135" t="s">
        <v>366</v>
      </c>
      <c r="L154" s="135" t="s">
        <v>366</v>
      </c>
      <c r="M154" s="101">
        <v>3</v>
      </c>
      <c r="N154" s="82" t="s">
        <v>175</v>
      </c>
      <c r="O154" s="117" t="s">
        <v>367</v>
      </c>
      <c r="P154" s="123" t="e">
        <f t="shared" si="2"/>
        <v>#N/A</v>
      </c>
      <c r="Q154" s="119" t="str">
        <f>VLOOKUP($B154,'Component List'!$A$2:$B$30,2,FALSE)</f>
        <v>SF3</v>
      </c>
      <c r="R154" s="77" t="e">
        <f>VLOOKUP($C154,'Component List'!C$2:D$28,2,FALSE)</f>
        <v>#N/A</v>
      </c>
      <c r="S154" s="77" t="str">
        <f>VLOOKUP($D154,'Component List'!E$2:F$30,2,FALSE)</f>
        <v>D</v>
      </c>
      <c r="T154" s="77">
        <f>VLOOKUP($E154,'Component List'!G$2:H$30,2,FALSE)</f>
        <v>102</v>
      </c>
      <c r="U154" s="77">
        <f>VLOOKUP($F154,'Component List'!I$2:J$30,2,FALSE)</f>
        <v>105</v>
      </c>
      <c r="V154" s="77">
        <f>VLOOKUP(G154,'Component List'!K$2:L$30,2,FALSE)</f>
        <v>101</v>
      </c>
      <c r="W154" s="77">
        <f>VLOOKUP(H154,'Component List'!M$2:N$31,2,FALSE)</f>
        <v>100</v>
      </c>
      <c r="X154" s="77">
        <f>VLOOKUP(I154,'Component List'!O$2:P$30,2,FALSE)</f>
        <v>100</v>
      </c>
      <c r="Y154" s="77" t="str">
        <f>VLOOKUP(J154,'Component List'!Q$2:R$30,2,FALSE)</f>
        <v>000</v>
      </c>
      <c r="Z154" s="77" t="e">
        <f>VLOOKUP(K154,'Component List'!S$2:T$30,2,FALSE)</f>
        <v>#N/A</v>
      </c>
      <c r="AA154" s="77" t="e">
        <f>VLOOKUP(L154,'Component List'!U$2:V$30,2,FALSE)</f>
        <v>#N/A</v>
      </c>
      <c r="AB154" s="77">
        <f>VLOOKUP(M154,'Component List'!AA$2:AB$30,2,FALSE)</f>
        <v>3</v>
      </c>
      <c r="AC154" s="77" t="str">
        <f>VLOOKUP(N154,'Component List'!Y$2:Z$30,2,FALSE)</f>
        <v>P</v>
      </c>
      <c r="AD154" s="159" t="e">
        <f>VLOOKUP(O154,'Component List'!W$3:X$30,2,FALSE)</f>
        <v>#N/A</v>
      </c>
      <c r="AG154" s="93"/>
    </row>
    <row r="155" spans="1:33" ht="30" customHeight="1" x14ac:dyDescent="0.3">
      <c r="A155" s="233"/>
      <c r="B155" s="107" t="s">
        <v>201</v>
      </c>
      <c r="C155" s="80" t="s">
        <v>178</v>
      </c>
      <c r="D155" s="80" t="s">
        <v>136</v>
      </c>
      <c r="E155" s="81" t="s">
        <v>137</v>
      </c>
      <c r="F155" s="80" t="s">
        <v>39</v>
      </c>
      <c r="G155" s="80" t="s">
        <v>183</v>
      </c>
      <c r="H155" s="80" t="s">
        <v>138</v>
      </c>
      <c r="I155" s="104" t="s">
        <v>198</v>
      </c>
      <c r="J155" s="117" t="s">
        <v>143</v>
      </c>
      <c r="K155" s="135" t="s">
        <v>366</v>
      </c>
      <c r="L155" s="135" t="s">
        <v>366</v>
      </c>
      <c r="M155" s="101">
        <v>3</v>
      </c>
      <c r="N155" s="82" t="s">
        <v>187</v>
      </c>
      <c r="O155" s="117" t="s">
        <v>367</v>
      </c>
      <c r="P155" s="123" t="e">
        <f t="shared" si="2"/>
        <v>#N/A</v>
      </c>
      <c r="Q155" s="119" t="str">
        <f>VLOOKUP($B155,'Component List'!$A$2:$B$30,2,FALSE)</f>
        <v>SF3</v>
      </c>
      <c r="R155" s="77" t="e">
        <f>VLOOKUP($C155,'Component List'!C$2:D$28,2,FALSE)</f>
        <v>#N/A</v>
      </c>
      <c r="S155" s="77" t="str">
        <f>VLOOKUP($D155,'Component List'!E$2:F$30,2,FALSE)</f>
        <v>D</v>
      </c>
      <c r="T155" s="77">
        <f>VLOOKUP($E155,'Component List'!G$2:H$30,2,FALSE)</f>
        <v>102</v>
      </c>
      <c r="U155" s="77">
        <f>VLOOKUP($F155,'Component List'!I$2:J$30,2,FALSE)</f>
        <v>105</v>
      </c>
      <c r="V155" s="77">
        <f>VLOOKUP(G155,'Component List'!K$2:L$30,2,FALSE)</f>
        <v>101</v>
      </c>
      <c r="W155" s="77">
        <f>VLOOKUP(H155,'Component List'!M$2:N$31,2,FALSE)</f>
        <v>100</v>
      </c>
      <c r="X155" s="77">
        <f>VLOOKUP(I155,'Component List'!O$2:P$30,2,FALSE)</f>
        <v>100</v>
      </c>
      <c r="Y155" s="77" t="str">
        <f>VLOOKUP(J155,'Component List'!Q$2:R$30,2,FALSE)</f>
        <v>000</v>
      </c>
      <c r="Z155" s="77" t="e">
        <f>VLOOKUP(K155,'Component List'!S$2:T$30,2,FALSE)</f>
        <v>#N/A</v>
      </c>
      <c r="AA155" s="77" t="e">
        <f>VLOOKUP(L155,'Component List'!U$2:V$30,2,FALSE)</f>
        <v>#N/A</v>
      </c>
      <c r="AB155" s="77">
        <f>VLOOKUP(M155,'Component List'!AA$2:AB$30,2,FALSE)</f>
        <v>3</v>
      </c>
      <c r="AC155" s="77" t="str">
        <f>VLOOKUP(N155,'Component List'!Y$2:Z$30,2,FALSE)</f>
        <v>C</v>
      </c>
      <c r="AD155" s="159" t="e">
        <f>VLOOKUP(O155,'Component List'!W$3:X$30,2,FALSE)</f>
        <v>#N/A</v>
      </c>
      <c r="AG155" s="93"/>
    </row>
    <row r="156" spans="1:33" ht="30" customHeight="1" x14ac:dyDescent="0.3">
      <c r="A156" s="233"/>
      <c r="B156" s="107" t="s">
        <v>201</v>
      </c>
      <c r="C156" s="80" t="s">
        <v>178</v>
      </c>
      <c r="D156" s="80" t="s">
        <v>136</v>
      </c>
      <c r="E156" s="81" t="s">
        <v>137</v>
      </c>
      <c r="F156" s="80" t="s">
        <v>45</v>
      </c>
      <c r="G156" s="80" t="s">
        <v>183</v>
      </c>
      <c r="H156" s="80" t="s">
        <v>208</v>
      </c>
      <c r="I156" s="104" t="s">
        <v>198</v>
      </c>
      <c r="J156" s="117" t="s">
        <v>143</v>
      </c>
      <c r="K156" s="135" t="s">
        <v>366</v>
      </c>
      <c r="L156" s="135" t="s">
        <v>366</v>
      </c>
      <c r="M156" s="101">
        <v>1</v>
      </c>
      <c r="N156" s="82" t="s">
        <v>175</v>
      </c>
      <c r="O156" s="117" t="s">
        <v>367</v>
      </c>
      <c r="P156" s="123" t="e">
        <f t="shared" si="2"/>
        <v>#N/A</v>
      </c>
      <c r="Q156" s="119" t="str">
        <f>VLOOKUP($B156,'Component List'!$A$2:$B$30,2,FALSE)</f>
        <v>SF3</v>
      </c>
      <c r="R156" s="77" t="e">
        <f>VLOOKUP($C156,'Component List'!C$2:D$28,2,FALSE)</f>
        <v>#N/A</v>
      </c>
      <c r="S156" s="77" t="str">
        <f>VLOOKUP($D156,'Component List'!E$2:F$30,2,FALSE)</f>
        <v>D</v>
      </c>
      <c r="T156" s="77">
        <f>VLOOKUP($E156,'Component List'!G$2:H$30,2,FALSE)</f>
        <v>102</v>
      </c>
      <c r="U156" s="77">
        <f>VLOOKUP($F156,'Component List'!I$2:J$30,2,FALSE)</f>
        <v>106</v>
      </c>
      <c r="V156" s="77">
        <f>VLOOKUP(G156,'Component List'!K$2:L$30,2,FALSE)</f>
        <v>101</v>
      </c>
      <c r="W156" s="77">
        <f>VLOOKUP(H156,'Component List'!M$2:N$31,2,FALSE)</f>
        <v>103</v>
      </c>
      <c r="X156" s="77">
        <f>VLOOKUP(I156,'Component List'!O$2:P$30,2,FALSE)</f>
        <v>100</v>
      </c>
      <c r="Y156" s="77" t="str">
        <f>VLOOKUP(J156,'Component List'!Q$2:R$30,2,FALSE)</f>
        <v>000</v>
      </c>
      <c r="Z156" s="77" t="e">
        <f>VLOOKUP(K156,'Component List'!S$2:T$30,2,FALSE)</f>
        <v>#N/A</v>
      </c>
      <c r="AA156" s="77" t="e">
        <f>VLOOKUP(L156,'Component List'!U$2:V$30,2,FALSE)</f>
        <v>#N/A</v>
      </c>
      <c r="AB156" s="77">
        <f>VLOOKUP(M156,'Component List'!AA$2:AB$30,2,FALSE)</f>
        <v>1</v>
      </c>
      <c r="AC156" s="77" t="str">
        <f>VLOOKUP(N156,'Component List'!Y$2:Z$30,2,FALSE)</f>
        <v>P</v>
      </c>
      <c r="AD156" s="159" t="e">
        <f>VLOOKUP(O156,'Component List'!W$3:X$30,2,FALSE)</f>
        <v>#N/A</v>
      </c>
      <c r="AG156" s="93"/>
    </row>
    <row r="157" spans="1:33" ht="30" customHeight="1" x14ac:dyDescent="0.3">
      <c r="A157" s="233"/>
      <c r="B157" s="107" t="s">
        <v>201</v>
      </c>
      <c r="C157" s="80" t="s">
        <v>178</v>
      </c>
      <c r="D157" s="80" t="s">
        <v>136</v>
      </c>
      <c r="E157" s="81" t="s">
        <v>137</v>
      </c>
      <c r="F157" s="80" t="s">
        <v>45</v>
      </c>
      <c r="G157" s="80" t="s">
        <v>183</v>
      </c>
      <c r="H157" s="80" t="s">
        <v>208</v>
      </c>
      <c r="I157" s="104" t="s">
        <v>198</v>
      </c>
      <c r="J157" s="117" t="s">
        <v>143</v>
      </c>
      <c r="K157" s="135" t="s">
        <v>366</v>
      </c>
      <c r="L157" s="135" t="s">
        <v>366</v>
      </c>
      <c r="M157" s="101">
        <v>1</v>
      </c>
      <c r="N157" s="82" t="s">
        <v>187</v>
      </c>
      <c r="O157" s="117" t="s">
        <v>367</v>
      </c>
      <c r="P157" s="123" t="e">
        <f t="shared" si="2"/>
        <v>#N/A</v>
      </c>
      <c r="Q157" s="119" t="str">
        <f>VLOOKUP($B157,'Component List'!$A$2:$B$30,2,FALSE)</f>
        <v>SF3</v>
      </c>
      <c r="R157" s="77" t="e">
        <f>VLOOKUP($C157,'Component List'!C$2:D$28,2,FALSE)</f>
        <v>#N/A</v>
      </c>
      <c r="S157" s="77" t="str">
        <f>VLOOKUP($D157,'Component List'!E$2:F$30,2,FALSE)</f>
        <v>D</v>
      </c>
      <c r="T157" s="77">
        <f>VLOOKUP($E157,'Component List'!G$2:H$30,2,FALSE)</f>
        <v>102</v>
      </c>
      <c r="U157" s="77">
        <f>VLOOKUP($F157,'Component List'!I$2:J$30,2,FALSE)</f>
        <v>106</v>
      </c>
      <c r="V157" s="77">
        <f>VLOOKUP(G157,'Component List'!K$2:L$30,2,FALSE)</f>
        <v>101</v>
      </c>
      <c r="W157" s="77">
        <f>VLOOKUP(H157,'Component List'!M$2:N$31,2,FALSE)</f>
        <v>103</v>
      </c>
      <c r="X157" s="77">
        <f>VLOOKUP(I157,'Component List'!O$2:P$30,2,FALSE)</f>
        <v>100</v>
      </c>
      <c r="Y157" s="77" t="str">
        <f>VLOOKUP(J157,'Component List'!Q$2:R$30,2,FALSE)</f>
        <v>000</v>
      </c>
      <c r="Z157" s="77" t="e">
        <f>VLOOKUP(K157,'Component List'!S$2:T$30,2,FALSE)</f>
        <v>#N/A</v>
      </c>
      <c r="AA157" s="77" t="e">
        <f>VLOOKUP(L157,'Component List'!U$2:V$30,2,FALSE)</f>
        <v>#N/A</v>
      </c>
      <c r="AB157" s="77">
        <f>VLOOKUP(M157,'Component List'!AA$2:AB$30,2,FALSE)</f>
        <v>1</v>
      </c>
      <c r="AC157" s="77" t="str">
        <f>VLOOKUP(N157,'Component List'!Y$2:Z$30,2,FALSE)</f>
        <v>C</v>
      </c>
      <c r="AD157" s="159" t="e">
        <f>VLOOKUP(O157,'Component List'!W$3:X$30,2,FALSE)</f>
        <v>#N/A</v>
      </c>
      <c r="AG157" s="93"/>
    </row>
    <row r="158" spans="1:33" ht="30" customHeight="1" x14ac:dyDescent="0.3">
      <c r="A158" s="233"/>
      <c r="B158" s="107" t="s">
        <v>201</v>
      </c>
      <c r="C158" s="80" t="s">
        <v>178</v>
      </c>
      <c r="D158" s="80" t="s">
        <v>136</v>
      </c>
      <c r="E158" s="81" t="s">
        <v>137</v>
      </c>
      <c r="F158" s="80" t="s">
        <v>45</v>
      </c>
      <c r="G158" s="80" t="s">
        <v>183</v>
      </c>
      <c r="H158" s="80" t="s">
        <v>208</v>
      </c>
      <c r="I158" s="104" t="s">
        <v>198</v>
      </c>
      <c r="J158" s="117" t="s">
        <v>143</v>
      </c>
      <c r="K158" s="135" t="s">
        <v>366</v>
      </c>
      <c r="L158" s="135" t="s">
        <v>366</v>
      </c>
      <c r="M158" s="101">
        <v>2</v>
      </c>
      <c r="N158" s="82" t="s">
        <v>175</v>
      </c>
      <c r="O158" s="117" t="s">
        <v>367</v>
      </c>
      <c r="P158" s="123" t="e">
        <f t="shared" si="2"/>
        <v>#N/A</v>
      </c>
      <c r="Q158" s="119" t="str">
        <f>VLOOKUP($B158,'Component List'!$A$2:$B$30,2,FALSE)</f>
        <v>SF3</v>
      </c>
      <c r="R158" s="77" t="e">
        <f>VLOOKUP($C158,'Component List'!C$2:D$28,2,FALSE)</f>
        <v>#N/A</v>
      </c>
      <c r="S158" s="77" t="str">
        <f>VLOOKUP($D158,'Component List'!E$2:F$30,2,FALSE)</f>
        <v>D</v>
      </c>
      <c r="T158" s="77">
        <f>VLOOKUP($E158,'Component List'!G$2:H$30,2,FALSE)</f>
        <v>102</v>
      </c>
      <c r="U158" s="77">
        <f>VLOOKUP($F158,'Component List'!I$2:J$30,2,FALSE)</f>
        <v>106</v>
      </c>
      <c r="V158" s="77">
        <f>VLOOKUP(G158,'Component List'!K$2:L$30,2,FALSE)</f>
        <v>101</v>
      </c>
      <c r="W158" s="77">
        <f>VLOOKUP(H158,'Component List'!M$2:N$31,2,FALSE)</f>
        <v>103</v>
      </c>
      <c r="X158" s="77">
        <f>VLOOKUP(I158,'Component List'!O$2:P$30,2,FALSE)</f>
        <v>100</v>
      </c>
      <c r="Y158" s="77" t="str">
        <f>VLOOKUP(J158,'Component List'!Q$2:R$30,2,FALSE)</f>
        <v>000</v>
      </c>
      <c r="Z158" s="77" t="e">
        <f>VLOOKUP(K158,'Component List'!S$2:T$30,2,FALSE)</f>
        <v>#N/A</v>
      </c>
      <c r="AA158" s="77" t="e">
        <f>VLOOKUP(L158,'Component List'!U$2:V$30,2,FALSE)</f>
        <v>#N/A</v>
      </c>
      <c r="AB158" s="77">
        <f>VLOOKUP(M158,'Component List'!AA$2:AB$30,2,FALSE)</f>
        <v>2</v>
      </c>
      <c r="AC158" s="77" t="str">
        <f>VLOOKUP(N158,'Component List'!Y$2:Z$30,2,FALSE)</f>
        <v>P</v>
      </c>
      <c r="AD158" s="159" t="e">
        <f>VLOOKUP(O158,'Component List'!W$3:X$30,2,FALSE)</f>
        <v>#N/A</v>
      </c>
      <c r="AG158" s="93"/>
    </row>
    <row r="159" spans="1:33" ht="30" customHeight="1" x14ac:dyDescent="0.3">
      <c r="A159" s="233"/>
      <c r="B159" s="107" t="s">
        <v>201</v>
      </c>
      <c r="C159" s="80" t="s">
        <v>178</v>
      </c>
      <c r="D159" s="80" t="s">
        <v>136</v>
      </c>
      <c r="E159" s="81" t="s">
        <v>137</v>
      </c>
      <c r="F159" s="80" t="s">
        <v>45</v>
      </c>
      <c r="G159" s="80" t="s">
        <v>183</v>
      </c>
      <c r="H159" s="80" t="s">
        <v>208</v>
      </c>
      <c r="I159" s="104" t="s">
        <v>198</v>
      </c>
      <c r="J159" s="117" t="s">
        <v>143</v>
      </c>
      <c r="K159" s="135" t="s">
        <v>366</v>
      </c>
      <c r="L159" s="135" t="s">
        <v>366</v>
      </c>
      <c r="M159" s="101">
        <v>2</v>
      </c>
      <c r="N159" s="82" t="s">
        <v>187</v>
      </c>
      <c r="O159" s="117" t="s">
        <v>367</v>
      </c>
      <c r="P159" s="123" t="e">
        <f t="shared" si="2"/>
        <v>#N/A</v>
      </c>
      <c r="Q159" s="119" t="str">
        <f>VLOOKUP($B159,'Component List'!$A$2:$B$30,2,FALSE)</f>
        <v>SF3</v>
      </c>
      <c r="R159" s="77" t="e">
        <f>VLOOKUP($C159,'Component List'!C$2:D$28,2,FALSE)</f>
        <v>#N/A</v>
      </c>
      <c r="S159" s="77" t="str">
        <f>VLOOKUP($D159,'Component List'!E$2:F$30,2,FALSE)</f>
        <v>D</v>
      </c>
      <c r="T159" s="77">
        <f>VLOOKUP($E159,'Component List'!G$2:H$30,2,FALSE)</f>
        <v>102</v>
      </c>
      <c r="U159" s="77">
        <f>VLOOKUP($F159,'Component List'!I$2:J$30,2,FALSE)</f>
        <v>106</v>
      </c>
      <c r="V159" s="77">
        <f>VLOOKUP(G159,'Component List'!K$2:L$30,2,FALSE)</f>
        <v>101</v>
      </c>
      <c r="W159" s="77">
        <f>VLOOKUP(H159,'Component List'!M$2:N$31,2,FALSE)</f>
        <v>103</v>
      </c>
      <c r="X159" s="77">
        <f>VLOOKUP(I159,'Component List'!O$2:P$30,2,FALSE)</f>
        <v>100</v>
      </c>
      <c r="Y159" s="77" t="str">
        <f>VLOOKUP(J159,'Component List'!Q$2:R$30,2,FALSE)</f>
        <v>000</v>
      </c>
      <c r="Z159" s="77" t="e">
        <f>VLOOKUP(K159,'Component List'!S$2:T$30,2,FALSE)</f>
        <v>#N/A</v>
      </c>
      <c r="AA159" s="77" t="e">
        <f>VLOOKUP(L159,'Component List'!U$2:V$30,2,FALSE)</f>
        <v>#N/A</v>
      </c>
      <c r="AB159" s="77">
        <f>VLOOKUP(M159,'Component List'!AA$2:AB$30,2,FALSE)</f>
        <v>2</v>
      </c>
      <c r="AC159" s="77" t="str">
        <f>VLOOKUP(N159,'Component List'!Y$2:Z$30,2,FALSE)</f>
        <v>C</v>
      </c>
      <c r="AD159" s="159" t="e">
        <f>VLOOKUP(O159,'Component List'!W$3:X$30,2,FALSE)</f>
        <v>#N/A</v>
      </c>
      <c r="AG159" s="93"/>
    </row>
    <row r="160" spans="1:33" ht="30" customHeight="1" x14ac:dyDescent="0.3">
      <c r="A160" s="233"/>
      <c r="B160" s="107" t="s">
        <v>201</v>
      </c>
      <c r="C160" s="80" t="s">
        <v>178</v>
      </c>
      <c r="D160" s="80" t="s">
        <v>136</v>
      </c>
      <c r="E160" s="81" t="s">
        <v>137</v>
      </c>
      <c r="F160" s="80" t="s">
        <v>45</v>
      </c>
      <c r="G160" s="80" t="s">
        <v>183</v>
      </c>
      <c r="H160" s="80" t="s">
        <v>208</v>
      </c>
      <c r="I160" s="104" t="s">
        <v>198</v>
      </c>
      <c r="J160" s="117" t="s">
        <v>143</v>
      </c>
      <c r="K160" s="135" t="s">
        <v>366</v>
      </c>
      <c r="L160" s="135" t="s">
        <v>366</v>
      </c>
      <c r="M160" s="101">
        <v>3</v>
      </c>
      <c r="N160" s="82" t="s">
        <v>175</v>
      </c>
      <c r="O160" s="117" t="s">
        <v>367</v>
      </c>
      <c r="P160" s="123" t="e">
        <f t="shared" si="2"/>
        <v>#N/A</v>
      </c>
      <c r="Q160" s="119" t="str">
        <f>VLOOKUP($B160,'Component List'!$A$2:$B$30,2,FALSE)</f>
        <v>SF3</v>
      </c>
      <c r="R160" s="77" t="e">
        <f>VLOOKUP($C160,'Component List'!C$2:D$28,2,FALSE)</f>
        <v>#N/A</v>
      </c>
      <c r="S160" s="77" t="str">
        <f>VLOOKUP($D160,'Component List'!E$2:F$30,2,FALSE)</f>
        <v>D</v>
      </c>
      <c r="T160" s="77">
        <f>VLOOKUP($E160,'Component List'!G$2:H$30,2,FALSE)</f>
        <v>102</v>
      </c>
      <c r="U160" s="77">
        <f>VLOOKUP($F160,'Component List'!I$2:J$30,2,FALSE)</f>
        <v>106</v>
      </c>
      <c r="V160" s="77">
        <f>VLOOKUP(G160,'Component List'!K$2:L$30,2,FALSE)</f>
        <v>101</v>
      </c>
      <c r="W160" s="77">
        <f>VLOOKUP(H160,'Component List'!M$2:N$31,2,FALSE)</f>
        <v>103</v>
      </c>
      <c r="X160" s="77">
        <f>VLOOKUP(I160,'Component List'!O$2:P$30,2,FALSE)</f>
        <v>100</v>
      </c>
      <c r="Y160" s="77" t="str">
        <f>VLOOKUP(J160,'Component List'!Q$2:R$30,2,FALSE)</f>
        <v>000</v>
      </c>
      <c r="Z160" s="77" t="e">
        <f>VLOOKUP(K160,'Component List'!S$2:T$30,2,FALSE)</f>
        <v>#N/A</v>
      </c>
      <c r="AA160" s="77" t="e">
        <f>VLOOKUP(L160,'Component List'!U$2:V$30,2,FALSE)</f>
        <v>#N/A</v>
      </c>
      <c r="AB160" s="77">
        <f>VLOOKUP(M160,'Component List'!AA$2:AB$30,2,FALSE)</f>
        <v>3</v>
      </c>
      <c r="AC160" s="77" t="str">
        <f>VLOOKUP(N160,'Component List'!Y$2:Z$30,2,FALSE)</f>
        <v>P</v>
      </c>
      <c r="AD160" s="159" t="e">
        <f>VLOOKUP(O160,'Component List'!W$3:X$30,2,FALSE)</f>
        <v>#N/A</v>
      </c>
      <c r="AG160" s="93"/>
    </row>
    <row r="161" spans="1:33" ht="30" customHeight="1" x14ac:dyDescent="0.3">
      <c r="A161" s="233"/>
      <c r="B161" s="107" t="s">
        <v>201</v>
      </c>
      <c r="C161" s="80" t="s">
        <v>178</v>
      </c>
      <c r="D161" s="80" t="s">
        <v>136</v>
      </c>
      <c r="E161" s="81" t="s">
        <v>137</v>
      </c>
      <c r="F161" s="80" t="s">
        <v>45</v>
      </c>
      <c r="G161" s="80" t="s">
        <v>183</v>
      </c>
      <c r="H161" s="80" t="s">
        <v>208</v>
      </c>
      <c r="I161" s="104" t="s">
        <v>198</v>
      </c>
      <c r="J161" s="117" t="s">
        <v>143</v>
      </c>
      <c r="K161" s="135" t="s">
        <v>366</v>
      </c>
      <c r="L161" s="135" t="s">
        <v>366</v>
      </c>
      <c r="M161" s="101">
        <v>3</v>
      </c>
      <c r="N161" s="82" t="s">
        <v>187</v>
      </c>
      <c r="O161" s="117" t="s">
        <v>367</v>
      </c>
      <c r="P161" s="123" t="e">
        <f t="shared" si="2"/>
        <v>#N/A</v>
      </c>
      <c r="Q161" s="119" t="str">
        <f>VLOOKUP($B161,'Component List'!$A$2:$B$30,2,FALSE)</f>
        <v>SF3</v>
      </c>
      <c r="R161" s="77" t="e">
        <f>VLOOKUP($C161,'Component List'!C$2:D$28,2,FALSE)</f>
        <v>#N/A</v>
      </c>
      <c r="S161" s="77" t="str">
        <f>VLOOKUP($D161,'Component List'!E$2:F$30,2,FALSE)</f>
        <v>D</v>
      </c>
      <c r="T161" s="77">
        <f>VLOOKUP($E161,'Component List'!G$2:H$30,2,FALSE)</f>
        <v>102</v>
      </c>
      <c r="U161" s="77">
        <f>VLOOKUP($F161,'Component List'!I$2:J$30,2,FALSE)</f>
        <v>106</v>
      </c>
      <c r="V161" s="77">
        <f>VLOOKUP(G161,'Component List'!K$2:L$30,2,FALSE)</f>
        <v>101</v>
      </c>
      <c r="W161" s="77">
        <f>VLOOKUP(H161,'Component List'!M$2:N$31,2,FALSE)</f>
        <v>103</v>
      </c>
      <c r="X161" s="77">
        <f>VLOOKUP(I161,'Component List'!O$2:P$30,2,FALSE)</f>
        <v>100</v>
      </c>
      <c r="Y161" s="77" t="str">
        <f>VLOOKUP(J161,'Component List'!Q$2:R$30,2,FALSE)</f>
        <v>000</v>
      </c>
      <c r="Z161" s="77" t="e">
        <f>VLOOKUP(K161,'Component List'!S$2:T$30,2,FALSE)</f>
        <v>#N/A</v>
      </c>
      <c r="AA161" s="77" t="e">
        <f>VLOOKUP(L161,'Component List'!U$2:V$30,2,FALSE)</f>
        <v>#N/A</v>
      </c>
      <c r="AB161" s="77">
        <f>VLOOKUP(M161,'Component List'!AA$2:AB$30,2,FALSE)</f>
        <v>3</v>
      </c>
      <c r="AC161" s="77" t="str">
        <f>VLOOKUP(N161,'Component List'!Y$2:Z$30,2,FALSE)</f>
        <v>C</v>
      </c>
      <c r="AD161" s="159" t="e">
        <f>VLOOKUP(O161,'Component List'!W$3:X$30,2,FALSE)</f>
        <v>#N/A</v>
      </c>
      <c r="AG161" s="93"/>
    </row>
    <row r="162" spans="1:33" ht="30" customHeight="1" x14ac:dyDescent="0.3">
      <c r="A162" s="233"/>
      <c r="B162" s="107" t="s">
        <v>201</v>
      </c>
      <c r="C162" s="80" t="s">
        <v>178</v>
      </c>
      <c r="D162" s="80" t="s">
        <v>136</v>
      </c>
      <c r="E162" s="81" t="s">
        <v>182</v>
      </c>
      <c r="F162" s="80" t="s">
        <v>47</v>
      </c>
      <c r="G162" s="80" t="s">
        <v>183</v>
      </c>
      <c r="H162" s="80" t="s">
        <v>138</v>
      </c>
      <c r="I162" s="104" t="s">
        <v>198</v>
      </c>
      <c r="J162" s="117" t="s">
        <v>143</v>
      </c>
      <c r="K162" s="135" t="s">
        <v>366</v>
      </c>
      <c r="L162" s="135" t="s">
        <v>366</v>
      </c>
      <c r="M162" s="101">
        <v>1</v>
      </c>
      <c r="N162" s="82" t="s">
        <v>175</v>
      </c>
      <c r="O162" s="117" t="s">
        <v>367</v>
      </c>
      <c r="P162" s="123" t="e">
        <f t="shared" si="2"/>
        <v>#N/A</v>
      </c>
      <c r="Q162" s="119" t="str">
        <f>VLOOKUP($B162,'Component List'!$A$2:$B$30,2,FALSE)</f>
        <v>SF3</v>
      </c>
      <c r="R162" s="77" t="e">
        <f>VLOOKUP($C162,'Component List'!C$2:D$28,2,FALSE)</f>
        <v>#N/A</v>
      </c>
      <c r="S162" s="77" t="str">
        <f>VLOOKUP($D162,'Component List'!E$2:F$30,2,FALSE)</f>
        <v>D</v>
      </c>
      <c r="T162" s="77">
        <f>VLOOKUP($E162,'Component List'!G$2:H$30,2,FALSE)</f>
        <v>101</v>
      </c>
      <c r="U162" s="77">
        <f>VLOOKUP($F162,'Component List'!I$2:J$30,2,FALSE)</f>
        <v>104</v>
      </c>
      <c r="V162" s="77">
        <f>VLOOKUP(G162,'Component List'!K$2:L$30,2,FALSE)</f>
        <v>101</v>
      </c>
      <c r="W162" s="77">
        <f>VLOOKUP(H162,'Component List'!M$2:N$31,2,FALSE)</f>
        <v>100</v>
      </c>
      <c r="X162" s="77">
        <f>VLOOKUP(I162,'Component List'!O$2:P$30,2,FALSE)</f>
        <v>100</v>
      </c>
      <c r="Y162" s="77" t="str">
        <f>VLOOKUP(J162,'Component List'!Q$2:R$30,2,FALSE)</f>
        <v>000</v>
      </c>
      <c r="Z162" s="77" t="e">
        <f>VLOOKUP(K162,'Component List'!S$2:T$30,2,FALSE)</f>
        <v>#N/A</v>
      </c>
      <c r="AA162" s="77" t="e">
        <f>VLOOKUP(L162,'Component List'!U$2:V$30,2,FALSE)</f>
        <v>#N/A</v>
      </c>
      <c r="AB162" s="77">
        <f>VLOOKUP(M162,'Component List'!AA$2:AB$30,2,FALSE)</f>
        <v>1</v>
      </c>
      <c r="AC162" s="77" t="str">
        <f>VLOOKUP(N162,'Component List'!Y$2:Z$30,2,FALSE)</f>
        <v>P</v>
      </c>
      <c r="AD162" s="159" t="e">
        <f>VLOOKUP(O162,'Component List'!W$3:X$30,2,FALSE)</f>
        <v>#N/A</v>
      </c>
      <c r="AG162" s="93"/>
    </row>
    <row r="163" spans="1:33" ht="30" customHeight="1" x14ac:dyDescent="0.3">
      <c r="A163" s="233"/>
      <c r="B163" s="107" t="s">
        <v>201</v>
      </c>
      <c r="C163" s="80" t="s">
        <v>178</v>
      </c>
      <c r="D163" s="80" t="s">
        <v>136</v>
      </c>
      <c r="E163" s="81" t="s">
        <v>182</v>
      </c>
      <c r="F163" s="80" t="s">
        <v>47</v>
      </c>
      <c r="G163" s="80" t="s">
        <v>183</v>
      </c>
      <c r="H163" s="80" t="s">
        <v>138</v>
      </c>
      <c r="I163" s="104" t="s">
        <v>198</v>
      </c>
      <c r="J163" s="117" t="s">
        <v>143</v>
      </c>
      <c r="K163" s="135" t="s">
        <v>366</v>
      </c>
      <c r="L163" s="135" t="s">
        <v>366</v>
      </c>
      <c r="M163" s="101">
        <v>1</v>
      </c>
      <c r="N163" s="82" t="s">
        <v>187</v>
      </c>
      <c r="O163" s="117" t="s">
        <v>367</v>
      </c>
      <c r="P163" s="123" t="e">
        <f t="shared" si="2"/>
        <v>#N/A</v>
      </c>
      <c r="Q163" s="119" t="str">
        <f>VLOOKUP($B163,'Component List'!$A$2:$B$30,2,FALSE)</f>
        <v>SF3</v>
      </c>
      <c r="R163" s="77" t="e">
        <f>VLOOKUP($C163,'Component List'!C$2:D$28,2,FALSE)</f>
        <v>#N/A</v>
      </c>
      <c r="S163" s="77" t="str">
        <f>VLOOKUP($D163,'Component List'!E$2:F$30,2,FALSE)</f>
        <v>D</v>
      </c>
      <c r="T163" s="77">
        <f>VLOOKUP($E163,'Component List'!G$2:H$30,2,FALSE)</f>
        <v>101</v>
      </c>
      <c r="U163" s="77">
        <f>VLOOKUP($F163,'Component List'!I$2:J$30,2,FALSE)</f>
        <v>104</v>
      </c>
      <c r="V163" s="77">
        <f>VLOOKUP(G163,'Component List'!K$2:L$30,2,FALSE)</f>
        <v>101</v>
      </c>
      <c r="W163" s="77">
        <f>VLOOKUP(H163,'Component List'!M$2:N$31,2,FALSE)</f>
        <v>100</v>
      </c>
      <c r="X163" s="77">
        <f>VLOOKUP(I163,'Component List'!O$2:P$30,2,FALSE)</f>
        <v>100</v>
      </c>
      <c r="Y163" s="77" t="str">
        <f>VLOOKUP(J163,'Component List'!Q$2:R$30,2,FALSE)</f>
        <v>000</v>
      </c>
      <c r="Z163" s="77" t="e">
        <f>VLOOKUP(K163,'Component List'!S$2:T$30,2,FALSE)</f>
        <v>#N/A</v>
      </c>
      <c r="AA163" s="77" t="e">
        <f>VLOOKUP(L163,'Component List'!U$2:V$30,2,FALSE)</f>
        <v>#N/A</v>
      </c>
      <c r="AB163" s="77">
        <f>VLOOKUP(M163,'Component List'!AA$2:AB$30,2,FALSE)</f>
        <v>1</v>
      </c>
      <c r="AC163" s="77" t="str">
        <f>VLOOKUP(N163,'Component List'!Y$2:Z$30,2,FALSE)</f>
        <v>C</v>
      </c>
      <c r="AD163" s="159" t="e">
        <f>VLOOKUP(O163,'Component List'!W$3:X$30,2,FALSE)</f>
        <v>#N/A</v>
      </c>
      <c r="AG163" s="93"/>
    </row>
    <row r="164" spans="1:33" ht="30" customHeight="1" x14ac:dyDescent="0.3">
      <c r="A164" s="233"/>
      <c r="B164" s="107" t="s">
        <v>201</v>
      </c>
      <c r="C164" s="80" t="s">
        <v>178</v>
      </c>
      <c r="D164" s="80" t="s">
        <v>136</v>
      </c>
      <c r="E164" s="81" t="s">
        <v>182</v>
      </c>
      <c r="F164" s="80" t="s">
        <v>47</v>
      </c>
      <c r="G164" s="80" t="s">
        <v>183</v>
      </c>
      <c r="H164" s="80" t="s">
        <v>138</v>
      </c>
      <c r="I164" s="104" t="s">
        <v>198</v>
      </c>
      <c r="J164" s="117" t="s">
        <v>143</v>
      </c>
      <c r="K164" s="135" t="s">
        <v>366</v>
      </c>
      <c r="L164" s="135" t="s">
        <v>366</v>
      </c>
      <c r="M164" s="101">
        <v>2</v>
      </c>
      <c r="N164" s="82" t="s">
        <v>175</v>
      </c>
      <c r="O164" s="117" t="s">
        <v>367</v>
      </c>
      <c r="P164" s="123" t="e">
        <f t="shared" si="2"/>
        <v>#N/A</v>
      </c>
      <c r="Q164" s="119" t="str">
        <f>VLOOKUP($B164,'Component List'!$A$2:$B$30,2,FALSE)</f>
        <v>SF3</v>
      </c>
      <c r="R164" s="77" t="e">
        <f>VLOOKUP($C164,'Component List'!C$2:D$28,2,FALSE)</f>
        <v>#N/A</v>
      </c>
      <c r="S164" s="77" t="str">
        <f>VLOOKUP($D164,'Component List'!E$2:F$30,2,FALSE)</f>
        <v>D</v>
      </c>
      <c r="T164" s="77">
        <f>VLOOKUP($E164,'Component List'!G$2:H$30,2,FALSE)</f>
        <v>101</v>
      </c>
      <c r="U164" s="77">
        <f>VLOOKUP($F164,'Component List'!I$2:J$30,2,FALSE)</f>
        <v>104</v>
      </c>
      <c r="V164" s="77">
        <f>VLOOKUP(G164,'Component List'!K$2:L$30,2,FALSE)</f>
        <v>101</v>
      </c>
      <c r="W164" s="77">
        <f>VLOOKUP(H164,'Component List'!M$2:N$31,2,FALSE)</f>
        <v>100</v>
      </c>
      <c r="X164" s="77">
        <f>VLOOKUP(I164,'Component List'!O$2:P$30,2,FALSE)</f>
        <v>100</v>
      </c>
      <c r="Y164" s="77" t="str">
        <f>VLOOKUP(J164,'Component List'!Q$2:R$30,2,FALSE)</f>
        <v>000</v>
      </c>
      <c r="Z164" s="77" t="e">
        <f>VLOOKUP(K164,'Component List'!S$2:T$30,2,FALSE)</f>
        <v>#N/A</v>
      </c>
      <c r="AA164" s="77" t="e">
        <f>VLOOKUP(L164,'Component List'!U$2:V$30,2,FALSE)</f>
        <v>#N/A</v>
      </c>
      <c r="AB164" s="77">
        <f>VLOOKUP(M164,'Component List'!AA$2:AB$30,2,FALSE)</f>
        <v>2</v>
      </c>
      <c r="AC164" s="77" t="str">
        <f>VLOOKUP(N164,'Component List'!Y$2:Z$30,2,FALSE)</f>
        <v>P</v>
      </c>
      <c r="AD164" s="159" t="e">
        <f>VLOOKUP(O164,'Component List'!W$3:X$30,2,FALSE)</f>
        <v>#N/A</v>
      </c>
      <c r="AG164" s="93"/>
    </row>
    <row r="165" spans="1:33" ht="30" customHeight="1" x14ac:dyDescent="0.3">
      <c r="A165" s="233"/>
      <c r="B165" s="107" t="s">
        <v>201</v>
      </c>
      <c r="C165" s="80" t="s">
        <v>178</v>
      </c>
      <c r="D165" s="80" t="s">
        <v>136</v>
      </c>
      <c r="E165" s="81" t="s">
        <v>182</v>
      </c>
      <c r="F165" s="80" t="s">
        <v>47</v>
      </c>
      <c r="G165" s="80" t="s">
        <v>183</v>
      </c>
      <c r="H165" s="80" t="s">
        <v>138</v>
      </c>
      <c r="I165" s="104" t="s">
        <v>198</v>
      </c>
      <c r="J165" s="117" t="s">
        <v>143</v>
      </c>
      <c r="K165" s="135" t="s">
        <v>366</v>
      </c>
      <c r="L165" s="135" t="s">
        <v>366</v>
      </c>
      <c r="M165" s="101">
        <v>2</v>
      </c>
      <c r="N165" s="82" t="s">
        <v>187</v>
      </c>
      <c r="O165" s="117" t="s">
        <v>367</v>
      </c>
      <c r="P165" s="123" t="e">
        <f t="shared" si="2"/>
        <v>#N/A</v>
      </c>
      <c r="Q165" s="119" t="str">
        <f>VLOOKUP($B165,'Component List'!$A$2:$B$30,2,FALSE)</f>
        <v>SF3</v>
      </c>
      <c r="R165" s="77" t="e">
        <f>VLOOKUP($C165,'Component List'!C$2:D$28,2,FALSE)</f>
        <v>#N/A</v>
      </c>
      <c r="S165" s="77" t="str">
        <f>VLOOKUP($D165,'Component List'!E$2:F$30,2,FALSE)</f>
        <v>D</v>
      </c>
      <c r="T165" s="77">
        <f>VLOOKUP($E165,'Component List'!G$2:H$30,2,FALSE)</f>
        <v>101</v>
      </c>
      <c r="U165" s="77">
        <f>VLOOKUP($F165,'Component List'!I$2:J$30,2,FALSE)</f>
        <v>104</v>
      </c>
      <c r="V165" s="77">
        <f>VLOOKUP(G165,'Component List'!K$2:L$30,2,FALSE)</f>
        <v>101</v>
      </c>
      <c r="W165" s="77">
        <f>VLOOKUP(H165,'Component List'!M$2:N$31,2,FALSE)</f>
        <v>100</v>
      </c>
      <c r="X165" s="77">
        <f>VLOOKUP(I165,'Component List'!O$2:P$30,2,FALSE)</f>
        <v>100</v>
      </c>
      <c r="Y165" s="77" t="str">
        <f>VLOOKUP(J165,'Component List'!Q$2:R$30,2,FALSE)</f>
        <v>000</v>
      </c>
      <c r="Z165" s="77" t="e">
        <f>VLOOKUP(K165,'Component List'!S$2:T$30,2,FALSE)</f>
        <v>#N/A</v>
      </c>
      <c r="AA165" s="77" t="e">
        <f>VLOOKUP(L165,'Component List'!U$2:V$30,2,FALSE)</f>
        <v>#N/A</v>
      </c>
      <c r="AB165" s="77">
        <f>VLOOKUP(M165,'Component List'!AA$2:AB$30,2,FALSE)</f>
        <v>2</v>
      </c>
      <c r="AC165" s="77" t="str">
        <f>VLOOKUP(N165,'Component List'!Y$2:Z$30,2,FALSE)</f>
        <v>C</v>
      </c>
      <c r="AD165" s="159" t="e">
        <f>VLOOKUP(O165,'Component List'!W$3:X$30,2,FALSE)</f>
        <v>#N/A</v>
      </c>
      <c r="AG165" s="93"/>
    </row>
    <row r="166" spans="1:33" ht="30" customHeight="1" x14ac:dyDescent="0.3">
      <c r="A166" s="233"/>
      <c r="B166" s="107" t="s">
        <v>201</v>
      </c>
      <c r="C166" s="80" t="s">
        <v>178</v>
      </c>
      <c r="D166" s="80" t="s">
        <v>136</v>
      </c>
      <c r="E166" s="81" t="s">
        <v>182</v>
      </c>
      <c r="F166" s="80" t="s">
        <v>47</v>
      </c>
      <c r="G166" s="80" t="s">
        <v>183</v>
      </c>
      <c r="H166" s="80" t="s">
        <v>138</v>
      </c>
      <c r="I166" s="104" t="s">
        <v>198</v>
      </c>
      <c r="J166" s="117" t="s">
        <v>143</v>
      </c>
      <c r="K166" s="135" t="s">
        <v>366</v>
      </c>
      <c r="L166" s="135" t="s">
        <v>366</v>
      </c>
      <c r="M166" s="101">
        <v>3</v>
      </c>
      <c r="N166" s="82" t="s">
        <v>175</v>
      </c>
      <c r="O166" s="117" t="s">
        <v>367</v>
      </c>
      <c r="P166" s="123" t="e">
        <f t="shared" si="2"/>
        <v>#N/A</v>
      </c>
      <c r="Q166" s="119" t="str">
        <f>VLOOKUP($B166,'Component List'!$A$2:$B$30,2,FALSE)</f>
        <v>SF3</v>
      </c>
      <c r="R166" s="77" t="e">
        <f>VLOOKUP($C166,'Component List'!C$2:D$28,2,FALSE)</f>
        <v>#N/A</v>
      </c>
      <c r="S166" s="77" t="str">
        <f>VLOOKUP($D166,'Component List'!E$2:F$30,2,FALSE)</f>
        <v>D</v>
      </c>
      <c r="T166" s="77">
        <f>VLOOKUP($E166,'Component List'!G$2:H$30,2,FALSE)</f>
        <v>101</v>
      </c>
      <c r="U166" s="77">
        <f>VLOOKUP($F166,'Component List'!I$2:J$30,2,FALSE)</f>
        <v>104</v>
      </c>
      <c r="V166" s="77">
        <f>VLOOKUP(G166,'Component List'!K$2:L$30,2,FALSE)</f>
        <v>101</v>
      </c>
      <c r="W166" s="77">
        <f>VLOOKUP(H166,'Component List'!M$2:N$31,2,FALSE)</f>
        <v>100</v>
      </c>
      <c r="X166" s="77">
        <f>VLOOKUP(I166,'Component List'!O$2:P$30,2,FALSE)</f>
        <v>100</v>
      </c>
      <c r="Y166" s="77" t="str">
        <f>VLOOKUP(J166,'Component List'!Q$2:R$30,2,FALSE)</f>
        <v>000</v>
      </c>
      <c r="Z166" s="77" t="e">
        <f>VLOOKUP(K166,'Component List'!S$2:T$30,2,FALSE)</f>
        <v>#N/A</v>
      </c>
      <c r="AA166" s="77" t="e">
        <f>VLOOKUP(L166,'Component List'!U$2:V$30,2,FALSE)</f>
        <v>#N/A</v>
      </c>
      <c r="AB166" s="77">
        <f>VLOOKUP(M166,'Component List'!AA$2:AB$30,2,FALSE)</f>
        <v>3</v>
      </c>
      <c r="AC166" s="77" t="str">
        <f>VLOOKUP(N166,'Component List'!Y$2:Z$30,2,FALSE)</f>
        <v>P</v>
      </c>
      <c r="AD166" s="159" t="e">
        <f>VLOOKUP(O166,'Component List'!W$3:X$30,2,FALSE)</f>
        <v>#N/A</v>
      </c>
      <c r="AG166" s="93"/>
    </row>
    <row r="167" spans="1:33" ht="30" customHeight="1" x14ac:dyDescent="0.3">
      <c r="A167" s="233"/>
      <c r="B167" s="107" t="s">
        <v>201</v>
      </c>
      <c r="C167" s="80" t="s">
        <v>178</v>
      </c>
      <c r="D167" s="80" t="s">
        <v>136</v>
      </c>
      <c r="E167" s="81" t="s">
        <v>182</v>
      </c>
      <c r="F167" s="80" t="s">
        <v>47</v>
      </c>
      <c r="G167" s="80" t="s">
        <v>183</v>
      </c>
      <c r="H167" s="80" t="s">
        <v>138</v>
      </c>
      <c r="I167" s="104" t="s">
        <v>198</v>
      </c>
      <c r="J167" s="117" t="s">
        <v>143</v>
      </c>
      <c r="K167" s="135" t="s">
        <v>366</v>
      </c>
      <c r="L167" s="135" t="s">
        <v>366</v>
      </c>
      <c r="M167" s="101">
        <v>3</v>
      </c>
      <c r="N167" s="82" t="s">
        <v>187</v>
      </c>
      <c r="O167" s="117" t="s">
        <v>367</v>
      </c>
      <c r="P167" s="123" t="e">
        <f t="shared" si="2"/>
        <v>#N/A</v>
      </c>
      <c r="Q167" s="119" t="str">
        <f>VLOOKUP($B167,'Component List'!$A$2:$B$30,2,FALSE)</f>
        <v>SF3</v>
      </c>
      <c r="R167" s="77" t="e">
        <f>VLOOKUP($C167,'Component List'!C$2:D$28,2,FALSE)</f>
        <v>#N/A</v>
      </c>
      <c r="S167" s="77" t="str">
        <f>VLOOKUP($D167,'Component List'!E$2:F$30,2,FALSE)</f>
        <v>D</v>
      </c>
      <c r="T167" s="77">
        <f>VLOOKUP($E167,'Component List'!G$2:H$30,2,FALSE)</f>
        <v>101</v>
      </c>
      <c r="U167" s="77">
        <f>VLOOKUP($F167,'Component List'!I$2:J$30,2,FALSE)</f>
        <v>104</v>
      </c>
      <c r="V167" s="77">
        <f>VLOOKUP(G167,'Component List'!K$2:L$30,2,FALSE)</f>
        <v>101</v>
      </c>
      <c r="W167" s="77">
        <f>VLOOKUP(H167,'Component List'!M$2:N$31,2,FALSE)</f>
        <v>100</v>
      </c>
      <c r="X167" s="77">
        <f>VLOOKUP(I167,'Component List'!O$2:P$30,2,FALSE)</f>
        <v>100</v>
      </c>
      <c r="Y167" s="77" t="str">
        <f>VLOOKUP(J167,'Component List'!Q$2:R$30,2,FALSE)</f>
        <v>000</v>
      </c>
      <c r="Z167" s="77" t="e">
        <f>VLOOKUP(K167,'Component List'!S$2:T$30,2,FALSE)</f>
        <v>#N/A</v>
      </c>
      <c r="AA167" s="77" t="e">
        <f>VLOOKUP(L167,'Component List'!U$2:V$30,2,FALSE)</f>
        <v>#N/A</v>
      </c>
      <c r="AB167" s="77">
        <f>VLOOKUP(M167,'Component List'!AA$2:AB$30,2,FALSE)</f>
        <v>3</v>
      </c>
      <c r="AC167" s="77" t="str">
        <f>VLOOKUP(N167,'Component List'!Y$2:Z$30,2,FALSE)</f>
        <v>C</v>
      </c>
      <c r="AD167" s="159" t="e">
        <f>VLOOKUP(O167,'Component List'!W$3:X$30,2,FALSE)</f>
        <v>#N/A</v>
      </c>
      <c r="AG167" s="93"/>
    </row>
    <row r="168" spans="1:33" ht="30" customHeight="1" x14ac:dyDescent="0.3">
      <c r="A168" s="233"/>
      <c r="B168" s="107" t="s">
        <v>189</v>
      </c>
      <c r="C168" s="82" t="s">
        <v>21</v>
      </c>
      <c r="D168" s="80" t="s">
        <v>136</v>
      </c>
      <c r="E168" s="81" t="s">
        <v>182</v>
      </c>
      <c r="F168" s="80" t="s">
        <v>207</v>
      </c>
      <c r="G168" s="80" t="s">
        <v>183</v>
      </c>
      <c r="H168" s="80" t="s">
        <v>184</v>
      </c>
      <c r="I168" s="104" t="s">
        <v>198</v>
      </c>
      <c r="J168" s="85" t="s">
        <v>219</v>
      </c>
      <c r="K168" s="135" t="s">
        <v>366</v>
      </c>
      <c r="L168" s="135" t="s">
        <v>366</v>
      </c>
      <c r="M168" s="101">
        <v>1</v>
      </c>
      <c r="N168" s="82" t="s">
        <v>175</v>
      </c>
      <c r="O168" s="117" t="s">
        <v>367</v>
      </c>
      <c r="P168" s="123" t="e">
        <f t="shared" si="2"/>
        <v>#N/A</v>
      </c>
      <c r="Q168" s="119" t="str">
        <f>VLOOKUP($B168,'Component List'!$A$2:$B$30,2,FALSE)</f>
        <v>SF2</v>
      </c>
      <c r="R168" s="77" t="str">
        <f>VLOOKUP($C168,'Component List'!C$2:D$28,2,FALSE)</f>
        <v>C00</v>
      </c>
      <c r="S168" s="77" t="str">
        <f>VLOOKUP($D168,'Component List'!E$2:F$30,2,FALSE)</f>
        <v>D</v>
      </c>
      <c r="T168" s="77">
        <f>VLOOKUP($E168,'Component List'!G$2:H$30,2,FALSE)</f>
        <v>101</v>
      </c>
      <c r="U168" s="77">
        <f>VLOOKUP($F168,'Component List'!I$2:J$30,2,FALSE)</f>
        <v>103</v>
      </c>
      <c r="V168" s="77">
        <f>VLOOKUP(G168,'Component List'!K$2:L$30,2,FALSE)</f>
        <v>101</v>
      </c>
      <c r="W168" s="77">
        <f>VLOOKUP(H168,'Component List'!M$2:N$31,2,FALSE)</f>
        <v>101</v>
      </c>
      <c r="X168" s="77">
        <f>VLOOKUP(I168,'Component List'!O$2:P$30,2,FALSE)</f>
        <v>100</v>
      </c>
      <c r="Y168" s="77">
        <f>VLOOKUP(J168,'Component List'!Q$2:R$30,2,FALSE)</f>
        <v>101</v>
      </c>
      <c r="Z168" s="77" t="e">
        <f>VLOOKUP(K168,'Component List'!S$2:T$30,2,FALSE)</f>
        <v>#N/A</v>
      </c>
      <c r="AA168" s="77" t="e">
        <f>VLOOKUP(L168,'Component List'!U$2:V$30,2,FALSE)</f>
        <v>#N/A</v>
      </c>
      <c r="AB168" s="77">
        <f>VLOOKUP(M168,'Component List'!AA$2:AB$30,2,FALSE)</f>
        <v>1</v>
      </c>
      <c r="AC168" s="77" t="str">
        <f>VLOOKUP(N168,'Component List'!Y$2:Z$30,2,FALSE)</f>
        <v>P</v>
      </c>
      <c r="AD168" s="159" t="e">
        <f>VLOOKUP(O168,'Component List'!W$3:X$30,2,FALSE)</f>
        <v>#N/A</v>
      </c>
      <c r="AG168" s="93"/>
    </row>
    <row r="169" spans="1:33" ht="30" customHeight="1" x14ac:dyDescent="0.3">
      <c r="A169" s="233"/>
      <c r="B169" s="107" t="s">
        <v>189</v>
      </c>
      <c r="C169" s="82" t="s">
        <v>21</v>
      </c>
      <c r="D169" s="80" t="s">
        <v>136</v>
      </c>
      <c r="E169" s="81" t="s">
        <v>182</v>
      </c>
      <c r="F169" s="80" t="s">
        <v>207</v>
      </c>
      <c r="G169" s="80" t="s">
        <v>183</v>
      </c>
      <c r="H169" s="80" t="s">
        <v>184</v>
      </c>
      <c r="I169" s="104" t="s">
        <v>198</v>
      </c>
      <c r="J169" s="85" t="s">
        <v>219</v>
      </c>
      <c r="K169" s="135" t="s">
        <v>366</v>
      </c>
      <c r="L169" s="135" t="s">
        <v>366</v>
      </c>
      <c r="M169" s="101">
        <v>1</v>
      </c>
      <c r="N169" s="82" t="s">
        <v>187</v>
      </c>
      <c r="O169" s="117" t="s">
        <v>367</v>
      </c>
      <c r="P169" s="123" t="e">
        <f t="shared" si="2"/>
        <v>#N/A</v>
      </c>
      <c r="Q169" s="119" t="str">
        <f>VLOOKUP($B169,'Component List'!$A$2:$B$30,2,FALSE)</f>
        <v>SF2</v>
      </c>
      <c r="R169" s="77" t="str">
        <f>VLOOKUP($C169,'Component List'!C$2:D$28,2,FALSE)</f>
        <v>C00</v>
      </c>
      <c r="S169" s="77" t="str">
        <f>VLOOKUP($D169,'Component List'!E$2:F$30,2,FALSE)</f>
        <v>D</v>
      </c>
      <c r="T169" s="77">
        <f>VLOOKUP($E169,'Component List'!G$2:H$30,2,FALSE)</f>
        <v>101</v>
      </c>
      <c r="U169" s="77">
        <f>VLOOKUP($F169,'Component List'!I$2:J$30,2,FALSE)</f>
        <v>103</v>
      </c>
      <c r="V169" s="77">
        <f>VLOOKUP(G169,'Component List'!K$2:L$30,2,FALSE)</f>
        <v>101</v>
      </c>
      <c r="W169" s="77">
        <f>VLOOKUP(H169,'Component List'!M$2:N$31,2,FALSE)</f>
        <v>101</v>
      </c>
      <c r="X169" s="77">
        <f>VLOOKUP(I169,'Component List'!O$2:P$30,2,FALSE)</f>
        <v>100</v>
      </c>
      <c r="Y169" s="77">
        <f>VLOOKUP(J169,'Component List'!Q$2:R$30,2,FALSE)</f>
        <v>101</v>
      </c>
      <c r="Z169" s="77" t="e">
        <f>VLOOKUP(K169,'Component List'!S$2:T$30,2,FALSE)</f>
        <v>#N/A</v>
      </c>
      <c r="AA169" s="77" t="e">
        <f>VLOOKUP(L169,'Component List'!U$2:V$30,2,FALSE)</f>
        <v>#N/A</v>
      </c>
      <c r="AB169" s="77">
        <f>VLOOKUP(M169,'Component List'!AA$2:AB$30,2,FALSE)</f>
        <v>1</v>
      </c>
      <c r="AC169" s="77" t="str">
        <f>VLOOKUP(N169,'Component List'!Y$2:Z$30,2,FALSE)</f>
        <v>C</v>
      </c>
      <c r="AD169" s="159" t="e">
        <f>VLOOKUP(O169,'Component List'!W$3:X$30,2,FALSE)</f>
        <v>#N/A</v>
      </c>
      <c r="AG169" s="93"/>
    </row>
    <row r="170" spans="1:33" ht="30" customHeight="1" x14ac:dyDescent="0.3">
      <c r="A170" s="233"/>
      <c r="B170" s="107" t="s">
        <v>189</v>
      </c>
      <c r="C170" s="82" t="s">
        <v>21</v>
      </c>
      <c r="D170" s="80" t="s">
        <v>136</v>
      </c>
      <c r="E170" s="81" t="s">
        <v>182</v>
      </c>
      <c r="F170" s="80" t="s">
        <v>207</v>
      </c>
      <c r="G170" s="80" t="s">
        <v>183</v>
      </c>
      <c r="H170" s="80" t="s">
        <v>184</v>
      </c>
      <c r="I170" s="104" t="s">
        <v>198</v>
      </c>
      <c r="J170" s="85" t="s">
        <v>219</v>
      </c>
      <c r="K170" s="135" t="s">
        <v>366</v>
      </c>
      <c r="L170" s="135" t="s">
        <v>366</v>
      </c>
      <c r="M170" s="101">
        <v>2</v>
      </c>
      <c r="N170" s="82" t="s">
        <v>175</v>
      </c>
      <c r="O170" s="117" t="s">
        <v>367</v>
      </c>
      <c r="P170" s="123" t="e">
        <f t="shared" si="2"/>
        <v>#N/A</v>
      </c>
      <c r="Q170" s="119" t="str">
        <f>VLOOKUP($B170,'Component List'!$A$2:$B$30,2,FALSE)</f>
        <v>SF2</v>
      </c>
      <c r="R170" s="77" t="str">
        <f>VLOOKUP($C170,'Component List'!C$2:D$28,2,FALSE)</f>
        <v>C00</v>
      </c>
      <c r="S170" s="77" t="str">
        <f>VLOOKUP($D170,'Component List'!E$2:F$30,2,FALSE)</f>
        <v>D</v>
      </c>
      <c r="T170" s="77">
        <f>VLOOKUP($E170,'Component List'!G$2:H$30,2,FALSE)</f>
        <v>101</v>
      </c>
      <c r="U170" s="77">
        <f>VLOOKUP($F170,'Component List'!I$2:J$30,2,FALSE)</f>
        <v>103</v>
      </c>
      <c r="V170" s="77">
        <f>VLOOKUP(G170,'Component List'!K$2:L$30,2,FALSE)</f>
        <v>101</v>
      </c>
      <c r="W170" s="77">
        <f>VLOOKUP(H170,'Component List'!M$2:N$31,2,FALSE)</f>
        <v>101</v>
      </c>
      <c r="X170" s="77">
        <f>VLOOKUP(I170,'Component List'!O$2:P$30,2,FALSE)</f>
        <v>100</v>
      </c>
      <c r="Y170" s="77">
        <f>VLOOKUP(J170,'Component List'!Q$2:R$30,2,FALSE)</f>
        <v>101</v>
      </c>
      <c r="Z170" s="77" t="e">
        <f>VLOOKUP(K170,'Component List'!S$2:T$30,2,FALSE)</f>
        <v>#N/A</v>
      </c>
      <c r="AA170" s="77" t="e">
        <f>VLOOKUP(L170,'Component List'!U$2:V$30,2,FALSE)</f>
        <v>#N/A</v>
      </c>
      <c r="AB170" s="77">
        <f>VLOOKUP(M170,'Component List'!AA$2:AB$30,2,FALSE)</f>
        <v>2</v>
      </c>
      <c r="AC170" s="77" t="str">
        <f>VLOOKUP(N170,'Component List'!Y$2:Z$30,2,FALSE)</f>
        <v>P</v>
      </c>
      <c r="AD170" s="159" t="e">
        <f>VLOOKUP(O170,'Component List'!W$3:X$30,2,FALSE)</f>
        <v>#N/A</v>
      </c>
      <c r="AG170" s="93"/>
    </row>
    <row r="171" spans="1:33" ht="30" customHeight="1" x14ac:dyDescent="0.3">
      <c r="A171" s="233"/>
      <c r="B171" s="107" t="s">
        <v>189</v>
      </c>
      <c r="C171" s="82" t="s">
        <v>21</v>
      </c>
      <c r="D171" s="80" t="s">
        <v>136</v>
      </c>
      <c r="E171" s="81" t="s">
        <v>182</v>
      </c>
      <c r="F171" s="80" t="s">
        <v>207</v>
      </c>
      <c r="G171" s="80" t="s">
        <v>183</v>
      </c>
      <c r="H171" s="80" t="s">
        <v>184</v>
      </c>
      <c r="I171" s="104" t="s">
        <v>198</v>
      </c>
      <c r="J171" s="85" t="s">
        <v>219</v>
      </c>
      <c r="K171" s="135" t="s">
        <v>366</v>
      </c>
      <c r="L171" s="135" t="s">
        <v>366</v>
      </c>
      <c r="M171" s="101">
        <v>2</v>
      </c>
      <c r="N171" s="82" t="s">
        <v>187</v>
      </c>
      <c r="O171" s="117" t="s">
        <v>367</v>
      </c>
      <c r="P171" s="123" t="e">
        <f t="shared" si="2"/>
        <v>#N/A</v>
      </c>
      <c r="Q171" s="119" t="str">
        <f>VLOOKUP($B171,'Component List'!$A$2:$B$30,2,FALSE)</f>
        <v>SF2</v>
      </c>
      <c r="R171" s="77" t="str">
        <f>VLOOKUP($C171,'Component List'!C$2:D$28,2,FALSE)</f>
        <v>C00</v>
      </c>
      <c r="S171" s="77" t="str">
        <f>VLOOKUP($D171,'Component List'!E$2:F$30,2,FALSE)</f>
        <v>D</v>
      </c>
      <c r="T171" s="77">
        <f>VLOOKUP($E171,'Component List'!G$2:H$30,2,FALSE)</f>
        <v>101</v>
      </c>
      <c r="U171" s="77">
        <f>VLOOKUP($F171,'Component List'!I$2:J$30,2,FALSE)</f>
        <v>103</v>
      </c>
      <c r="V171" s="77">
        <f>VLOOKUP(G171,'Component List'!K$2:L$30,2,FALSE)</f>
        <v>101</v>
      </c>
      <c r="W171" s="77">
        <f>VLOOKUP(H171,'Component List'!M$2:N$31,2,FALSE)</f>
        <v>101</v>
      </c>
      <c r="X171" s="77">
        <f>VLOOKUP(I171,'Component List'!O$2:P$30,2,FALSE)</f>
        <v>100</v>
      </c>
      <c r="Y171" s="77">
        <f>VLOOKUP(J171,'Component List'!Q$2:R$30,2,FALSE)</f>
        <v>101</v>
      </c>
      <c r="Z171" s="77" t="e">
        <f>VLOOKUP(K171,'Component List'!S$2:T$30,2,FALSE)</f>
        <v>#N/A</v>
      </c>
      <c r="AA171" s="77" t="e">
        <f>VLOOKUP(L171,'Component List'!U$2:V$30,2,FALSE)</f>
        <v>#N/A</v>
      </c>
      <c r="AB171" s="77">
        <f>VLOOKUP(M171,'Component List'!AA$2:AB$30,2,FALSE)</f>
        <v>2</v>
      </c>
      <c r="AC171" s="77" t="str">
        <f>VLOOKUP(N171,'Component List'!Y$2:Z$30,2,FALSE)</f>
        <v>C</v>
      </c>
      <c r="AD171" s="159" t="e">
        <f>VLOOKUP(O171,'Component List'!W$3:X$30,2,FALSE)</f>
        <v>#N/A</v>
      </c>
      <c r="AG171" s="93"/>
    </row>
    <row r="172" spans="1:33" ht="30" customHeight="1" x14ac:dyDescent="0.3">
      <c r="A172" s="233"/>
      <c r="B172" s="107" t="s">
        <v>189</v>
      </c>
      <c r="C172" s="82" t="s">
        <v>21</v>
      </c>
      <c r="D172" s="80" t="s">
        <v>136</v>
      </c>
      <c r="E172" s="81" t="s">
        <v>182</v>
      </c>
      <c r="F172" s="80" t="s">
        <v>207</v>
      </c>
      <c r="G172" s="80" t="s">
        <v>183</v>
      </c>
      <c r="H172" s="80" t="s">
        <v>184</v>
      </c>
      <c r="I172" s="104" t="s">
        <v>198</v>
      </c>
      <c r="J172" s="85" t="s">
        <v>219</v>
      </c>
      <c r="K172" s="135" t="s">
        <v>366</v>
      </c>
      <c r="L172" s="135" t="s">
        <v>366</v>
      </c>
      <c r="M172" s="101">
        <v>3</v>
      </c>
      <c r="N172" s="82" t="s">
        <v>175</v>
      </c>
      <c r="O172" s="117" t="s">
        <v>367</v>
      </c>
      <c r="P172" s="123" t="e">
        <f t="shared" si="2"/>
        <v>#N/A</v>
      </c>
      <c r="Q172" s="119" t="str">
        <f>VLOOKUP($B172,'Component List'!$A$2:$B$30,2,FALSE)</f>
        <v>SF2</v>
      </c>
      <c r="R172" s="77" t="str">
        <f>VLOOKUP($C172,'Component List'!C$2:D$28,2,FALSE)</f>
        <v>C00</v>
      </c>
      <c r="S172" s="77" t="str">
        <f>VLOOKUP($D172,'Component List'!E$2:F$30,2,FALSE)</f>
        <v>D</v>
      </c>
      <c r="T172" s="77">
        <f>VLOOKUP($E172,'Component List'!G$2:H$30,2,FALSE)</f>
        <v>101</v>
      </c>
      <c r="U172" s="77">
        <f>VLOOKUP($F172,'Component List'!I$2:J$30,2,FALSE)</f>
        <v>103</v>
      </c>
      <c r="V172" s="77">
        <f>VLOOKUP(G172,'Component List'!K$2:L$30,2,FALSE)</f>
        <v>101</v>
      </c>
      <c r="W172" s="77">
        <f>VLOOKUP(H172,'Component List'!M$2:N$31,2,FALSE)</f>
        <v>101</v>
      </c>
      <c r="X172" s="77">
        <f>VLOOKUP(I172,'Component List'!O$2:P$30,2,FALSE)</f>
        <v>100</v>
      </c>
      <c r="Y172" s="77">
        <f>VLOOKUP(J172,'Component List'!Q$2:R$30,2,FALSE)</f>
        <v>101</v>
      </c>
      <c r="Z172" s="77" t="e">
        <f>VLOOKUP(K172,'Component List'!S$2:T$30,2,FALSE)</f>
        <v>#N/A</v>
      </c>
      <c r="AA172" s="77" t="e">
        <f>VLOOKUP(L172,'Component List'!U$2:V$30,2,FALSE)</f>
        <v>#N/A</v>
      </c>
      <c r="AB172" s="77">
        <f>VLOOKUP(M172,'Component List'!AA$2:AB$30,2,FALSE)</f>
        <v>3</v>
      </c>
      <c r="AC172" s="77" t="str">
        <f>VLOOKUP(N172,'Component List'!Y$2:Z$30,2,FALSE)</f>
        <v>P</v>
      </c>
      <c r="AD172" s="159" t="e">
        <f>VLOOKUP(O172,'Component List'!W$3:X$30,2,FALSE)</f>
        <v>#N/A</v>
      </c>
      <c r="AG172" s="93"/>
    </row>
    <row r="173" spans="1:33" ht="30" customHeight="1" x14ac:dyDescent="0.3">
      <c r="A173" s="233"/>
      <c r="B173" s="107" t="s">
        <v>189</v>
      </c>
      <c r="C173" s="82" t="s">
        <v>21</v>
      </c>
      <c r="D173" s="80" t="s">
        <v>136</v>
      </c>
      <c r="E173" s="81" t="s">
        <v>182</v>
      </c>
      <c r="F173" s="80" t="s">
        <v>207</v>
      </c>
      <c r="G173" s="80" t="s">
        <v>183</v>
      </c>
      <c r="H173" s="80" t="s">
        <v>184</v>
      </c>
      <c r="I173" s="104" t="s">
        <v>198</v>
      </c>
      <c r="J173" s="85" t="s">
        <v>219</v>
      </c>
      <c r="K173" s="135" t="s">
        <v>366</v>
      </c>
      <c r="L173" s="135" t="s">
        <v>366</v>
      </c>
      <c r="M173" s="101">
        <v>3</v>
      </c>
      <c r="N173" s="82" t="s">
        <v>187</v>
      </c>
      <c r="O173" s="117" t="s">
        <v>367</v>
      </c>
      <c r="P173" s="123" t="e">
        <f t="shared" si="2"/>
        <v>#N/A</v>
      </c>
      <c r="Q173" s="119" t="str">
        <f>VLOOKUP($B173,'Component List'!$A$2:$B$30,2,FALSE)</f>
        <v>SF2</v>
      </c>
      <c r="R173" s="77" t="str">
        <f>VLOOKUP($C173,'Component List'!C$2:D$28,2,FALSE)</f>
        <v>C00</v>
      </c>
      <c r="S173" s="77" t="str">
        <f>VLOOKUP($D173,'Component List'!E$2:F$30,2,FALSE)</f>
        <v>D</v>
      </c>
      <c r="T173" s="77">
        <f>VLOOKUP($E173,'Component List'!G$2:H$30,2,FALSE)</f>
        <v>101</v>
      </c>
      <c r="U173" s="77">
        <f>VLOOKUP($F173,'Component List'!I$2:J$30,2,FALSE)</f>
        <v>103</v>
      </c>
      <c r="V173" s="77">
        <f>VLOOKUP(G173,'Component List'!K$2:L$30,2,FALSE)</f>
        <v>101</v>
      </c>
      <c r="W173" s="77">
        <f>VLOOKUP(H173,'Component List'!M$2:N$31,2,FALSE)</f>
        <v>101</v>
      </c>
      <c r="X173" s="77">
        <f>VLOOKUP(I173,'Component List'!O$2:P$30,2,FALSE)</f>
        <v>100</v>
      </c>
      <c r="Y173" s="77">
        <f>VLOOKUP(J173,'Component List'!Q$2:R$30,2,FALSE)</f>
        <v>101</v>
      </c>
      <c r="Z173" s="77" t="e">
        <f>VLOOKUP(K173,'Component List'!S$2:T$30,2,FALSE)</f>
        <v>#N/A</v>
      </c>
      <c r="AA173" s="77" t="e">
        <f>VLOOKUP(L173,'Component List'!U$2:V$30,2,FALSE)</f>
        <v>#N/A</v>
      </c>
      <c r="AB173" s="77">
        <f>VLOOKUP(M173,'Component List'!AA$2:AB$30,2,FALSE)</f>
        <v>3</v>
      </c>
      <c r="AC173" s="77" t="str">
        <f>VLOOKUP(N173,'Component List'!Y$2:Z$30,2,FALSE)</f>
        <v>C</v>
      </c>
      <c r="AD173" s="159" t="e">
        <f>VLOOKUP(O173,'Component List'!W$3:X$30,2,FALSE)</f>
        <v>#N/A</v>
      </c>
      <c r="AG173" s="93"/>
    </row>
    <row r="174" spans="1:33" ht="30" customHeight="1" x14ac:dyDescent="0.3">
      <c r="A174" s="233"/>
      <c r="B174" s="107" t="s">
        <v>189</v>
      </c>
      <c r="C174" s="82" t="s">
        <v>21</v>
      </c>
      <c r="D174" s="80" t="s">
        <v>136</v>
      </c>
      <c r="E174" s="81" t="s">
        <v>137</v>
      </c>
      <c r="F174" s="80" t="s">
        <v>39</v>
      </c>
      <c r="G174" s="80" t="s">
        <v>183</v>
      </c>
      <c r="H174" s="80" t="s">
        <v>138</v>
      </c>
      <c r="I174" s="104" t="s">
        <v>198</v>
      </c>
      <c r="J174" s="117" t="s">
        <v>143</v>
      </c>
      <c r="K174" s="135" t="s">
        <v>366</v>
      </c>
      <c r="L174" s="135" t="s">
        <v>366</v>
      </c>
      <c r="M174" s="101">
        <v>1</v>
      </c>
      <c r="N174" s="82" t="s">
        <v>175</v>
      </c>
      <c r="O174" s="117" t="s">
        <v>367</v>
      </c>
      <c r="P174" s="123" t="e">
        <f t="shared" si="2"/>
        <v>#N/A</v>
      </c>
      <c r="Q174" s="119" t="str">
        <f>VLOOKUP($B174,'Component List'!$A$2:$B$30,2,FALSE)</f>
        <v>SF2</v>
      </c>
      <c r="R174" s="77" t="str">
        <f>VLOOKUP($C174,'Component List'!C$2:D$28,2,FALSE)</f>
        <v>C00</v>
      </c>
      <c r="S174" s="77" t="str">
        <f>VLOOKUP($D174,'Component List'!E$2:F$30,2,FALSE)</f>
        <v>D</v>
      </c>
      <c r="T174" s="77">
        <f>VLOOKUP($E174,'Component List'!G$2:H$30,2,FALSE)</f>
        <v>102</v>
      </c>
      <c r="U174" s="77">
        <f>VLOOKUP($F174,'Component List'!I$2:J$30,2,FALSE)</f>
        <v>105</v>
      </c>
      <c r="V174" s="77">
        <f>VLOOKUP(G174,'Component List'!K$2:L$30,2,FALSE)</f>
        <v>101</v>
      </c>
      <c r="W174" s="77">
        <f>VLOOKUP(H174,'Component List'!M$2:N$31,2,FALSE)</f>
        <v>100</v>
      </c>
      <c r="X174" s="77">
        <f>VLOOKUP(I174,'Component List'!O$2:P$30,2,FALSE)</f>
        <v>100</v>
      </c>
      <c r="Y174" s="77" t="str">
        <f>VLOOKUP(J174,'Component List'!Q$2:R$30,2,FALSE)</f>
        <v>000</v>
      </c>
      <c r="Z174" s="77" t="e">
        <f>VLOOKUP(K174,'Component List'!S$2:T$30,2,FALSE)</f>
        <v>#N/A</v>
      </c>
      <c r="AA174" s="77" t="e">
        <f>VLOOKUP(L174,'Component List'!U$2:V$30,2,FALSE)</f>
        <v>#N/A</v>
      </c>
      <c r="AB174" s="77">
        <f>VLOOKUP(M174,'Component List'!AA$2:AB$30,2,FALSE)</f>
        <v>1</v>
      </c>
      <c r="AC174" s="77" t="str">
        <f>VLOOKUP(N174,'Component List'!Y$2:Z$30,2,FALSE)</f>
        <v>P</v>
      </c>
      <c r="AD174" s="159" t="e">
        <f>VLOOKUP(O174,'Component List'!W$3:X$30,2,FALSE)</f>
        <v>#N/A</v>
      </c>
      <c r="AG174" s="93"/>
    </row>
    <row r="175" spans="1:33" ht="30" customHeight="1" x14ac:dyDescent="0.3">
      <c r="A175" s="233"/>
      <c r="B175" s="107" t="s">
        <v>189</v>
      </c>
      <c r="C175" s="82" t="s">
        <v>21</v>
      </c>
      <c r="D175" s="80" t="s">
        <v>136</v>
      </c>
      <c r="E175" s="81" t="s">
        <v>137</v>
      </c>
      <c r="F175" s="80" t="s">
        <v>39</v>
      </c>
      <c r="G175" s="80" t="s">
        <v>183</v>
      </c>
      <c r="H175" s="80" t="s">
        <v>138</v>
      </c>
      <c r="I175" s="104" t="s">
        <v>198</v>
      </c>
      <c r="J175" s="117" t="s">
        <v>143</v>
      </c>
      <c r="K175" s="135" t="s">
        <v>366</v>
      </c>
      <c r="L175" s="135" t="s">
        <v>366</v>
      </c>
      <c r="M175" s="101">
        <v>1</v>
      </c>
      <c r="N175" s="82" t="s">
        <v>187</v>
      </c>
      <c r="O175" s="117" t="s">
        <v>367</v>
      </c>
      <c r="P175" s="123" t="e">
        <f t="shared" si="2"/>
        <v>#N/A</v>
      </c>
      <c r="Q175" s="119" t="str">
        <f>VLOOKUP($B175,'Component List'!$A$2:$B$30,2,FALSE)</f>
        <v>SF2</v>
      </c>
      <c r="R175" s="77" t="str">
        <f>VLOOKUP($C175,'Component List'!C$2:D$28,2,FALSE)</f>
        <v>C00</v>
      </c>
      <c r="S175" s="77" t="str">
        <f>VLOOKUP($D175,'Component List'!E$2:F$30,2,FALSE)</f>
        <v>D</v>
      </c>
      <c r="T175" s="77">
        <f>VLOOKUP($E175,'Component List'!G$2:H$30,2,FALSE)</f>
        <v>102</v>
      </c>
      <c r="U175" s="77">
        <f>VLOOKUP($F175,'Component List'!I$2:J$30,2,FALSE)</f>
        <v>105</v>
      </c>
      <c r="V175" s="77">
        <f>VLOOKUP(G175,'Component List'!K$2:L$30,2,FALSE)</f>
        <v>101</v>
      </c>
      <c r="W175" s="77">
        <f>VLOOKUP(H175,'Component List'!M$2:N$31,2,FALSE)</f>
        <v>100</v>
      </c>
      <c r="X175" s="77">
        <f>VLOOKUP(I175,'Component List'!O$2:P$30,2,FALSE)</f>
        <v>100</v>
      </c>
      <c r="Y175" s="77" t="str">
        <f>VLOOKUP(J175,'Component List'!Q$2:R$30,2,FALSE)</f>
        <v>000</v>
      </c>
      <c r="Z175" s="77" t="e">
        <f>VLOOKUP(K175,'Component List'!S$2:T$30,2,FALSE)</f>
        <v>#N/A</v>
      </c>
      <c r="AA175" s="77" t="e">
        <f>VLOOKUP(L175,'Component List'!U$2:V$30,2,FALSE)</f>
        <v>#N/A</v>
      </c>
      <c r="AB175" s="77">
        <f>VLOOKUP(M175,'Component List'!AA$2:AB$30,2,FALSE)</f>
        <v>1</v>
      </c>
      <c r="AC175" s="77" t="str">
        <f>VLOOKUP(N175,'Component List'!Y$2:Z$30,2,FALSE)</f>
        <v>C</v>
      </c>
      <c r="AD175" s="159" t="e">
        <f>VLOOKUP(O175,'Component List'!W$3:X$30,2,FALSE)</f>
        <v>#N/A</v>
      </c>
      <c r="AG175" s="93"/>
    </row>
    <row r="176" spans="1:33" ht="30" customHeight="1" x14ac:dyDescent="0.3">
      <c r="A176" s="233"/>
      <c r="B176" s="107" t="s">
        <v>189</v>
      </c>
      <c r="C176" s="82" t="s">
        <v>21</v>
      </c>
      <c r="D176" s="80" t="s">
        <v>136</v>
      </c>
      <c r="E176" s="81" t="s">
        <v>137</v>
      </c>
      <c r="F176" s="80" t="s">
        <v>39</v>
      </c>
      <c r="G176" s="80" t="s">
        <v>183</v>
      </c>
      <c r="H176" s="80" t="s">
        <v>138</v>
      </c>
      <c r="I176" s="104" t="s">
        <v>198</v>
      </c>
      <c r="J176" s="117" t="s">
        <v>143</v>
      </c>
      <c r="K176" s="135" t="s">
        <v>366</v>
      </c>
      <c r="L176" s="135" t="s">
        <v>366</v>
      </c>
      <c r="M176" s="101">
        <v>2</v>
      </c>
      <c r="N176" s="82" t="s">
        <v>175</v>
      </c>
      <c r="O176" s="117" t="s">
        <v>367</v>
      </c>
      <c r="P176" s="123" t="e">
        <f t="shared" si="2"/>
        <v>#N/A</v>
      </c>
      <c r="Q176" s="119" t="str">
        <f>VLOOKUP($B176,'Component List'!$A$2:$B$30,2,FALSE)</f>
        <v>SF2</v>
      </c>
      <c r="R176" s="77" t="str">
        <f>VLOOKUP($C176,'Component List'!C$2:D$28,2,FALSE)</f>
        <v>C00</v>
      </c>
      <c r="S176" s="77" t="str">
        <f>VLOOKUP($D176,'Component List'!E$2:F$30,2,FALSE)</f>
        <v>D</v>
      </c>
      <c r="T176" s="77">
        <f>VLOOKUP($E176,'Component List'!G$2:H$30,2,FALSE)</f>
        <v>102</v>
      </c>
      <c r="U176" s="77">
        <f>VLOOKUP($F176,'Component List'!I$2:J$30,2,FALSE)</f>
        <v>105</v>
      </c>
      <c r="V176" s="77">
        <f>VLOOKUP(G176,'Component List'!K$2:L$30,2,FALSE)</f>
        <v>101</v>
      </c>
      <c r="W176" s="77">
        <f>VLOOKUP(H176,'Component List'!M$2:N$31,2,FALSE)</f>
        <v>100</v>
      </c>
      <c r="X176" s="77">
        <f>VLOOKUP(I176,'Component List'!O$2:P$30,2,FALSE)</f>
        <v>100</v>
      </c>
      <c r="Y176" s="77" t="str">
        <f>VLOOKUP(J176,'Component List'!Q$2:R$30,2,FALSE)</f>
        <v>000</v>
      </c>
      <c r="Z176" s="77" t="e">
        <f>VLOOKUP(K176,'Component List'!S$2:T$30,2,FALSE)</f>
        <v>#N/A</v>
      </c>
      <c r="AA176" s="77" t="e">
        <f>VLOOKUP(L176,'Component List'!U$2:V$30,2,FALSE)</f>
        <v>#N/A</v>
      </c>
      <c r="AB176" s="77">
        <f>VLOOKUP(M176,'Component List'!AA$2:AB$30,2,FALSE)</f>
        <v>2</v>
      </c>
      <c r="AC176" s="77" t="str">
        <f>VLOOKUP(N176,'Component List'!Y$2:Z$30,2,FALSE)</f>
        <v>P</v>
      </c>
      <c r="AD176" s="159" t="e">
        <f>VLOOKUP(O176,'Component List'!W$3:X$30,2,FALSE)</f>
        <v>#N/A</v>
      </c>
      <c r="AG176" s="93"/>
    </row>
    <row r="177" spans="1:33" ht="30" customHeight="1" x14ac:dyDescent="0.3">
      <c r="A177" s="233"/>
      <c r="B177" s="107" t="s">
        <v>189</v>
      </c>
      <c r="C177" s="82" t="s">
        <v>21</v>
      </c>
      <c r="D177" s="80" t="s">
        <v>136</v>
      </c>
      <c r="E177" s="81" t="s">
        <v>137</v>
      </c>
      <c r="F177" s="80" t="s">
        <v>39</v>
      </c>
      <c r="G177" s="80" t="s">
        <v>183</v>
      </c>
      <c r="H177" s="80" t="s">
        <v>138</v>
      </c>
      <c r="I177" s="104" t="s">
        <v>198</v>
      </c>
      <c r="J177" s="117" t="s">
        <v>143</v>
      </c>
      <c r="K177" s="135" t="s">
        <v>366</v>
      </c>
      <c r="L177" s="135" t="s">
        <v>366</v>
      </c>
      <c r="M177" s="101">
        <v>2</v>
      </c>
      <c r="N177" s="82" t="s">
        <v>187</v>
      </c>
      <c r="O177" s="117" t="s">
        <v>367</v>
      </c>
      <c r="P177" s="123" t="e">
        <f t="shared" si="2"/>
        <v>#N/A</v>
      </c>
      <c r="Q177" s="119" t="str">
        <f>VLOOKUP($B177,'Component List'!$A$2:$B$30,2,FALSE)</f>
        <v>SF2</v>
      </c>
      <c r="R177" s="77" t="str">
        <f>VLOOKUP($C177,'Component List'!C$2:D$28,2,FALSE)</f>
        <v>C00</v>
      </c>
      <c r="S177" s="77" t="str">
        <f>VLOOKUP($D177,'Component List'!E$2:F$30,2,FALSE)</f>
        <v>D</v>
      </c>
      <c r="T177" s="77">
        <f>VLOOKUP($E177,'Component List'!G$2:H$30,2,FALSE)</f>
        <v>102</v>
      </c>
      <c r="U177" s="77">
        <f>VLOOKUP($F177,'Component List'!I$2:J$30,2,FALSE)</f>
        <v>105</v>
      </c>
      <c r="V177" s="77">
        <f>VLOOKUP(G177,'Component List'!K$2:L$30,2,FALSE)</f>
        <v>101</v>
      </c>
      <c r="W177" s="77">
        <f>VLOOKUP(H177,'Component List'!M$2:N$31,2,FALSE)</f>
        <v>100</v>
      </c>
      <c r="X177" s="77">
        <f>VLOOKUP(I177,'Component List'!O$2:P$30,2,FALSE)</f>
        <v>100</v>
      </c>
      <c r="Y177" s="77" t="str">
        <f>VLOOKUP(J177,'Component List'!Q$2:R$30,2,FALSE)</f>
        <v>000</v>
      </c>
      <c r="Z177" s="77" t="e">
        <f>VLOOKUP(K177,'Component List'!S$2:T$30,2,FALSE)</f>
        <v>#N/A</v>
      </c>
      <c r="AA177" s="77" t="e">
        <f>VLOOKUP(L177,'Component List'!U$2:V$30,2,FALSE)</f>
        <v>#N/A</v>
      </c>
      <c r="AB177" s="77">
        <f>VLOOKUP(M177,'Component List'!AA$2:AB$30,2,FALSE)</f>
        <v>2</v>
      </c>
      <c r="AC177" s="77" t="str">
        <f>VLOOKUP(N177,'Component List'!Y$2:Z$30,2,FALSE)</f>
        <v>C</v>
      </c>
      <c r="AD177" s="159" t="e">
        <f>VLOOKUP(O177,'Component List'!W$3:X$30,2,FALSE)</f>
        <v>#N/A</v>
      </c>
      <c r="AG177" s="93"/>
    </row>
    <row r="178" spans="1:33" ht="30" customHeight="1" x14ac:dyDescent="0.3">
      <c r="A178" s="233"/>
      <c r="B178" s="107" t="s">
        <v>189</v>
      </c>
      <c r="C178" s="82" t="s">
        <v>21</v>
      </c>
      <c r="D178" s="80" t="s">
        <v>136</v>
      </c>
      <c r="E178" s="81" t="s">
        <v>137</v>
      </c>
      <c r="F178" s="80" t="s">
        <v>39</v>
      </c>
      <c r="G178" s="80" t="s">
        <v>183</v>
      </c>
      <c r="H178" s="80" t="s">
        <v>138</v>
      </c>
      <c r="I178" s="104" t="s">
        <v>198</v>
      </c>
      <c r="J178" s="117" t="s">
        <v>143</v>
      </c>
      <c r="K178" s="135" t="s">
        <v>366</v>
      </c>
      <c r="L178" s="135" t="s">
        <v>366</v>
      </c>
      <c r="M178" s="101">
        <v>3</v>
      </c>
      <c r="N178" s="82" t="s">
        <v>175</v>
      </c>
      <c r="O178" s="117" t="s">
        <v>367</v>
      </c>
      <c r="P178" s="123" t="e">
        <f t="shared" si="2"/>
        <v>#N/A</v>
      </c>
      <c r="Q178" s="119" t="str">
        <f>VLOOKUP($B178,'Component List'!$A$2:$B$30,2,FALSE)</f>
        <v>SF2</v>
      </c>
      <c r="R178" s="77" t="str">
        <f>VLOOKUP($C178,'Component List'!C$2:D$28,2,FALSE)</f>
        <v>C00</v>
      </c>
      <c r="S178" s="77" t="str">
        <f>VLOOKUP($D178,'Component List'!E$2:F$30,2,FALSE)</f>
        <v>D</v>
      </c>
      <c r="T178" s="77">
        <f>VLOOKUP($E178,'Component List'!G$2:H$30,2,FALSE)</f>
        <v>102</v>
      </c>
      <c r="U178" s="77">
        <f>VLOOKUP($F178,'Component List'!I$2:J$30,2,FALSE)</f>
        <v>105</v>
      </c>
      <c r="V178" s="77">
        <f>VLOOKUP(G178,'Component List'!K$2:L$30,2,FALSE)</f>
        <v>101</v>
      </c>
      <c r="W178" s="77">
        <f>VLOOKUP(H178,'Component List'!M$2:N$31,2,FALSE)</f>
        <v>100</v>
      </c>
      <c r="X178" s="77">
        <f>VLOOKUP(I178,'Component List'!O$2:P$30,2,FALSE)</f>
        <v>100</v>
      </c>
      <c r="Y178" s="77" t="str">
        <f>VLOOKUP(J178,'Component List'!Q$2:R$30,2,FALSE)</f>
        <v>000</v>
      </c>
      <c r="Z178" s="77" t="e">
        <f>VLOOKUP(K178,'Component List'!S$2:T$30,2,FALSE)</f>
        <v>#N/A</v>
      </c>
      <c r="AA178" s="77" t="e">
        <f>VLOOKUP(L178,'Component List'!U$2:V$30,2,FALSE)</f>
        <v>#N/A</v>
      </c>
      <c r="AB178" s="77">
        <f>VLOOKUP(M178,'Component List'!AA$2:AB$30,2,FALSE)</f>
        <v>3</v>
      </c>
      <c r="AC178" s="77" t="str">
        <f>VLOOKUP(N178,'Component List'!Y$2:Z$30,2,FALSE)</f>
        <v>P</v>
      </c>
      <c r="AD178" s="159" t="e">
        <f>VLOOKUP(O178,'Component List'!W$3:X$30,2,FALSE)</f>
        <v>#N/A</v>
      </c>
      <c r="AG178" s="93"/>
    </row>
    <row r="179" spans="1:33" ht="30" customHeight="1" x14ac:dyDescent="0.3">
      <c r="A179" s="233"/>
      <c r="B179" s="107" t="s">
        <v>189</v>
      </c>
      <c r="C179" s="82" t="s">
        <v>21</v>
      </c>
      <c r="D179" s="80" t="s">
        <v>136</v>
      </c>
      <c r="E179" s="81" t="s">
        <v>137</v>
      </c>
      <c r="F179" s="80" t="s">
        <v>39</v>
      </c>
      <c r="G179" s="80" t="s">
        <v>183</v>
      </c>
      <c r="H179" s="80" t="s">
        <v>138</v>
      </c>
      <c r="I179" s="104" t="s">
        <v>198</v>
      </c>
      <c r="J179" s="117" t="s">
        <v>143</v>
      </c>
      <c r="K179" s="135" t="s">
        <v>366</v>
      </c>
      <c r="L179" s="135" t="s">
        <v>366</v>
      </c>
      <c r="M179" s="101">
        <v>3</v>
      </c>
      <c r="N179" s="82" t="s">
        <v>187</v>
      </c>
      <c r="O179" s="117" t="s">
        <v>367</v>
      </c>
      <c r="P179" s="123" t="e">
        <f t="shared" si="2"/>
        <v>#N/A</v>
      </c>
      <c r="Q179" s="119" t="str">
        <f>VLOOKUP($B179,'Component List'!$A$2:$B$30,2,FALSE)</f>
        <v>SF2</v>
      </c>
      <c r="R179" s="77" t="str">
        <f>VLOOKUP($C179,'Component List'!C$2:D$28,2,FALSE)</f>
        <v>C00</v>
      </c>
      <c r="S179" s="77" t="str">
        <f>VLOOKUP($D179,'Component List'!E$2:F$30,2,FALSE)</f>
        <v>D</v>
      </c>
      <c r="T179" s="77">
        <f>VLOOKUP($E179,'Component List'!G$2:H$30,2,FALSE)</f>
        <v>102</v>
      </c>
      <c r="U179" s="77">
        <f>VLOOKUP($F179,'Component List'!I$2:J$30,2,FALSE)</f>
        <v>105</v>
      </c>
      <c r="V179" s="77">
        <f>VLOOKUP(G179,'Component List'!K$2:L$30,2,FALSE)</f>
        <v>101</v>
      </c>
      <c r="W179" s="77">
        <f>VLOOKUP(H179,'Component List'!M$2:N$31,2,FALSE)</f>
        <v>100</v>
      </c>
      <c r="X179" s="77">
        <f>VLOOKUP(I179,'Component List'!O$2:P$30,2,FALSE)</f>
        <v>100</v>
      </c>
      <c r="Y179" s="77" t="str">
        <f>VLOOKUP(J179,'Component List'!Q$2:R$30,2,FALSE)</f>
        <v>000</v>
      </c>
      <c r="Z179" s="77" t="e">
        <f>VLOOKUP(K179,'Component List'!S$2:T$30,2,FALSE)</f>
        <v>#N/A</v>
      </c>
      <c r="AA179" s="77" t="e">
        <f>VLOOKUP(L179,'Component List'!U$2:V$30,2,FALSE)</f>
        <v>#N/A</v>
      </c>
      <c r="AB179" s="77">
        <f>VLOOKUP(M179,'Component List'!AA$2:AB$30,2,FALSE)</f>
        <v>3</v>
      </c>
      <c r="AC179" s="77" t="str">
        <f>VLOOKUP(N179,'Component List'!Y$2:Z$30,2,FALSE)</f>
        <v>C</v>
      </c>
      <c r="AD179" s="159" t="e">
        <f>VLOOKUP(O179,'Component List'!W$3:X$30,2,FALSE)</f>
        <v>#N/A</v>
      </c>
      <c r="AG179" s="93"/>
    </row>
    <row r="180" spans="1:33" ht="30" customHeight="1" x14ac:dyDescent="0.3">
      <c r="A180" s="233"/>
      <c r="B180" s="107" t="s">
        <v>189</v>
      </c>
      <c r="C180" s="82" t="s">
        <v>21</v>
      </c>
      <c r="D180" s="80" t="s">
        <v>136</v>
      </c>
      <c r="E180" s="81" t="s">
        <v>137</v>
      </c>
      <c r="F180" s="80" t="s">
        <v>45</v>
      </c>
      <c r="G180" s="80" t="s">
        <v>183</v>
      </c>
      <c r="H180" s="80" t="s">
        <v>208</v>
      </c>
      <c r="I180" s="104" t="s">
        <v>198</v>
      </c>
      <c r="J180" s="117" t="s">
        <v>143</v>
      </c>
      <c r="K180" s="135" t="s">
        <v>366</v>
      </c>
      <c r="L180" s="135" t="s">
        <v>366</v>
      </c>
      <c r="M180" s="101">
        <v>1</v>
      </c>
      <c r="N180" s="82" t="s">
        <v>175</v>
      </c>
      <c r="O180" s="117" t="s">
        <v>367</v>
      </c>
      <c r="P180" s="123" t="e">
        <f t="shared" si="2"/>
        <v>#N/A</v>
      </c>
      <c r="Q180" s="119" t="str">
        <f>VLOOKUP($B180,'Component List'!$A$2:$B$30,2,FALSE)</f>
        <v>SF2</v>
      </c>
      <c r="R180" s="77" t="str">
        <f>VLOOKUP($C180,'Component List'!C$2:D$28,2,FALSE)</f>
        <v>C00</v>
      </c>
      <c r="S180" s="77" t="str">
        <f>VLOOKUP($D180,'Component List'!E$2:F$30,2,FALSE)</f>
        <v>D</v>
      </c>
      <c r="T180" s="77">
        <f>VLOOKUP($E180,'Component List'!G$2:H$30,2,FALSE)</f>
        <v>102</v>
      </c>
      <c r="U180" s="77">
        <f>VLOOKUP($F180,'Component List'!I$2:J$30,2,FALSE)</f>
        <v>106</v>
      </c>
      <c r="V180" s="77">
        <f>VLOOKUP(G180,'Component List'!K$2:L$30,2,FALSE)</f>
        <v>101</v>
      </c>
      <c r="W180" s="77">
        <f>VLOOKUP(H180,'Component List'!M$2:N$31,2,FALSE)</f>
        <v>103</v>
      </c>
      <c r="X180" s="77">
        <f>VLOOKUP(I180,'Component List'!O$2:P$30,2,FALSE)</f>
        <v>100</v>
      </c>
      <c r="Y180" s="77" t="str">
        <f>VLOOKUP(J180,'Component List'!Q$2:R$30,2,FALSE)</f>
        <v>000</v>
      </c>
      <c r="Z180" s="77" t="e">
        <f>VLOOKUP(K180,'Component List'!S$2:T$30,2,FALSE)</f>
        <v>#N/A</v>
      </c>
      <c r="AA180" s="77" t="e">
        <f>VLOOKUP(L180,'Component List'!U$2:V$30,2,FALSE)</f>
        <v>#N/A</v>
      </c>
      <c r="AB180" s="77">
        <f>VLOOKUP(M180,'Component List'!AA$2:AB$30,2,FALSE)</f>
        <v>1</v>
      </c>
      <c r="AC180" s="77" t="str">
        <f>VLOOKUP(N180,'Component List'!Y$2:Z$30,2,FALSE)</f>
        <v>P</v>
      </c>
      <c r="AD180" s="159" t="e">
        <f>VLOOKUP(O180,'Component List'!W$3:X$30,2,FALSE)</f>
        <v>#N/A</v>
      </c>
      <c r="AG180" s="93"/>
    </row>
    <row r="181" spans="1:33" ht="30" customHeight="1" x14ac:dyDescent="0.3">
      <c r="A181" s="233"/>
      <c r="B181" s="107" t="s">
        <v>189</v>
      </c>
      <c r="C181" s="82" t="s">
        <v>21</v>
      </c>
      <c r="D181" s="80" t="s">
        <v>136</v>
      </c>
      <c r="E181" s="81" t="s">
        <v>137</v>
      </c>
      <c r="F181" s="80" t="s">
        <v>45</v>
      </c>
      <c r="G181" s="80" t="s">
        <v>183</v>
      </c>
      <c r="H181" s="80" t="s">
        <v>208</v>
      </c>
      <c r="I181" s="104" t="s">
        <v>198</v>
      </c>
      <c r="J181" s="117" t="s">
        <v>143</v>
      </c>
      <c r="K181" s="135" t="s">
        <v>366</v>
      </c>
      <c r="L181" s="135" t="s">
        <v>366</v>
      </c>
      <c r="M181" s="101">
        <v>1</v>
      </c>
      <c r="N181" s="82" t="s">
        <v>187</v>
      </c>
      <c r="O181" s="117" t="s">
        <v>367</v>
      </c>
      <c r="P181" s="123" t="e">
        <f t="shared" si="2"/>
        <v>#N/A</v>
      </c>
      <c r="Q181" s="119" t="str">
        <f>VLOOKUP($B181,'Component List'!$A$2:$B$30,2,FALSE)</f>
        <v>SF2</v>
      </c>
      <c r="R181" s="77" t="str">
        <f>VLOOKUP($C181,'Component List'!C$2:D$28,2,FALSE)</f>
        <v>C00</v>
      </c>
      <c r="S181" s="77" t="str">
        <f>VLOOKUP($D181,'Component List'!E$2:F$30,2,FALSE)</f>
        <v>D</v>
      </c>
      <c r="T181" s="77">
        <f>VLOOKUP($E181,'Component List'!G$2:H$30,2,FALSE)</f>
        <v>102</v>
      </c>
      <c r="U181" s="77">
        <f>VLOOKUP($F181,'Component List'!I$2:J$30,2,FALSE)</f>
        <v>106</v>
      </c>
      <c r="V181" s="77">
        <f>VLOOKUP(G181,'Component List'!K$2:L$30,2,FALSE)</f>
        <v>101</v>
      </c>
      <c r="W181" s="77">
        <f>VLOOKUP(H181,'Component List'!M$2:N$31,2,FALSE)</f>
        <v>103</v>
      </c>
      <c r="X181" s="77">
        <f>VLOOKUP(I181,'Component List'!O$2:P$30,2,FALSE)</f>
        <v>100</v>
      </c>
      <c r="Y181" s="77" t="str">
        <f>VLOOKUP(J181,'Component List'!Q$2:R$30,2,FALSE)</f>
        <v>000</v>
      </c>
      <c r="Z181" s="77" t="e">
        <f>VLOOKUP(K181,'Component List'!S$2:T$30,2,FALSE)</f>
        <v>#N/A</v>
      </c>
      <c r="AA181" s="77" t="e">
        <f>VLOOKUP(L181,'Component List'!U$2:V$30,2,FALSE)</f>
        <v>#N/A</v>
      </c>
      <c r="AB181" s="77">
        <f>VLOOKUP(M181,'Component List'!AA$2:AB$30,2,FALSE)</f>
        <v>1</v>
      </c>
      <c r="AC181" s="77" t="str">
        <f>VLOOKUP(N181,'Component List'!Y$2:Z$30,2,FALSE)</f>
        <v>C</v>
      </c>
      <c r="AD181" s="159" t="e">
        <f>VLOOKUP(O181,'Component List'!W$3:X$30,2,FALSE)</f>
        <v>#N/A</v>
      </c>
      <c r="AG181" s="93"/>
    </row>
    <row r="182" spans="1:33" ht="30" customHeight="1" x14ac:dyDescent="0.3">
      <c r="A182" s="233"/>
      <c r="B182" s="107" t="s">
        <v>189</v>
      </c>
      <c r="C182" s="82" t="s">
        <v>21</v>
      </c>
      <c r="D182" s="80" t="s">
        <v>136</v>
      </c>
      <c r="E182" s="81" t="s">
        <v>137</v>
      </c>
      <c r="F182" s="80" t="s">
        <v>45</v>
      </c>
      <c r="G182" s="80" t="s">
        <v>183</v>
      </c>
      <c r="H182" s="80" t="s">
        <v>208</v>
      </c>
      <c r="I182" s="104" t="s">
        <v>198</v>
      </c>
      <c r="J182" s="117" t="s">
        <v>143</v>
      </c>
      <c r="K182" s="135" t="s">
        <v>366</v>
      </c>
      <c r="L182" s="135" t="s">
        <v>366</v>
      </c>
      <c r="M182" s="101">
        <v>2</v>
      </c>
      <c r="N182" s="82" t="s">
        <v>175</v>
      </c>
      <c r="O182" s="117" t="s">
        <v>367</v>
      </c>
      <c r="P182" s="123" t="e">
        <f t="shared" si="2"/>
        <v>#N/A</v>
      </c>
      <c r="Q182" s="119" t="str">
        <f>VLOOKUP($B182,'Component List'!$A$2:$B$30,2,FALSE)</f>
        <v>SF2</v>
      </c>
      <c r="R182" s="77" t="str">
        <f>VLOOKUP($C182,'Component List'!C$2:D$28,2,FALSE)</f>
        <v>C00</v>
      </c>
      <c r="S182" s="77" t="str">
        <f>VLOOKUP($D182,'Component List'!E$2:F$30,2,FALSE)</f>
        <v>D</v>
      </c>
      <c r="T182" s="77">
        <f>VLOOKUP($E182,'Component List'!G$2:H$30,2,FALSE)</f>
        <v>102</v>
      </c>
      <c r="U182" s="77">
        <f>VLOOKUP($F182,'Component List'!I$2:J$30,2,FALSE)</f>
        <v>106</v>
      </c>
      <c r="V182" s="77">
        <f>VLOOKUP(G182,'Component List'!K$2:L$30,2,FALSE)</f>
        <v>101</v>
      </c>
      <c r="W182" s="77">
        <f>VLOOKUP(H182,'Component List'!M$2:N$31,2,FALSE)</f>
        <v>103</v>
      </c>
      <c r="X182" s="77">
        <f>VLOOKUP(I182,'Component List'!O$2:P$30,2,FALSE)</f>
        <v>100</v>
      </c>
      <c r="Y182" s="77" t="str">
        <f>VLOOKUP(J182,'Component List'!Q$2:R$30,2,FALSE)</f>
        <v>000</v>
      </c>
      <c r="Z182" s="77" t="e">
        <f>VLOOKUP(K182,'Component List'!S$2:T$30,2,FALSE)</f>
        <v>#N/A</v>
      </c>
      <c r="AA182" s="77" t="e">
        <f>VLOOKUP(L182,'Component List'!U$2:V$30,2,FALSE)</f>
        <v>#N/A</v>
      </c>
      <c r="AB182" s="77">
        <f>VLOOKUP(M182,'Component List'!AA$2:AB$30,2,FALSE)</f>
        <v>2</v>
      </c>
      <c r="AC182" s="77" t="str">
        <f>VLOOKUP(N182,'Component List'!Y$2:Z$30,2,FALSE)</f>
        <v>P</v>
      </c>
      <c r="AD182" s="159" t="e">
        <f>VLOOKUP(O182,'Component List'!W$3:X$30,2,FALSE)</f>
        <v>#N/A</v>
      </c>
      <c r="AG182" s="93"/>
    </row>
    <row r="183" spans="1:33" ht="30" customHeight="1" x14ac:dyDescent="0.3">
      <c r="A183" s="233"/>
      <c r="B183" s="107" t="s">
        <v>189</v>
      </c>
      <c r="C183" s="82" t="s">
        <v>21</v>
      </c>
      <c r="D183" s="80" t="s">
        <v>136</v>
      </c>
      <c r="E183" s="81" t="s">
        <v>137</v>
      </c>
      <c r="F183" s="80" t="s">
        <v>45</v>
      </c>
      <c r="G183" s="80" t="s">
        <v>183</v>
      </c>
      <c r="H183" s="80" t="s">
        <v>208</v>
      </c>
      <c r="I183" s="104" t="s">
        <v>198</v>
      </c>
      <c r="J183" s="117" t="s">
        <v>143</v>
      </c>
      <c r="K183" s="135" t="s">
        <v>366</v>
      </c>
      <c r="L183" s="135" t="s">
        <v>366</v>
      </c>
      <c r="M183" s="101">
        <v>2</v>
      </c>
      <c r="N183" s="82" t="s">
        <v>187</v>
      </c>
      <c r="O183" s="117" t="s">
        <v>367</v>
      </c>
      <c r="P183" s="123" t="e">
        <f t="shared" si="2"/>
        <v>#N/A</v>
      </c>
      <c r="Q183" s="119" t="str">
        <f>VLOOKUP($B183,'Component List'!$A$2:$B$30,2,FALSE)</f>
        <v>SF2</v>
      </c>
      <c r="R183" s="77" t="str">
        <f>VLOOKUP($C183,'Component List'!C$2:D$28,2,FALSE)</f>
        <v>C00</v>
      </c>
      <c r="S183" s="77" t="str">
        <f>VLOOKUP($D183,'Component List'!E$2:F$30,2,FALSE)</f>
        <v>D</v>
      </c>
      <c r="T183" s="77">
        <f>VLOOKUP($E183,'Component List'!G$2:H$30,2,FALSE)</f>
        <v>102</v>
      </c>
      <c r="U183" s="77">
        <f>VLOOKUP($F183,'Component List'!I$2:J$30,2,FALSE)</f>
        <v>106</v>
      </c>
      <c r="V183" s="77">
        <f>VLOOKUP(G183,'Component List'!K$2:L$30,2,FALSE)</f>
        <v>101</v>
      </c>
      <c r="W183" s="77">
        <f>VLOOKUP(H183,'Component List'!M$2:N$31,2,FALSE)</f>
        <v>103</v>
      </c>
      <c r="X183" s="77">
        <f>VLOOKUP(I183,'Component List'!O$2:P$30,2,FALSE)</f>
        <v>100</v>
      </c>
      <c r="Y183" s="77" t="str">
        <f>VLOOKUP(J183,'Component List'!Q$2:R$30,2,FALSE)</f>
        <v>000</v>
      </c>
      <c r="Z183" s="77" t="e">
        <f>VLOOKUP(K183,'Component List'!S$2:T$30,2,FALSE)</f>
        <v>#N/A</v>
      </c>
      <c r="AA183" s="77" t="e">
        <f>VLOOKUP(L183,'Component List'!U$2:V$30,2,FALSE)</f>
        <v>#N/A</v>
      </c>
      <c r="AB183" s="77">
        <f>VLOOKUP(M183,'Component List'!AA$2:AB$30,2,FALSE)</f>
        <v>2</v>
      </c>
      <c r="AC183" s="77" t="str">
        <f>VLOOKUP(N183,'Component List'!Y$2:Z$30,2,FALSE)</f>
        <v>C</v>
      </c>
      <c r="AD183" s="159" t="e">
        <f>VLOOKUP(O183,'Component List'!W$3:X$30,2,FALSE)</f>
        <v>#N/A</v>
      </c>
      <c r="AG183" s="93"/>
    </row>
    <row r="184" spans="1:33" ht="30" customHeight="1" x14ac:dyDescent="0.3">
      <c r="A184" s="233"/>
      <c r="B184" s="107" t="s">
        <v>189</v>
      </c>
      <c r="C184" s="82" t="s">
        <v>21</v>
      </c>
      <c r="D184" s="80" t="s">
        <v>136</v>
      </c>
      <c r="E184" s="81" t="s">
        <v>137</v>
      </c>
      <c r="F184" s="80" t="s">
        <v>45</v>
      </c>
      <c r="G184" s="80" t="s">
        <v>183</v>
      </c>
      <c r="H184" s="80" t="s">
        <v>208</v>
      </c>
      <c r="I184" s="104" t="s">
        <v>198</v>
      </c>
      <c r="J184" s="117" t="s">
        <v>143</v>
      </c>
      <c r="K184" s="135" t="s">
        <v>366</v>
      </c>
      <c r="L184" s="135" t="s">
        <v>366</v>
      </c>
      <c r="M184" s="101">
        <v>3</v>
      </c>
      <c r="N184" s="82" t="s">
        <v>175</v>
      </c>
      <c r="O184" s="117" t="s">
        <v>367</v>
      </c>
      <c r="P184" s="123" t="e">
        <f t="shared" si="2"/>
        <v>#N/A</v>
      </c>
      <c r="Q184" s="119" t="str">
        <f>VLOOKUP($B184,'Component List'!$A$2:$B$30,2,FALSE)</f>
        <v>SF2</v>
      </c>
      <c r="R184" s="77" t="str">
        <f>VLOOKUP($C184,'Component List'!C$2:D$28,2,FALSE)</f>
        <v>C00</v>
      </c>
      <c r="S184" s="77" t="str">
        <f>VLOOKUP($D184,'Component List'!E$2:F$30,2,FALSE)</f>
        <v>D</v>
      </c>
      <c r="T184" s="77">
        <f>VLOOKUP($E184,'Component List'!G$2:H$30,2,FALSE)</f>
        <v>102</v>
      </c>
      <c r="U184" s="77">
        <f>VLOOKUP($F184,'Component List'!I$2:J$30,2,FALSE)</f>
        <v>106</v>
      </c>
      <c r="V184" s="77">
        <f>VLOOKUP(G184,'Component List'!K$2:L$30,2,FALSE)</f>
        <v>101</v>
      </c>
      <c r="W184" s="77">
        <f>VLOOKUP(H184,'Component List'!M$2:N$31,2,FALSE)</f>
        <v>103</v>
      </c>
      <c r="X184" s="77">
        <f>VLOOKUP(I184,'Component List'!O$2:P$30,2,FALSE)</f>
        <v>100</v>
      </c>
      <c r="Y184" s="77" t="str">
        <f>VLOOKUP(J184,'Component List'!Q$2:R$30,2,FALSE)</f>
        <v>000</v>
      </c>
      <c r="Z184" s="77" t="e">
        <f>VLOOKUP(K184,'Component List'!S$2:T$30,2,FALSE)</f>
        <v>#N/A</v>
      </c>
      <c r="AA184" s="77" t="e">
        <f>VLOOKUP(L184,'Component List'!U$2:V$30,2,FALSE)</f>
        <v>#N/A</v>
      </c>
      <c r="AB184" s="77">
        <f>VLOOKUP(M184,'Component List'!AA$2:AB$30,2,FALSE)</f>
        <v>3</v>
      </c>
      <c r="AC184" s="77" t="str">
        <f>VLOOKUP(N184,'Component List'!Y$2:Z$30,2,FALSE)</f>
        <v>P</v>
      </c>
      <c r="AD184" s="159" t="e">
        <f>VLOOKUP(O184,'Component List'!W$3:X$30,2,FALSE)</f>
        <v>#N/A</v>
      </c>
      <c r="AG184" s="93"/>
    </row>
    <row r="185" spans="1:33" ht="30" customHeight="1" x14ac:dyDescent="0.3">
      <c r="A185" s="233"/>
      <c r="B185" s="107" t="s">
        <v>189</v>
      </c>
      <c r="C185" s="82" t="s">
        <v>21</v>
      </c>
      <c r="D185" s="80" t="s">
        <v>136</v>
      </c>
      <c r="E185" s="81" t="s">
        <v>137</v>
      </c>
      <c r="F185" s="80" t="s">
        <v>45</v>
      </c>
      <c r="G185" s="80" t="s">
        <v>183</v>
      </c>
      <c r="H185" s="80" t="s">
        <v>208</v>
      </c>
      <c r="I185" s="104" t="s">
        <v>198</v>
      </c>
      <c r="J185" s="117" t="s">
        <v>143</v>
      </c>
      <c r="K185" s="135" t="s">
        <v>366</v>
      </c>
      <c r="L185" s="135" t="s">
        <v>366</v>
      </c>
      <c r="M185" s="101">
        <v>3</v>
      </c>
      <c r="N185" s="82" t="s">
        <v>187</v>
      </c>
      <c r="O185" s="117" t="s">
        <v>367</v>
      </c>
      <c r="P185" s="123" t="e">
        <f t="shared" si="2"/>
        <v>#N/A</v>
      </c>
      <c r="Q185" s="119" t="str">
        <f>VLOOKUP($B185,'Component List'!$A$2:$B$30,2,FALSE)</f>
        <v>SF2</v>
      </c>
      <c r="R185" s="77" t="str">
        <f>VLOOKUP($C185,'Component List'!C$2:D$28,2,FALSE)</f>
        <v>C00</v>
      </c>
      <c r="S185" s="77" t="str">
        <f>VLOOKUP($D185,'Component List'!E$2:F$30,2,FALSE)</f>
        <v>D</v>
      </c>
      <c r="T185" s="77">
        <f>VLOOKUP($E185,'Component List'!G$2:H$30,2,FALSE)</f>
        <v>102</v>
      </c>
      <c r="U185" s="77">
        <f>VLOOKUP($F185,'Component List'!I$2:J$30,2,FALSE)</f>
        <v>106</v>
      </c>
      <c r="V185" s="77">
        <f>VLOOKUP(G185,'Component List'!K$2:L$30,2,FALSE)</f>
        <v>101</v>
      </c>
      <c r="W185" s="77">
        <f>VLOOKUP(H185,'Component List'!M$2:N$31,2,FALSE)</f>
        <v>103</v>
      </c>
      <c r="X185" s="77">
        <f>VLOOKUP(I185,'Component List'!O$2:P$30,2,FALSE)</f>
        <v>100</v>
      </c>
      <c r="Y185" s="77" t="str">
        <f>VLOOKUP(J185,'Component List'!Q$2:R$30,2,FALSE)</f>
        <v>000</v>
      </c>
      <c r="Z185" s="77" t="e">
        <f>VLOOKUP(K185,'Component List'!S$2:T$30,2,FALSE)</f>
        <v>#N/A</v>
      </c>
      <c r="AA185" s="77" t="e">
        <f>VLOOKUP(L185,'Component List'!U$2:V$30,2,FALSE)</f>
        <v>#N/A</v>
      </c>
      <c r="AB185" s="77">
        <f>VLOOKUP(M185,'Component List'!AA$2:AB$30,2,FALSE)</f>
        <v>3</v>
      </c>
      <c r="AC185" s="77" t="str">
        <f>VLOOKUP(N185,'Component List'!Y$2:Z$30,2,FALSE)</f>
        <v>C</v>
      </c>
      <c r="AD185" s="159" t="e">
        <f>VLOOKUP(O185,'Component List'!W$3:X$30,2,FALSE)</f>
        <v>#N/A</v>
      </c>
      <c r="AG185" s="93"/>
    </row>
    <row r="186" spans="1:33" ht="30" customHeight="1" x14ac:dyDescent="0.3">
      <c r="A186" s="233"/>
      <c r="B186" s="107" t="s">
        <v>189</v>
      </c>
      <c r="C186" s="82" t="s">
        <v>21</v>
      </c>
      <c r="D186" s="80" t="s">
        <v>136</v>
      </c>
      <c r="E186" s="81" t="s">
        <v>182</v>
      </c>
      <c r="F186" s="80" t="s">
        <v>47</v>
      </c>
      <c r="G186" s="80" t="s">
        <v>183</v>
      </c>
      <c r="H186" s="80" t="s">
        <v>138</v>
      </c>
      <c r="I186" s="104" t="s">
        <v>198</v>
      </c>
      <c r="J186" s="117" t="s">
        <v>143</v>
      </c>
      <c r="K186" s="135" t="s">
        <v>366</v>
      </c>
      <c r="L186" s="135" t="s">
        <v>366</v>
      </c>
      <c r="M186" s="101">
        <v>1</v>
      </c>
      <c r="N186" s="82" t="s">
        <v>175</v>
      </c>
      <c r="O186" s="117" t="s">
        <v>367</v>
      </c>
      <c r="P186" s="123" t="e">
        <f t="shared" si="2"/>
        <v>#N/A</v>
      </c>
      <c r="Q186" s="119" t="str">
        <f>VLOOKUP($B186,'Component List'!$A$2:$B$30,2,FALSE)</f>
        <v>SF2</v>
      </c>
      <c r="R186" s="77" t="str">
        <f>VLOOKUP($C186,'Component List'!C$2:D$28,2,FALSE)</f>
        <v>C00</v>
      </c>
      <c r="S186" s="77" t="str">
        <f>VLOOKUP($D186,'Component List'!E$2:F$30,2,FALSE)</f>
        <v>D</v>
      </c>
      <c r="T186" s="77">
        <f>VLOOKUP($E186,'Component List'!G$2:H$30,2,FALSE)</f>
        <v>101</v>
      </c>
      <c r="U186" s="77">
        <f>VLOOKUP($F186,'Component List'!I$2:J$30,2,FALSE)</f>
        <v>104</v>
      </c>
      <c r="V186" s="77">
        <f>VLOOKUP(G186,'Component List'!K$2:L$30,2,FALSE)</f>
        <v>101</v>
      </c>
      <c r="W186" s="77">
        <f>VLOOKUP(H186,'Component List'!M$2:N$31,2,FALSE)</f>
        <v>100</v>
      </c>
      <c r="X186" s="77">
        <f>VLOOKUP(I186,'Component List'!O$2:P$30,2,FALSE)</f>
        <v>100</v>
      </c>
      <c r="Y186" s="77" t="str">
        <f>VLOOKUP(J186,'Component List'!Q$2:R$30,2,FALSE)</f>
        <v>000</v>
      </c>
      <c r="Z186" s="77" t="e">
        <f>VLOOKUP(K186,'Component List'!S$2:T$30,2,FALSE)</f>
        <v>#N/A</v>
      </c>
      <c r="AA186" s="77" t="e">
        <f>VLOOKUP(L186,'Component List'!U$2:V$30,2,FALSE)</f>
        <v>#N/A</v>
      </c>
      <c r="AB186" s="77">
        <f>VLOOKUP(M186,'Component List'!AA$2:AB$30,2,FALSE)</f>
        <v>1</v>
      </c>
      <c r="AC186" s="77" t="str">
        <f>VLOOKUP(N186,'Component List'!Y$2:Z$30,2,FALSE)</f>
        <v>P</v>
      </c>
      <c r="AD186" s="159" t="e">
        <f>VLOOKUP(O186,'Component List'!W$3:X$30,2,FALSE)</f>
        <v>#N/A</v>
      </c>
      <c r="AG186" s="93"/>
    </row>
    <row r="187" spans="1:33" ht="30" customHeight="1" x14ac:dyDescent="0.3">
      <c r="A187" s="233"/>
      <c r="B187" s="107" t="s">
        <v>189</v>
      </c>
      <c r="C187" s="82" t="s">
        <v>21</v>
      </c>
      <c r="D187" s="80" t="s">
        <v>136</v>
      </c>
      <c r="E187" s="81" t="s">
        <v>182</v>
      </c>
      <c r="F187" s="80" t="s">
        <v>47</v>
      </c>
      <c r="G187" s="80" t="s">
        <v>183</v>
      </c>
      <c r="H187" s="80" t="s">
        <v>138</v>
      </c>
      <c r="I187" s="104" t="s">
        <v>198</v>
      </c>
      <c r="J187" s="117" t="s">
        <v>143</v>
      </c>
      <c r="K187" s="135" t="s">
        <v>366</v>
      </c>
      <c r="L187" s="135" t="s">
        <v>366</v>
      </c>
      <c r="M187" s="101">
        <v>1</v>
      </c>
      <c r="N187" s="82" t="s">
        <v>187</v>
      </c>
      <c r="O187" s="117" t="s">
        <v>367</v>
      </c>
      <c r="P187" s="123" t="e">
        <f t="shared" si="2"/>
        <v>#N/A</v>
      </c>
      <c r="Q187" s="119" t="str">
        <f>VLOOKUP($B187,'Component List'!$A$2:$B$30,2,FALSE)</f>
        <v>SF2</v>
      </c>
      <c r="R187" s="77" t="str">
        <f>VLOOKUP($C187,'Component List'!C$2:D$28,2,FALSE)</f>
        <v>C00</v>
      </c>
      <c r="S187" s="77" t="str">
        <f>VLOOKUP($D187,'Component List'!E$2:F$30,2,FALSE)</f>
        <v>D</v>
      </c>
      <c r="T187" s="77">
        <f>VLOOKUP($E187,'Component List'!G$2:H$30,2,FALSE)</f>
        <v>101</v>
      </c>
      <c r="U187" s="77">
        <f>VLOOKUP($F187,'Component List'!I$2:J$30,2,FALSE)</f>
        <v>104</v>
      </c>
      <c r="V187" s="77">
        <f>VLOOKUP(G187,'Component List'!K$2:L$30,2,FALSE)</f>
        <v>101</v>
      </c>
      <c r="W187" s="77">
        <f>VLOOKUP(H187,'Component List'!M$2:N$31,2,FALSE)</f>
        <v>100</v>
      </c>
      <c r="X187" s="77">
        <f>VLOOKUP(I187,'Component List'!O$2:P$30,2,FALSE)</f>
        <v>100</v>
      </c>
      <c r="Y187" s="77" t="str">
        <f>VLOOKUP(J187,'Component List'!Q$2:R$30,2,FALSE)</f>
        <v>000</v>
      </c>
      <c r="Z187" s="77" t="e">
        <f>VLOOKUP(K187,'Component List'!S$2:T$30,2,FALSE)</f>
        <v>#N/A</v>
      </c>
      <c r="AA187" s="77" t="e">
        <f>VLOOKUP(L187,'Component List'!U$2:V$30,2,FALSE)</f>
        <v>#N/A</v>
      </c>
      <c r="AB187" s="77">
        <f>VLOOKUP(M187,'Component List'!AA$2:AB$30,2,FALSE)</f>
        <v>1</v>
      </c>
      <c r="AC187" s="77" t="str">
        <f>VLOOKUP(N187,'Component List'!Y$2:Z$30,2,FALSE)</f>
        <v>C</v>
      </c>
      <c r="AD187" s="159" t="e">
        <f>VLOOKUP(O187,'Component List'!W$3:X$30,2,FALSE)</f>
        <v>#N/A</v>
      </c>
      <c r="AG187" s="93"/>
    </row>
    <row r="188" spans="1:33" ht="30" customHeight="1" x14ac:dyDescent="0.3">
      <c r="A188" s="233"/>
      <c r="B188" s="107" t="s">
        <v>189</v>
      </c>
      <c r="C188" s="82" t="s">
        <v>21</v>
      </c>
      <c r="D188" s="80" t="s">
        <v>136</v>
      </c>
      <c r="E188" s="81" t="s">
        <v>182</v>
      </c>
      <c r="F188" s="80" t="s">
        <v>47</v>
      </c>
      <c r="G188" s="80" t="s">
        <v>183</v>
      </c>
      <c r="H188" s="80" t="s">
        <v>138</v>
      </c>
      <c r="I188" s="104" t="s">
        <v>198</v>
      </c>
      <c r="J188" s="117" t="s">
        <v>143</v>
      </c>
      <c r="K188" s="135" t="s">
        <v>366</v>
      </c>
      <c r="L188" s="135" t="s">
        <v>366</v>
      </c>
      <c r="M188" s="101">
        <v>2</v>
      </c>
      <c r="N188" s="82" t="s">
        <v>175</v>
      </c>
      <c r="O188" s="117" t="s">
        <v>367</v>
      </c>
      <c r="P188" s="123" t="e">
        <f t="shared" si="2"/>
        <v>#N/A</v>
      </c>
      <c r="Q188" s="119" t="str">
        <f>VLOOKUP($B188,'Component List'!$A$2:$B$30,2,FALSE)</f>
        <v>SF2</v>
      </c>
      <c r="R188" s="77" t="str">
        <f>VLOOKUP($C188,'Component List'!C$2:D$28,2,FALSE)</f>
        <v>C00</v>
      </c>
      <c r="S188" s="77" t="str">
        <f>VLOOKUP($D188,'Component List'!E$2:F$30,2,FALSE)</f>
        <v>D</v>
      </c>
      <c r="T188" s="77">
        <f>VLOOKUP($E188,'Component List'!G$2:H$30,2,FALSE)</f>
        <v>101</v>
      </c>
      <c r="U188" s="77">
        <f>VLOOKUP($F188,'Component List'!I$2:J$30,2,FALSE)</f>
        <v>104</v>
      </c>
      <c r="V188" s="77">
        <f>VLOOKUP(G188,'Component List'!K$2:L$30,2,FALSE)</f>
        <v>101</v>
      </c>
      <c r="W188" s="77">
        <f>VLOOKUP(H188,'Component List'!M$2:N$31,2,FALSE)</f>
        <v>100</v>
      </c>
      <c r="X188" s="77">
        <f>VLOOKUP(I188,'Component List'!O$2:P$30,2,FALSE)</f>
        <v>100</v>
      </c>
      <c r="Y188" s="77" t="str">
        <f>VLOOKUP(J188,'Component List'!Q$2:R$30,2,FALSE)</f>
        <v>000</v>
      </c>
      <c r="Z188" s="77" t="e">
        <f>VLOOKUP(K188,'Component List'!S$2:T$30,2,FALSE)</f>
        <v>#N/A</v>
      </c>
      <c r="AA188" s="77" t="e">
        <f>VLOOKUP(L188,'Component List'!U$2:V$30,2,FALSE)</f>
        <v>#N/A</v>
      </c>
      <c r="AB188" s="77">
        <f>VLOOKUP(M188,'Component List'!AA$2:AB$30,2,FALSE)</f>
        <v>2</v>
      </c>
      <c r="AC188" s="77" t="str">
        <f>VLOOKUP(N188,'Component List'!Y$2:Z$30,2,FALSE)</f>
        <v>P</v>
      </c>
      <c r="AD188" s="159" t="e">
        <f>VLOOKUP(O188,'Component List'!W$3:X$30,2,FALSE)</f>
        <v>#N/A</v>
      </c>
      <c r="AG188" s="93"/>
    </row>
    <row r="189" spans="1:33" ht="30" customHeight="1" x14ac:dyDescent="0.3">
      <c r="A189" s="233"/>
      <c r="B189" s="107" t="s">
        <v>189</v>
      </c>
      <c r="C189" s="82" t="s">
        <v>21</v>
      </c>
      <c r="D189" s="80" t="s">
        <v>136</v>
      </c>
      <c r="E189" s="81" t="s">
        <v>182</v>
      </c>
      <c r="F189" s="80" t="s">
        <v>47</v>
      </c>
      <c r="G189" s="80" t="s">
        <v>183</v>
      </c>
      <c r="H189" s="80" t="s">
        <v>138</v>
      </c>
      <c r="I189" s="104" t="s">
        <v>198</v>
      </c>
      <c r="J189" s="117" t="s">
        <v>143</v>
      </c>
      <c r="K189" s="135" t="s">
        <v>366</v>
      </c>
      <c r="L189" s="135" t="s">
        <v>366</v>
      </c>
      <c r="M189" s="101">
        <v>2</v>
      </c>
      <c r="N189" s="82" t="s">
        <v>187</v>
      </c>
      <c r="O189" s="117" t="s">
        <v>367</v>
      </c>
      <c r="P189" s="123" t="e">
        <f t="shared" si="2"/>
        <v>#N/A</v>
      </c>
      <c r="Q189" s="119" t="str">
        <f>VLOOKUP($B189,'Component List'!$A$2:$B$30,2,FALSE)</f>
        <v>SF2</v>
      </c>
      <c r="R189" s="77" t="str">
        <f>VLOOKUP($C189,'Component List'!C$2:D$28,2,FALSE)</f>
        <v>C00</v>
      </c>
      <c r="S189" s="77" t="str">
        <f>VLOOKUP($D189,'Component List'!E$2:F$30,2,FALSE)</f>
        <v>D</v>
      </c>
      <c r="T189" s="77">
        <f>VLOOKUP($E189,'Component List'!G$2:H$30,2,FALSE)</f>
        <v>101</v>
      </c>
      <c r="U189" s="77">
        <f>VLOOKUP($F189,'Component List'!I$2:J$30,2,FALSE)</f>
        <v>104</v>
      </c>
      <c r="V189" s="77">
        <f>VLOOKUP(G189,'Component List'!K$2:L$30,2,FALSE)</f>
        <v>101</v>
      </c>
      <c r="W189" s="77">
        <f>VLOOKUP(H189,'Component List'!M$2:N$31,2,FALSE)</f>
        <v>100</v>
      </c>
      <c r="X189" s="77">
        <f>VLOOKUP(I189,'Component List'!O$2:P$30,2,FALSE)</f>
        <v>100</v>
      </c>
      <c r="Y189" s="77" t="str">
        <f>VLOOKUP(J189,'Component List'!Q$2:R$30,2,FALSE)</f>
        <v>000</v>
      </c>
      <c r="Z189" s="77" t="e">
        <f>VLOOKUP(K189,'Component List'!S$2:T$30,2,FALSE)</f>
        <v>#N/A</v>
      </c>
      <c r="AA189" s="77" t="e">
        <f>VLOOKUP(L189,'Component List'!U$2:V$30,2,FALSE)</f>
        <v>#N/A</v>
      </c>
      <c r="AB189" s="77">
        <f>VLOOKUP(M189,'Component List'!AA$2:AB$30,2,FALSE)</f>
        <v>2</v>
      </c>
      <c r="AC189" s="77" t="str">
        <f>VLOOKUP(N189,'Component List'!Y$2:Z$30,2,FALSE)</f>
        <v>C</v>
      </c>
      <c r="AD189" s="159" t="e">
        <f>VLOOKUP(O189,'Component List'!W$3:X$30,2,FALSE)</f>
        <v>#N/A</v>
      </c>
      <c r="AG189" s="93"/>
    </row>
    <row r="190" spans="1:33" ht="30" customHeight="1" x14ac:dyDescent="0.3">
      <c r="A190" s="233"/>
      <c r="B190" s="107" t="s">
        <v>189</v>
      </c>
      <c r="C190" s="82" t="s">
        <v>21</v>
      </c>
      <c r="D190" s="80" t="s">
        <v>136</v>
      </c>
      <c r="E190" s="81" t="s">
        <v>182</v>
      </c>
      <c r="F190" s="80" t="s">
        <v>47</v>
      </c>
      <c r="G190" s="80" t="s">
        <v>183</v>
      </c>
      <c r="H190" s="80" t="s">
        <v>138</v>
      </c>
      <c r="I190" s="104" t="s">
        <v>198</v>
      </c>
      <c r="J190" s="117" t="s">
        <v>143</v>
      </c>
      <c r="K190" s="135" t="s">
        <v>366</v>
      </c>
      <c r="L190" s="135" t="s">
        <v>366</v>
      </c>
      <c r="M190" s="101">
        <v>3</v>
      </c>
      <c r="N190" s="82" t="s">
        <v>175</v>
      </c>
      <c r="O190" s="117" t="s">
        <v>367</v>
      </c>
      <c r="P190" s="123" t="e">
        <f t="shared" si="2"/>
        <v>#N/A</v>
      </c>
      <c r="Q190" s="119" t="str">
        <f>VLOOKUP($B190,'Component List'!$A$2:$B$30,2,FALSE)</f>
        <v>SF2</v>
      </c>
      <c r="R190" s="77" t="str">
        <f>VLOOKUP($C190,'Component List'!C$2:D$28,2,FALSE)</f>
        <v>C00</v>
      </c>
      <c r="S190" s="77" t="str">
        <f>VLOOKUP($D190,'Component List'!E$2:F$30,2,FALSE)</f>
        <v>D</v>
      </c>
      <c r="T190" s="77">
        <f>VLOOKUP($E190,'Component List'!G$2:H$30,2,FALSE)</f>
        <v>101</v>
      </c>
      <c r="U190" s="77">
        <f>VLOOKUP($F190,'Component List'!I$2:J$30,2,FALSE)</f>
        <v>104</v>
      </c>
      <c r="V190" s="77">
        <f>VLOOKUP(G190,'Component List'!K$2:L$30,2,FALSE)</f>
        <v>101</v>
      </c>
      <c r="W190" s="77">
        <f>VLOOKUP(H190,'Component List'!M$2:N$31,2,FALSE)</f>
        <v>100</v>
      </c>
      <c r="X190" s="77">
        <f>VLOOKUP(I190,'Component List'!O$2:P$30,2,FALSE)</f>
        <v>100</v>
      </c>
      <c r="Y190" s="77" t="str">
        <f>VLOOKUP(J190,'Component List'!Q$2:R$30,2,FALSE)</f>
        <v>000</v>
      </c>
      <c r="Z190" s="77" t="e">
        <f>VLOOKUP(K190,'Component List'!S$2:T$30,2,FALSE)</f>
        <v>#N/A</v>
      </c>
      <c r="AA190" s="77" t="e">
        <f>VLOOKUP(L190,'Component List'!U$2:V$30,2,FALSE)</f>
        <v>#N/A</v>
      </c>
      <c r="AB190" s="77">
        <f>VLOOKUP(M190,'Component List'!AA$2:AB$30,2,FALSE)</f>
        <v>3</v>
      </c>
      <c r="AC190" s="77" t="str">
        <f>VLOOKUP(N190,'Component List'!Y$2:Z$30,2,FALSE)</f>
        <v>P</v>
      </c>
      <c r="AD190" s="159" t="e">
        <f>VLOOKUP(O190,'Component List'!W$3:X$30,2,FALSE)</f>
        <v>#N/A</v>
      </c>
      <c r="AG190" s="93"/>
    </row>
    <row r="191" spans="1:33" ht="30" customHeight="1" x14ac:dyDescent="0.3">
      <c r="A191" s="233"/>
      <c r="B191" s="107" t="s">
        <v>189</v>
      </c>
      <c r="C191" s="82" t="s">
        <v>21</v>
      </c>
      <c r="D191" s="80" t="s">
        <v>136</v>
      </c>
      <c r="E191" s="81" t="s">
        <v>182</v>
      </c>
      <c r="F191" s="80" t="s">
        <v>47</v>
      </c>
      <c r="G191" s="80" t="s">
        <v>183</v>
      </c>
      <c r="H191" s="80" t="s">
        <v>138</v>
      </c>
      <c r="I191" s="104" t="s">
        <v>198</v>
      </c>
      <c r="J191" s="117" t="s">
        <v>143</v>
      </c>
      <c r="K191" s="135" t="s">
        <v>366</v>
      </c>
      <c r="L191" s="135" t="s">
        <v>366</v>
      </c>
      <c r="M191" s="101">
        <v>3</v>
      </c>
      <c r="N191" s="82" t="s">
        <v>187</v>
      </c>
      <c r="O191" s="117" t="s">
        <v>367</v>
      </c>
      <c r="P191" s="123" t="e">
        <f t="shared" si="2"/>
        <v>#N/A</v>
      </c>
      <c r="Q191" s="119" t="str">
        <f>VLOOKUP($B191,'Component List'!$A$2:$B$30,2,FALSE)</f>
        <v>SF2</v>
      </c>
      <c r="R191" s="77" t="str">
        <f>VLOOKUP($C191,'Component List'!C$2:D$28,2,FALSE)</f>
        <v>C00</v>
      </c>
      <c r="S191" s="77" t="str">
        <f>VLOOKUP($D191,'Component List'!E$2:F$30,2,FALSE)</f>
        <v>D</v>
      </c>
      <c r="T191" s="77">
        <f>VLOOKUP($E191,'Component List'!G$2:H$30,2,FALSE)</f>
        <v>101</v>
      </c>
      <c r="U191" s="77">
        <f>VLOOKUP($F191,'Component List'!I$2:J$30,2,FALSE)</f>
        <v>104</v>
      </c>
      <c r="V191" s="77">
        <f>VLOOKUP(G191,'Component List'!K$2:L$30,2,FALSE)</f>
        <v>101</v>
      </c>
      <c r="W191" s="77">
        <f>VLOOKUP(H191,'Component List'!M$2:N$31,2,FALSE)</f>
        <v>100</v>
      </c>
      <c r="X191" s="77">
        <f>VLOOKUP(I191,'Component List'!O$2:P$30,2,FALSE)</f>
        <v>100</v>
      </c>
      <c r="Y191" s="77" t="str">
        <f>VLOOKUP(J191,'Component List'!Q$2:R$30,2,FALSE)</f>
        <v>000</v>
      </c>
      <c r="Z191" s="77" t="e">
        <f>VLOOKUP(K191,'Component List'!S$2:T$30,2,FALSE)</f>
        <v>#N/A</v>
      </c>
      <c r="AA191" s="77" t="e">
        <f>VLOOKUP(L191,'Component List'!U$2:V$30,2,FALSE)</f>
        <v>#N/A</v>
      </c>
      <c r="AB191" s="77">
        <f>VLOOKUP(M191,'Component List'!AA$2:AB$30,2,FALSE)</f>
        <v>3</v>
      </c>
      <c r="AC191" s="77" t="str">
        <f>VLOOKUP(N191,'Component List'!Y$2:Z$30,2,FALSE)</f>
        <v>C</v>
      </c>
      <c r="AD191" s="159" t="e">
        <f>VLOOKUP(O191,'Component List'!W$3:X$30,2,FALSE)</f>
        <v>#N/A</v>
      </c>
      <c r="AG191" s="93"/>
    </row>
    <row r="192" spans="1:33" ht="30" customHeight="1" x14ac:dyDescent="0.3">
      <c r="A192" s="233"/>
      <c r="B192" s="107" t="s">
        <v>189</v>
      </c>
      <c r="C192" s="80" t="s">
        <v>178</v>
      </c>
      <c r="D192" s="80" t="s">
        <v>136</v>
      </c>
      <c r="E192" s="81" t="s">
        <v>182</v>
      </c>
      <c r="F192" s="80" t="s">
        <v>207</v>
      </c>
      <c r="G192" s="80" t="s">
        <v>183</v>
      </c>
      <c r="H192" s="80" t="s">
        <v>184</v>
      </c>
      <c r="I192" s="104" t="s">
        <v>198</v>
      </c>
      <c r="J192" s="85" t="s">
        <v>219</v>
      </c>
      <c r="K192" s="135" t="s">
        <v>366</v>
      </c>
      <c r="L192" s="135" t="s">
        <v>366</v>
      </c>
      <c r="M192" s="101">
        <v>1</v>
      </c>
      <c r="N192" s="82" t="s">
        <v>175</v>
      </c>
      <c r="O192" s="117" t="s">
        <v>367</v>
      </c>
      <c r="P192" s="123" t="e">
        <f t="shared" si="2"/>
        <v>#N/A</v>
      </c>
      <c r="Q192" s="119" t="str">
        <f>VLOOKUP($B192,'Component List'!$A$2:$B$30,2,FALSE)</f>
        <v>SF2</v>
      </c>
      <c r="R192" s="77" t="e">
        <f>VLOOKUP($C192,'Component List'!C$2:D$28,2,FALSE)</f>
        <v>#N/A</v>
      </c>
      <c r="S192" s="77" t="str">
        <f>VLOOKUP($D192,'Component List'!E$2:F$30,2,FALSE)</f>
        <v>D</v>
      </c>
      <c r="T192" s="77">
        <f>VLOOKUP($E192,'Component List'!G$2:H$30,2,FALSE)</f>
        <v>101</v>
      </c>
      <c r="U192" s="77">
        <f>VLOOKUP($F192,'Component List'!I$2:J$30,2,FALSE)</f>
        <v>103</v>
      </c>
      <c r="V192" s="77">
        <f>VLOOKUP(G192,'Component List'!K$2:L$30,2,FALSE)</f>
        <v>101</v>
      </c>
      <c r="W192" s="77">
        <f>VLOOKUP(H192,'Component List'!M$2:N$31,2,FALSE)</f>
        <v>101</v>
      </c>
      <c r="X192" s="77">
        <f>VLOOKUP(I192,'Component List'!O$2:P$30,2,FALSE)</f>
        <v>100</v>
      </c>
      <c r="Y192" s="77">
        <f>VLOOKUP(J192,'Component List'!Q$2:R$30,2,FALSE)</f>
        <v>101</v>
      </c>
      <c r="Z192" s="77" t="e">
        <f>VLOOKUP(K192,'Component List'!S$2:T$30,2,FALSE)</f>
        <v>#N/A</v>
      </c>
      <c r="AA192" s="77" t="e">
        <f>VLOOKUP(L192,'Component List'!U$2:V$30,2,FALSE)</f>
        <v>#N/A</v>
      </c>
      <c r="AB192" s="77">
        <f>VLOOKUP(M192,'Component List'!AA$2:AB$30,2,FALSE)</f>
        <v>1</v>
      </c>
      <c r="AC192" s="77" t="str">
        <f>VLOOKUP(N192,'Component List'!Y$2:Z$30,2,FALSE)</f>
        <v>P</v>
      </c>
      <c r="AD192" s="159" t="e">
        <f>VLOOKUP(O192,'Component List'!W$3:X$30,2,FALSE)</f>
        <v>#N/A</v>
      </c>
      <c r="AG192" s="93"/>
    </row>
    <row r="193" spans="1:33" ht="30" customHeight="1" x14ac:dyDescent="0.3">
      <c r="A193" s="233"/>
      <c r="B193" s="107" t="s">
        <v>189</v>
      </c>
      <c r="C193" s="80" t="s">
        <v>178</v>
      </c>
      <c r="D193" s="80" t="s">
        <v>136</v>
      </c>
      <c r="E193" s="81" t="s">
        <v>182</v>
      </c>
      <c r="F193" s="80" t="s">
        <v>207</v>
      </c>
      <c r="G193" s="80" t="s">
        <v>183</v>
      </c>
      <c r="H193" s="80" t="s">
        <v>184</v>
      </c>
      <c r="I193" s="104" t="s">
        <v>198</v>
      </c>
      <c r="J193" s="85" t="s">
        <v>219</v>
      </c>
      <c r="K193" s="135" t="s">
        <v>366</v>
      </c>
      <c r="L193" s="135" t="s">
        <v>366</v>
      </c>
      <c r="M193" s="101">
        <v>1</v>
      </c>
      <c r="N193" s="82" t="s">
        <v>187</v>
      </c>
      <c r="O193" s="117" t="s">
        <v>367</v>
      </c>
      <c r="P193" s="123" t="e">
        <f t="shared" si="2"/>
        <v>#N/A</v>
      </c>
      <c r="Q193" s="119" t="str">
        <f>VLOOKUP($B193,'Component List'!$A$2:$B$30,2,FALSE)</f>
        <v>SF2</v>
      </c>
      <c r="R193" s="77" t="e">
        <f>VLOOKUP($C193,'Component List'!C$2:D$28,2,FALSE)</f>
        <v>#N/A</v>
      </c>
      <c r="S193" s="77" t="str">
        <f>VLOOKUP($D193,'Component List'!E$2:F$30,2,FALSE)</f>
        <v>D</v>
      </c>
      <c r="T193" s="77">
        <f>VLOOKUP($E193,'Component List'!G$2:H$30,2,FALSE)</f>
        <v>101</v>
      </c>
      <c r="U193" s="77">
        <f>VLOOKUP($F193,'Component List'!I$2:J$30,2,FALSE)</f>
        <v>103</v>
      </c>
      <c r="V193" s="77">
        <f>VLOOKUP(G193,'Component List'!K$2:L$30,2,FALSE)</f>
        <v>101</v>
      </c>
      <c r="W193" s="77">
        <f>VLOOKUP(H193,'Component List'!M$2:N$31,2,FALSE)</f>
        <v>101</v>
      </c>
      <c r="X193" s="77">
        <f>VLOOKUP(I193,'Component List'!O$2:P$30,2,FALSE)</f>
        <v>100</v>
      </c>
      <c r="Y193" s="77">
        <f>VLOOKUP(J193,'Component List'!Q$2:R$30,2,FALSE)</f>
        <v>101</v>
      </c>
      <c r="Z193" s="77" t="e">
        <f>VLOOKUP(K193,'Component List'!S$2:T$30,2,FALSE)</f>
        <v>#N/A</v>
      </c>
      <c r="AA193" s="77" t="e">
        <f>VLOOKUP(L193,'Component List'!U$2:V$30,2,FALSE)</f>
        <v>#N/A</v>
      </c>
      <c r="AB193" s="77">
        <f>VLOOKUP(M193,'Component List'!AA$2:AB$30,2,FALSE)</f>
        <v>1</v>
      </c>
      <c r="AC193" s="77" t="str">
        <f>VLOOKUP(N193,'Component List'!Y$2:Z$30,2,FALSE)</f>
        <v>C</v>
      </c>
      <c r="AD193" s="159" t="e">
        <f>VLOOKUP(O193,'Component List'!W$3:X$30,2,FALSE)</f>
        <v>#N/A</v>
      </c>
      <c r="AG193" s="93"/>
    </row>
    <row r="194" spans="1:33" ht="30" customHeight="1" x14ac:dyDescent="0.3">
      <c r="A194" s="233"/>
      <c r="B194" s="107" t="s">
        <v>189</v>
      </c>
      <c r="C194" s="80" t="s">
        <v>178</v>
      </c>
      <c r="D194" s="80" t="s">
        <v>136</v>
      </c>
      <c r="E194" s="81" t="s">
        <v>182</v>
      </c>
      <c r="F194" s="80" t="s">
        <v>207</v>
      </c>
      <c r="G194" s="80" t="s">
        <v>183</v>
      </c>
      <c r="H194" s="80" t="s">
        <v>184</v>
      </c>
      <c r="I194" s="104" t="s">
        <v>198</v>
      </c>
      <c r="J194" s="85" t="s">
        <v>219</v>
      </c>
      <c r="K194" s="135" t="s">
        <v>366</v>
      </c>
      <c r="L194" s="135" t="s">
        <v>366</v>
      </c>
      <c r="M194" s="101">
        <v>2</v>
      </c>
      <c r="N194" s="82" t="s">
        <v>175</v>
      </c>
      <c r="O194" s="117" t="s">
        <v>367</v>
      </c>
      <c r="P194" s="123" t="e">
        <f t="shared" si="2"/>
        <v>#N/A</v>
      </c>
      <c r="Q194" s="119" t="str">
        <f>VLOOKUP($B194,'Component List'!$A$2:$B$30,2,FALSE)</f>
        <v>SF2</v>
      </c>
      <c r="R194" s="77" t="e">
        <f>VLOOKUP($C194,'Component List'!C$2:D$28,2,FALSE)</f>
        <v>#N/A</v>
      </c>
      <c r="S194" s="77" t="str">
        <f>VLOOKUP($D194,'Component List'!E$2:F$30,2,FALSE)</f>
        <v>D</v>
      </c>
      <c r="T194" s="77">
        <f>VLOOKUP($E194,'Component List'!G$2:H$30,2,FALSE)</f>
        <v>101</v>
      </c>
      <c r="U194" s="77">
        <f>VLOOKUP($F194,'Component List'!I$2:J$30,2,FALSE)</f>
        <v>103</v>
      </c>
      <c r="V194" s="77">
        <f>VLOOKUP(G194,'Component List'!K$2:L$30,2,FALSE)</f>
        <v>101</v>
      </c>
      <c r="W194" s="77">
        <f>VLOOKUP(H194,'Component List'!M$2:N$31,2,FALSE)</f>
        <v>101</v>
      </c>
      <c r="X194" s="77">
        <f>VLOOKUP(I194,'Component List'!O$2:P$30,2,FALSE)</f>
        <v>100</v>
      </c>
      <c r="Y194" s="77">
        <f>VLOOKUP(J194,'Component List'!Q$2:R$30,2,FALSE)</f>
        <v>101</v>
      </c>
      <c r="Z194" s="77" t="e">
        <f>VLOOKUP(K194,'Component List'!S$2:T$30,2,FALSE)</f>
        <v>#N/A</v>
      </c>
      <c r="AA194" s="77" t="e">
        <f>VLOOKUP(L194,'Component List'!U$2:V$30,2,FALSE)</f>
        <v>#N/A</v>
      </c>
      <c r="AB194" s="77">
        <f>VLOOKUP(M194,'Component List'!AA$2:AB$30,2,FALSE)</f>
        <v>2</v>
      </c>
      <c r="AC194" s="77" t="str">
        <f>VLOOKUP(N194,'Component List'!Y$2:Z$30,2,FALSE)</f>
        <v>P</v>
      </c>
      <c r="AD194" s="159" t="e">
        <f>VLOOKUP(O194,'Component List'!W$3:X$30,2,FALSE)</f>
        <v>#N/A</v>
      </c>
      <c r="AG194" s="93"/>
    </row>
    <row r="195" spans="1:33" ht="30" customHeight="1" x14ac:dyDescent="0.3">
      <c r="A195" s="233"/>
      <c r="B195" s="107" t="s">
        <v>189</v>
      </c>
      <c r="C195" s="80" t="s">
        <v>178</v>
      </c>
      <c r="D195" s="80" t="s">
        <v>136</v>
      </c>
      <c r="E195" s="81" t="s">
        <v>182</v>
      </c>
      <c r="F195" s="80" t="s">
        <v>207</v>
      </c>
      <c r="G195" s="80" t="s">
        <v>183</v>
      </c>
      <c r="H195" s="80" t="s">
        <v>184</v>
      </c>
      <c r="I195" s="104" t="s">
        <v>198</v>
      </c>
      <c r="J195" s="85" t="s">
        <v>219</v>
      </c>
      <c r="K195" s="135" t="s">
        <v>366</v>
      </c>
      <c r="L195" s="135" t="s">
        <v>366</v>
      </c>
      <c r="M195" s="101">
        <v>2</v>
      </c>
      <c r="N195" s="82" t="s">
        <v>187</v>
      </c>
      <c r="O195" s="117" t="s">
        <v>367</v>
      </c>
      <c r="P195" s="123" t="e">
        <f t="shared" si="2"/>
        <v>#N/A</v>
      </c>
      <c r="Q195" s="119" t="str">
        <f>VLOOKUP($B195,'Component List'!$A$2:$B$30,2,FALSE)</f>
        <v>SF2</v>
      </c>
      <c r="R195" s="77" t="e">
        <f>VLOOKUP($C195,'Component List'!C$2:D$28,2,FALSE)</f>
        <v>#N/A</v>
      </c>
      <c r="S195" s="77" t="str">
        <f>VLOOKUP($D195,'Component List'!E$2:F$30,2,FALSE)</f>
        <v>D</v>
      </c>
      <c r="T195" s="77">
        <f>VLOOKUP($E195,'Component List'!G$2:H$30,2,FALSE)</f>
        <v>101</v>
      </c>
      <c r="U195" s="77">
        <f>VLOOKUP($F195,'Component List'!I$2:J$30,2,FALSE)</f>
        <v>103</v>
      </c>
      <c r="V195" s="77">
        <f>VLOOKUP(G195,'Component List'!K$2:L$30,2,FALSE)</f>
        <v>101</v>
      </c>
      <c r="W195" s="77">
        <f>VLOOKUP(H195,'Component List'!M$2:N$31,2,FALSE)</f>
        <v>101</v>
      </c>
      <c r="X195" s="77">
        <f>VLOOKUP(I195,'Component List'!O$2:P$30,2,FALSE)</f>
        <v>100</v>
      </c>
      <c r="Y195" s="77">
        <f>VLOOKUP(J195,'Component List'!Q$2:R$30,2,FALSE)</f>
        <v>101</v>
      </c>
      <c r="Z195" s="77" t="e">
        <f>VLOOKUP(K195,'Component List'!S$2:T$30,2,FALSE)</f>
        <v>#N/A</v>
      </c>
      <c r="AA195" s="77" t="e">
        <f>VLOOKUP(L195,'Component List'!U$2:V$30,2,FALSE)</f>
        <v>#N/A</v>
      </c>
      <c r="AB195" s="77">
        <f>VLOOKUP(M195,'Component List'!AA$2:AB$30,2,FALSE)</f>
        <v>2</v>
      </c>
      <c r="AC195" s="77" t="str">
        <f>VLOOKUP(N195,'Component List'!Y$2:Z$30,2,FALSE)</f>
        <v>C</v>
      </c>
      <c r="AD195" s="159" t="e">
        <f>VLOOKUP(O195,'Component List'!W$3:X$30,2,FALSE)</f>
        <v>#N/A</v>
      </c>
      <c r="AG195" s="93"/>
    </row>
    <row r="196" spans="1:33" ht="30" customHeight="1" x14ac:dyDescent="0.3">
      <c r="A196" s="233"/>
      <c r="B196" s="107" t="s">
        <v>189</v>
      </c>
      <c r="C196" s="80" t="s">
        <v>178</v>
      </c>
      <c r="D196" s="80" t="s">
        <v>136</v>
      </c>
      <c r="E196" s="81" t="s">
        <v>182</v>
      </c>
      <c r="F196" s="80" t="s">
        <v>207</v>
      </c>
      <c r="G196" s="80" t="s">
        <v>183</v>
      </c>
      <c r="H196" s="80" t="s">
        <v>184</v>
      </c>
      <c r="I196" s="104" t="s">
        <v>198</v>
      </c>
      <c r="J196" s="85" t="s">
        <v>219</v>
      </c>
      <c r="K196" s="135" t="s">
        <v>366</v>
      </c>
      <c r="L196" s="135" t="s">
        <v>366</v>
      </c>
      <c r="M196" s="101">
        <v>3</v>
      </c>
      <c r="N196" s="82" t="s">
        <v>175</v>
      </c>
      <c r="O196" s="117" t="s">
        <v>367</v>
      </c>
      <c r="P196" s="123" t="e">
        <f t="shared" si="2"/>
        <v>#N/A</v>
      </c>
      <c r="Q196" s="119" t="str">
        <f>VLOOKUP($B196,'Component List'!$A$2:$B$30,2,FALSE)</f>
        <v>SF2</v>
      </c>
      <c r="R196" s="77" t="e">
        <f>VLOOKUP($C196,'Component List'!C$2:D$28,2,FALSE)</f>
        <v>#N/A</v>
      </c>
      <c r="S196" s="77" t="str">
        <f>VLOOKUP($D196,'Component List'!E$2:F$30,2,FALSE)</f>
        <v>D</v>
      </c>
      <c r="T196" s="77">
        <f>VLOOKUP($E196,'Component List'!G$2:H$30,2,FALSE)</f>
        <v>101</v>
      </c>
      <c r="U196" s="77">
        <f>VLOOKUP($F196,'Component List'!I$2:J$30,2,FALSE)</f>
        <v>103</v>
      </c>
      <c r="V196" s="77">
        <f>VLOOKUP(G196,'Component List'!K$2:L$30,2,FALSE)</f>
        <v>101</v>
      </c>
      <c r="W196" s="77">
        <f>VLOOKUP(H196,'Component List'!M$2:N$31,2,FALSE)</f>
        <v>101</v>
      </c>
      <c r="X196" s="77">
        <f>VLOOKUP(I196,'Component List'!O$2:P$30,2,FALSE)</f>
        <v>100</v>
      </c>
      <c r="Y196" s="77">
        <f>VLOOKUP(J196,'Component List'!Q$2:R$30,2,FALSE)</f>
        <v>101</v>
      </c>
      <c r="Z196" s="77" t="e">
        <f>VLOOKUP(K196,'Component List'!S$2:T$30,2,FALSE)</f>
        <v>#N/A</v>
      </c>
      <c r="AA196" s="77" t="e">
        <f>VLOOKUP(L196,'Component List'!U$2:V$30,2,FALSE)</f>
        <v>#N/A</v>
      </c>
      <c r="AB196" s="77">
        <f>VLOOKUP(M196,'Component List'!AA$2:AB$30,2,FALSE)</f>
        <v>3</v>
      </c>
      <c r="AC196" s="77" t="str">
        <f>VLOOKUP(N196,'Component List'!Y$2:Z$30,2,FALSE)</f>
        <v>P</v>
      </c>
      <c r="AD196" s="159" t="e">
        <f>VLOOKUP(O196,'Component List'!W$3:X$30,2,FALSE)</f>
        <v>#N/A</v>
      </c>
      <c r="AG196" s="93"/>
    </row>
    <row r="197" spans="1:33" ht="30" customHeight="1" x14ac:dyDescent="0.3">
      <c r="A197" s="233"/>
      <c r="B197" s="107" t="s">
        <v>189</v>
      </c>
      <c r="C197" s="80" t="s">
        <v>178</v>
      </c>
      <c r="D197" s="80" t="s">
        <v>136</v>
      </c>
      <c r="E197" s="81" t="s">
        <v>182</v>
      </c>
      <c r="F197" s="80" t="s">
        <v>207</v>
      </c>
      <c r="G197" s="80" t="s">
        <v>183</v>
      </c>
      <c r="H197" s="80" t="s">
        <v>184</v>
      </c>
      <c r="I197" s="104" t="s">
        <v>198</v>
      </c>
      <c r="J197" s="85" t="s">
        <v>219</v>
      </c>
      <c r="K197" s="135" t="s">
        <v>366</v>
      </c>
      <c r="L197" s="135" t="s">
        <v>366</v>
      </c>
      <c r="M197" s="101">
        <v>3</v>
      </c>
      <c r="N197" s="82" t="s">
        <v>187</v>
      </c>
      <c r="O197" s="117" t="s">
        <v>367</v>
      </c>
      <c r="P197" s="123" t="e">
        <f t="shared" si="2"/>
        <v>#N/A</v>
      </c>
      <c r="Q197" s="119" t="str">
        <f>VLOOKUP($B197,'Component List'!$A$2:$B$30,2,FALSE)</f>
        <v>SF2</v>
      </c>
      <c r="R197" s="77" t="e">
        <f>VLOOKUP($C197,'Component List'!C$2:D$28,2,FALSE)</f>
        <v>#N/A</v>
      </c>
      <c r="S197" s="77" t="str">
        <f>VLOOKUP($D197,'Component List'!E$2:F$30,2,FALSE)</f>
        <v>D</v>
      </c>
      <c r="T197" s="77">
        <f>VLOOKUP($E197,'Component List'!G$2:H$30,2,FALSE)</f>
        <v>101</v>
      </c>
      <c r="U197" s="77">
        <f>VLOOKUP($F197,'Component List'!I$2:J$30,2,FALSE)</f>
        <v>103</v>
      </c>
      <c r="V197" s="77">
        <f>VLOOKUP(G197,'Component List'!K$2:L$30,2,FALSE)</f>
        <v>101</v>
      </c>
      <c r="W197" s="77">
        <f>VLOOKUP(H197,'Component List'!M$2:N$31,2,FALSE)</f>
        <v>101</v>
      </c>
      <c r="X197" s="77">
        <f>VLOOKUP(I197,'Component List'!O$2:P$30,2,FALSE)</f>
        <v>100</v>
      </c>
      <c r="Y197" s="77">
        <f>VLOOKUP(J197,'Component List'!Q$2:R$30,2,FALSE)</f>
        <v>101</v>
      </c>
      <c r="Z197" s="77" t="e">
        <f>VLOOKUP(K197,'Component List'!S$2:T$30,2,FALSE)</f>
        <v>#N/A</v>
      </c>
      <c r="AA197" s="77" t="e">
        <f>VLOOKUP(L197,'Component List'!U$2:V$30,2,FALSE)</f>
        <v>#N/A</v>
      </c>
      <c r="AB197" s="77">
        <f>VLOOKUP(M197,'Component List'!AA$2:AB$30,2,FALSE)</f>
        <v>3</v>
      </c>
      <c r="AC197" s="77" t="str">
        <f>VLOOKUP(N197,'Component List'!Y$2:Z$30,2,FALSE)</f>
        <v>C</v>
      </c>
      <c r="AD197" s="159" t="e">
        <f>VLOOKUP(O197,'Component List'!W$3:X$30,2,FALSE)</f>
        <v>#N/A</v>
      </c>
      <c r="AG197" s="93"/>
    </row>
    <row r="198" spans="1:33" ht="30" customHeight="1" x14ac:dyDescent="0.3">
      <c r="A198" s="233"/>
      <c r="B198" s="107" t="s">
        <v>189</v>
      </c>
      <c r="C198" s="80" t="s">
        <v>178</v>
      </c>
      <c r="D198" s="80" t="s">
        <v>136</v>
      </c>
      <c r="E198" s="81" t="s">
        <v>137</v>
      </c>
      <c r="F198" s="80" t="s">
        <v>39</v>
      </c>
      <c r="G198" s="80" t="s">
        <v>183</v>
      </c>
      <c r="H198" s="80" t="s">
        <v>138</v>
      </c>
      <c r="I198" s="104" t="s">
        <v>198</v>
      </c>
      <c r="J198" s="117" t="s">
        <v>143</v>
      </c>
      <c r="K198" s="135" t="s">
        <v>366</v>
      </c>
      <c r="L198" s="135" t="s">
        <v>366</v>
      </c>
      <c r="M198" s="101">
        <v>1</v>
      </c>
      <c r="N198" s="82" t="s">
        <v>175</v>
      </c>
      <c r="O198" s="117" t="s">
        <v>367</v>
      </c>
      <c r="P198" s="123" t="e">
        <f t="shared" si="2"/>
        <v>#N/A</v>
      </c>
      <c r="Q198" s="119" t="str">
        <f>VLOOKUP($B198,'Component List'!$A$2:$B$30,2,FALSE)</f>
        <v>SF2</v>
      </c>
      <c r="R198" s="77" t="e">
        <f>VLOOKUP($C198,'Component List'!C$2:D$28,2,FALSE)</f>
        <v>#N/A</v>
      </c>
      <c r="S198" s="77" t="str">
        <f>VLOOKUP($D198,'Component List'!E$2:F$30,2,FALSE)</f>
        <v>D</v>
      </c>
      <c r="T198" s="77">
        <f>VLOOKUP($E198,'Component List'!G$2:H$30,2,FALSE)</f>
        <v>102</v>
      </c>
      <c r="U198" s="77">
        <f>VLOOKUP($F198,'Component List'!I$2:J$30,2,FALSE)</f>
        <v>105</v>
      </c>
      <c r="V198" s="77">
        <f>VLOOKUP(G198,'Component List'!K$2:L$30,2,FALSE)</f>
        <v>101</v>
      </c>
      <c r="W198" s="77">
        <f>VLOOKUP(H198,'Component List'!M$2:N$31,2,FALSE)</f>
        <v>100</v>
      </c>
      <c r="X198" s="77">
        <f>VLOOKUP(I198,'Component List'!O$2:P$30,2,FALSE)</f>
        <v>100</v>
      </c>
      <c r="Y198" s="77" t="str">
        <f>VLOOKUP(J198,'Component List'!Q$2:R$30,2,FALSE)</f>
        <v>000</v>
      </c>
      <c r="Z198" s="77" t="e">
        <f>VLOOKUP(K198,'Component List'!S$2:T$30,2,FALSE)</f>
        <v>#N/A</v>
      </c>
      <c r="AA198" s="77" t="e">
        <f>VLOOKUP(L198,'Component List'!U$2:V$30,2,FALSE)</f>
        <v>#N/A</v>
      </c>
      <c r="AB198" s="77">
        <f>VLOOKUP(M198,'Component List'!AA$2:AB$30,2,FALSE)</f>
        <v>1</v>
      </c>
      <c r="AC198" s="77" t="str">
        <f>VLOOKUP(N198,'Component List'!Y$2:Z$30,2,FALSE)</f>
        <v>P</v>
      </c>
      <c r="AD198" s="159" t="e">
        <f>VLOOKUP(O198,'Component List'!W$3:X$30,2,FALSE)</f>
        <v>#N/A</v>
      </c>
      <c r="AG198" s="93"/>
    </row>
    <row r="199" spans="1:33" ht="30" customHeight="1" x14ac:dyDescent="0.3">
      <c r="A199" s="233"/>
      <c r="B199" s="107" t="s">
        <v>189</v>
      </c>
      <c r="C199" s="80" t="s">
        <v>178</v>
      </c>
      <c r="D199" s="80" t="s">
        <v>136</v>
      </c>
      <c r="E199" s="81" t="s">
        <v>137</v>
      </c>
      <c r="F199" s="80" t="s">
        <v>39</v>
      </c>
      <c r="G199" s="80" t="s">
        <v>183</v>
      </c>
      <c r="H199" s="80" t="s">
        <v>138</v>
      </c>
      <c r="I199" s="104" t="s">
        <v>198</v>
      </c>
      <c r="J199" s="117" t="s">
        <v>143</v>
      </c>
      <c r="K199" s="135" t="s">
        <v>366</v>
      </c>
      <c r="L199" s="135" t="s">
        <v>366</v>
      </c>
      <c r="M199" s="101">
        <v>1</v>
      </c>
      <c r="N199" s="82" t="s">
        <v>187</v>
      </c>
      <c r="O199" s="117" t="s">
        <v>367</v>
      </c>
      <c r="P199" s="123" t="e">
        <f t="shared" si="2"/>
        <v>#N/A</v>
      </c>
      <c r="Q199" s="119" t="str">
        <f>VLOOKUP($B199,'Component List'!$A$2:$B$30,2,FALSE)</f>
        <v>SF2</v>
      </c>
      <c r="R199" s="77" t="e">
        <f>VLOOKUP($C199,'Component List'!C$2:D$28,2,FALSE)</f>
        <v>#N/A</v>
      </c>
      <c r="S199" s="77" t="str">
        <f>VLOOKUP($D199,'Component List'!E$2:F$30,2,FALSE)</f>
        <v>D</v>
      </c>
      <c r="T199" s="77">
        <f>VLOOKUP($E199,'Component List'!G$2:H$30,2,FALSE)</f>
        <v>102</v>
      </c>
      <c r="U199" s="77">
        <f>VLOOKUP($F199,'Component List'!I$2:J$30,2,FALSE)</f>
        <v>105</v>
      </c>
      <c r="V199" s="77">
        <f>VLOOKUP(G199,'Component List'!K$2:L$30,2,FALSE)</f>
        <v>101</v>
      </c>
      <c r="W199" s="77">
        <f>VLOOKUP(H199,'Component List'!M$2:N$31,2,FALSE)</f>
        <v>100</v>
      </c>
      <c r="X199" s="77">
        <f>VLOOKUP(I199,'Component List'!O$2:P$30,2,FALSE)</f>
        <v>100</v>
      </c>
      <c r="Y199" s="77" t="str">
        <f>VLOOKUP(J199,'Component List'!Q$2:R$30,2,FALSE)</f>
        <v>000</v>
      </c>
      <c r="Z199" s="77" t="e">
        <f>VLOOKUP(K199,'Component List'!S$2:T$30,2,FALSE)</f>
        <v>#N/A</v>
      </c>
      <c r="AA199" s="77" t="e">
        <f>VLOOKUP(L199,'Component List'!U$2:V$30,2,FALSE)</f>
        <v>#N/A</v>
      </c>
      <c r="AB199" s="77">
        <f>VLOOKUP(M199,'Component List'!AA$2:AB$30,2,FALSE)</f>
        <v>1</v>
      </c>
      <c r="AC199" s="77" t="str">
        <f>VLOOKUP(N199,'Component List'!Y$2:Z$30,2,FALSE)</f>
        <v>C</v>
      </c>
      <c r="AD199" s="159" t="e">
        <f>VLOOKUP(O199,'Component List'!W$3:X$30,2,FALSE)</f>
        <v>#N/A</v>
      </c>
      <c r="AG199" s="93"/>
    </row>
    <row r="200" spans="1:33" ht="30" customHeight="1" x14ac:dyDescent="0.3">
      <c r="A200" s="233"/>
      <c r="B200" s="107" t="s">
        <v>189</v>
      </c>
      <c r="C200" s="80" t="s">
        <v>178</v>
      </c>
      <c r="D200" s="80" t="s">
        <v>136</v>
      </c>
      <c r="E200" s="81" t="s">
        <v>137</v>
      </c>
      <c r="F200" s="80" t="s">
        <v>39</v>
      </c>
      <c r="G200" s="80" t="s">
        <v>183</v>
      </c>
      <c r="H200" s="80" t="s">
        <v>138</v>
      </c>
      <c r="I200" s="104" t="s">
        <v>198</v>
      </c>
      <c r="J200" s="117" t="s">
        <v>143</v>
      </c>
      <c r="K200" s="135" t="s">
        <v>366</v>
      </c>
      <c r="L200" s="135" t="s">
        <v>366</v>
      </c>
      <c r="M200" s="101">
        <v>2</v>
      </c>
      <c r="N200" s="82" t="s">
        <v>175</v>
      </c>
      <c r="O200" s="117" t="s">
        <v>367</v>
      </c>
      <c r="P200" s="123" t="e">
        <f t="shared" si="2"/>
        <v>#N/A</v>
      </c>
      <c r="Q200" s="119" t="str">
        <f>VLOOKUP($B200,'Component List'!$A$2:$B$30,2,FALSE)</f>
        <v>SF2</v>
      </c>
      <c r="R200" s="77" t="e">
        <f>VLOOKUP($C200,'Component List'!C$2:D$28,2,FALSE)</f>
        <v>#N/A</v>
      </c>
      <c r="S200" s="77" t="str">
        <f>VLOOKUP($D200,'Component List'!E$2:F$30,2,FALSE)</f>
        <v>D</v>
      </c>
      <c r="T200" s="77">
        <f>VLOOKUP($E200,'Component List'!G$2:H$30,2,FALSE)</f>
        <v>102</v>
      </c>
      <c r="U200" s="77">
        <f>VLOOKUP($F200,'Component List'!I$2:J$30,2,FALSE)</f>
        <v>105</v>
      </c>
      <c r="V200" s="77">
        <f>VLOOKUP(G200,'Component List'!K$2:L$30,2,FALSE)</f>
        <v>101</v>
      </c>
      <c r="W200" s="77">
        <f>VLOOKUP(H200,'Component List'!M$2:N$31,2,FALSE)</f>
        <v>100</v>
      </c>
      <c r="X200" s="77">
        <f>VLOOKUP(I200,'Component List'!O$2:P$30,2,FALSE)</f>
        <v>100</v>
      </c>
      <c r="Y200" s="77" t="str">
        <f>VLOOKUP(J200,'Component List'!Q$2:R$30,2,FALSE)</f>
        <v>000</v>
      </c>
      <c r="Z200" s="77" t="e">
        <f>VLOOKUP(K200,'Component List'!S$2:T$30,2,FALSE)</f>
        <v>#N/A</v>
      </c>
      <c r="AA200" s="77" t="e">
        <f>VLOOKUP(L200,'Component List'!U$2:V$30,2,FALSE)</f>
        <v>#N/A</v>
      </c>
      <c r="AB200" s="77">
        <f>VLOOKUP(M200,'Component List'!AA$2:AB$30,2,FALSE)</f>
        <v>2</v>
      </c>
      <c r="AC200" s="77" t="str">
        <f>VLOOKUP(N200,'Component List'!Y$2:Z$30,2,FALSE)</f>
        <v>P</v>
      </c>
      <c r="AD200" s="159" t="e">
        <f>VLOOKUP(O200,'Component List'!W$3:X$30,2,FALSE)</f>
        <v>#N/A</v>
      </c>
      <c r="AG200" s="93"/>
    </row>
    <row r="201" spans="1:33" ht="30" customHeight="1" x14ac:dyDescent="0.3">
      <c r="A201" s="233"/>
      <c r="B201" s="107" t="s">
        <v>189</v>
      </c>
      <c r="C201" s="80" t="s">
        <v>178</v>
      </c>
      <c r="D201" s="80" t="s">
        <v>136</v>
      </c>
      <c r="E201" s="81" t="s">
        <v>137</v>
      </c>
      <c r="F201" s="80" t="s">
        <v>39</v>
      </c>
      <c r="G201" s="80" t="s">
        <v>183</v>
      </c>
      <c r="H201" s="80" t="s">
        <v>138</v>
      </c>
      <c r="I201" s="104" t="s">
        <v>198</v>
      </c>
      <c r="J201" s="117" t="s">
        <v>143</v>
      </c>
      <c r="K201" s="135" t="s">
        <v>366</v>
      </c>
      <c r="L201" s="135" t="s">
        <v>366</v>
      </c>
      <c r="M201" s="101">
        <v>2</v>
      </c>
      <c r="N201" s="82" t="s">
        <v>187</v>
      </c>
      <c r="O201" s="117" t="s">
        <v>367</v>
      </c>
      <c r="P201" s="123" t="e">
        <f t="shared" si="2"/>
        <v>#N/A</v>
      </c>
      <c r="Q201" s="119" t="str">
        <f>VLOOKUP($B201,'Component List'!$A$2:$B$30,2,FALSE)</f>
        <v>SF2</v>
      </c>
      <c r="R201" s="77" t="e">
        <f>VLOOKUP($C201,'Component List'!C$2:D$28,2,FALSE)</f>
        <v>#N/A</v>
      </c>
      <c r="S201" s="77" t="str">
        <f>VLOOKUP($D201,'Component List'!E$2:F$30,2,FALSE)</f>
        <v>D</v>
      </c>
      <c r="T201" s="77">
        <f>VLOOKUP($E201,'Component List'!G$2:H$30,2,FALSE)</f>
        <v>102</v>
      </c>
      <c r="U201" s="77">
        <f>VLOOKUP($F201,'Component List'!I$2:J$30,2,FALSE)</f>
        <v>105</v>
      </c>
      <c r="V201" s="77">
        <f>VLOOKUP(G201,'Component List'!K$2:L$30,2,FALSE)</f>
        <v>101</v>
      </c>
      <c r="W201" s="77">
        <f>VLOOKUP(H201,'Component List'!M$2:N$31,2,FALSE)</f>
        <v>100</v>
      </c>
      <c r="X201" s="77">
        <f>VLOOKUP(I201,'Component List'!O$2:P$30,2,FALSE)</f>
        <v>100</v>
      </c>
      <c r="Y201" s="77" t="str">
        <f>VLOOKUP(J201,'Component List'!Q$2:R$30,2,FALSE)</f>
        <v>000</v>
      </c>
      <c r="Z201" s="77" t="e">
        <f>VLOOKUP(K201,'Component List'!S$2:T$30,2,FALSE)</f>
        <v>#N/A</v>
      </c>
      <c r="AA201" s="77" t="e">
        <f>VLOOKUP(L201,'Component List'!U$2:V$30,2,FALSE)</f>
        <v>#N/A</v>
      </c>
      <c r="AB201" s="77">
        <f>VLOOKUP(M201,'Component List'!AA$2:AB$30,2,FALSE)</f>
        <v>2</v>
      </c>
      <c r="AC201" s="77" t="str">
        <f>VLOOKUP(N201,'Component List'!Y$2:Z$30,2,FALSE)</f>
        <v>C</v>
      </c>
      <c r="AD201" s="159" t="e">
        <f>VLOOKUP(O201,'Component List'!W$3:X$30,2,FALSE)</f>
        <v>#N/A</v>
      </c>
      <c r="AG201" s="93"/>
    </row>
    <row r="202" spans="1:33" ht="30" customHeight="1" x14ac:dyDescent="0.3">
      <c r="A202" s="233"/>
      <c r="B202" s="107" t="s">
        <v>189</v>
      </c>
      <c r="C202" s="80" t="s">
        <v>178</v>
      </c>
      <c r="D202" s="80" t="s">
        <v>136</v>
      </c>
      <c r="E202" s="81" t="s">
        <v>137</v>
      </c>
      <c r="F202" s="80" t="s">
        <v>39</v>
      </c>
      <c r="G202" s="80" t="s">
        <v>183</v>
      </c>
      <c r="H202" s="80" t="s">
        <v>138</v>
      </c>
      <c r="I202" s="104" t="s">
        <v>198</v>
      </c>
      <c r="J202" s="117" t="s">
        <v>143</v>
      </c>
      <c r="K202" s="135" t="s">
        <v>366</v>
      </c>
      <c r="L202" s="135" t="s">
        <v>366</v>
      </c>
      <c r="M202" s="101">
        <v>3</v>
      </c>
      <c r="N202" s="82" t="s">
        <v>175</v>
      </c>
      <c r="O202" s="117" t="s">
        <v>367</v>
      </c>
      <c r="P202" s="123" t="e">
        <f t="shared" si="2"/>
        <v>#N/A</v>
      </c>
      <c r="Q202" s="119" t="str">
        <f>VLOOKUP($B202,'Component List'!$A$2:$B$30,2,FALSE)</f>
        <v>SF2</v>
      </c>
      <c r="R202" s="77" t="e">
        <f>VLOOKUP($C202,'Component List'!C$2:D$28,2,FALSE)</f>
        <v>#N/A</v>
      </c>
      <c r="S202" s="77" t="str">
        <f>VLOOKUP($D202,'Component List'!E$2:F$30,2,FALSE)</f>
        <v>D</v>
      </c>
      <c r="T202" s="77">
        <f>VLOOKUP($E202,'Component List'!G$2:H$30,2,FALSE)</f>
        <v>102</v>
      </c>
      <c r="U202" s="77">
        <f>VLOOKUP($F202,'Component List'!I$2:J$30,2,FALSE)</f>
        <v>105</v>
      </c>
      <c r="V202" s="77">
        <f>VLOOKUP(G202,'Component List'!K$2:L$30,2,FALSE)</f>
        <v>101</v>
      </c>
      <c r="W202" s="77">
        <f>VLOOKUP(H202,'Component List'!M$2:N$31,2,FALSE)</f>
        <v>100</v>
      </c>
      <c r="X202" s="77">
        <f>VLOOKUP(I202,'Component List'!O$2:P$30,2,FALSE)</f>
        <v>100</v>
      </c>
      <c r="Y202" s="77" t="str">
        <f>VLOOKUP(J202,'Component List'!Q$2:R$30,2,FALSE)</f>
        <v>000</v>
      </c>
      <c r="Z202" s="77" t="e">
        <f>VLOOKUP(K202,'Component List'!S$2:T$30,2,FALSE)</f>
        <v>#N/A</v>
      </c>
      <c r="AA202" s="77" t="e">
        <f>VLOOKUP(L202,'Component List'!U$2:V$30,2,FALSE)</f>
        <v>#N/A</v>
      </c>
      <c r="AB202" s="77">
        <f>VLOOKUP(M202,'Component List'!AA$2:AB$30,2,FALSE)</f>
        <v>3</v>
      </c>
      <c r="AC202" s="77" t="str">
        <f>VLOOKUP(N202,'Component List'!Y$2:Z$30,2,FALSE)</f>
        <v>P</v>
      </c>
      <c r="AD202" s="159" t="e">
        <f>VLOOKUP(O202,'Component List'!W$3:X$30,2,FALSE)</f>
        <v>#N/A</v>
      </c>
      <c r="AG202" s="93"/>
    </row>
    <row r="203" spans="1:33" ht="30" customHeight="1" x14ac:dyDescent="0.3">
      <c r="A203" s="233"/>
      <c r="B203" s="107" t="s">
        <v>189</v>
      </c>
      <c r="C203" s="80" t="s">
        <v>178</v>
      </c>
      <c r="D203" s="80" t="s">
        <v>136</v>
      </c>
      <c r="E203" s="81" t="s">
        <v>137</v>
      </c>
      <c r="F203" s="80" t="s">
        <v>39</v>
      </c>
      <c r="G203" s="80" t="s">
        <v>183</v>
      </c>
      <c r="H203" s="80" t="s">
        <v>138</v>
      </c>
      <c r="I203" s="104" t="s">
        <v>198</v>
      </c>
      <c r="J203" s="117" t="s">
        <v>143</v>
      </c>
      <c r="K203" s="135" t="s">
        <v>366</v>
      </c>
      <c r="L203" s="135" t="s">
        <v>366</v>
      </c>
      <c r="M203" s="101">
        <v>3</v>
      </c>
      <c r="N203" s="82" t="s">
        <v>187</v>
      </c>
      <c r="O203" s="117" t="s">
        <v>367</v>
      </c>
      <c r="P203" s="123" t="e">
        <f t="shared" si="2"/>
        <v>#N/A</v>
      </c>
      <c r="Q203" s="119" t="str">
        <f>VLOOKUP($B203,'Component List'!$A$2:$B$30,2,FALSE)</f>
        <v>SF2</v>
      </c>
      <c r="R203" s="77" t="e">
        <f>VLOOKUP($C203,'Component List'!C$2:D$28,2,FALSE)</f>
        <v>#N/A</v>
      </c>
      <c r="S203" s="77" t="str">
        <f>VLOOKUP($D203,'Component List'!E$2:F$30,2,FALSE)</f>
        <v>D</v>
      </c>
      <c r="T203" s="77">
        <f>VLOOKUP($E203,'Component List'!G$2:H$30,2,FALSE)</f>
        <v>102</v>
      </c>
      <c r="U203" s="77">
        <f>VLOOKUP($F203,'Component List'!I$2:J$30,2,FALSE)</f>
        <v>105</v>
      </c>
      <c r="V203" s="77">
        <f>VLOOKUP(G203,'Component List'!K$2:L$30,2,FALSE)</f>
        <v>101</v>
      </c>
      <c r="W203" s="77">
        <f>VLOOKUP(H203,'Component List'!M$2:N$31,2,FALSE)</f>
        <v>100</v>
      </c>
      <c r="X203" s="77">
        <f>VLOOKUP(I203,'Component List'!O$2:P$30,2,FALSE)</f>
        <v>100</v>
      </c>
      <c r="Y203" s="77" t="str">
        <f>VLOOKUP(J203,'Component List'!Q$2:R$30,2,FALSE)</f>
        <v>000</v>
      </c>
      <c r="Z203" s="77" t="e">
        <f>VLOOKUP(K203,'Component List'!S$2:T$30,2,FALSE)</f>
        <v>#N/A</v>
      </c>
      <c r="AA203" s="77" t="e">
        <f>VLOOKUP(L203,'Component List'!U$2:V$30,2,FALSE)</f>
        <v>#N/A</v>
      </c>
      <c r="AB203" s="77">
        <f>VLOOKUP(M203,'Component List'!AA$2:AB$30,2,FALSE)</f>
        <v>3</v>
      </c>
      <c r="AC203" s="77" t="str">
        <f>VLOOKUP(N203,'Component List'!Y$2:Z$30,2,FALSE)</f>
        <v>C</v>
      </c>
      <c r="AD203" s="159" t="e">
        <f>VLOOKUP(O203,'Component List'!W$3:X$30,2,FALSE)</f>
        <v>#N/A</v>
      </c>
      <c r="AG203" s="93"/>
    </row>
    <row r="204" spans="1:33" ht="30" customHeight="1" x14ac:dyDescent="0.3">
      <c r="A204" s="233"/>
      <c r="B204" s="107" t="s">
        <v>189</v>
      </c>
      <c r="C204" s="80" t="s">
        <v>178</v>
      </c>
      <c r="D204" s="80" t="s">
        <v>136</v>
      </c>
      <c r="E204" s="81" t="s">
        <v>137</v>
      </c>
      <c r="F204" s="80" t="s">
        <v>45</v>
      </c>
      <c r="G204" s="80" t="s">
        <v>183</v>
      </c>
      <c r="H204" s="80" t="s">
        <v>208</v>
      </c>
      <c r="I204" s="104" t="s">
        <v>198</v>
      </c>
      <c r="J204" s="117" t="s">
        <v>143</v>
      </c>
      <c r="K204" s="135" t="s">
        <v>366</v>
      </c>
      <c r="L204" s="135" t="s">
        <v>366</v>
      </c>
      <c r="M204" s="101">
        <v>1</v>
      </c>
      <c r="N204" s="82" t="s">
        <v>175</v>
      </c>
      <c r="O204" s="117" t="s">
        <v>367</v>
      </c>
      <c r="P204" s="123" t="e">
        <f t="shared" si="2"/>
        <v>#N/A</v>
      </c>
      <c r="Q204" s="119" t="str">
        <f>VLOOKUP($B204,'Component List'!$A$2:$B$30,2,FALSE)</f>
        <v>SF2</v>
      </c>
      <c r="R204" s="77" t="e">
        <f>VLOOKUP($C204,'Component List'!C$2:D$28,2,FALSE)</f>
        <v>#N/A</v>
      </c>
      <c r="S204" s="77" t="str">
        <f>VLOOKUP($D204,'Component List'!E$2:F$30,2,FALSE)</f>
        <v>D</v>
      </c>
      <c r="T204" s="77">
        <f>VLOOKUP($E204,'Component List'!G$2:H$30,2,FALSE)</f>
        <v>102</v>
      </c>
      <c r="U204" s="77">
        <f>VLOOKUP($F204,'Component List'!I$2:J$30,2,FALSE)</f>
        <v>106</v>
      </c>
      <c r="V204" s="77">
        <f>VLOOKUP(G204,'Component List'!K$2:L$30,2,FALSE)</f>
        <v>101</v>
      </c>
      <c r="W204" s="77">
        <f>VLOOKUP(H204,'Component List'!M$2:N$31,2,FALSE)</f>
        <v>103</v>
      </c>
      <c r="X204" s="77">
        <f>VLOOKUP(I204,'Component List'!O$2:P$30,2,FALSE)</f>
        <v>100</v>
      </c>
      <c r="Y204" s="77" t="str">
        <f>VLOOKUP(J204,'Component List'!Q$2:R$30,2,FALSE)</f>
        <v>000</v>
      </c>
      <c r="Z204" s="77" t="e">
        <f>VLOOKUP(K204,'Component List'!S$2:T$30,2,FALSE)</f>
        <v>#N/A</v>
      </c>
      <c r="AA204" s="77" t="e">
        <f>VLOOKUP(L204,'Component List'!U$2:V$30,2,FALSE)</f>
        <v>#N/A</v>
      </c>
      <c r="AB204" s="77">
        <f>VLOOKUP(M204,'Component List'!AA$2:AB$30,2,FALSE)</f>
        <v>1</v>
      </c>
      <c r="AC204" s="77" t="str">
        <f>VLOOKUP(N204,'Component List'!Y$2:Z$30,2,FALSE)</f>
        <v>P</v>
      </c>
      <c r="AD204" s="159" t="e">
        <f>VLOOKUP(O204,'Component List'!W$3:X$30,2,FALSE)</f>
        <v>#N/A</v>
      </c>
      <c r="AG204" s="93"/>
    </row>
    <row r="205" spans="1:33" ht="30" customHeight="1" x14ac:dyDescent="0.3">
      <c r="A205" s="233"/>
      <c r="B205" s="107" t="s">
        <v>189</v>
      </c>
      <c r="C205" s="80" t="s">
        <v>178</v>
      </c>
      <c r="D205" s="80" t="s">
        <v>136</v>
      </c>
      <c r="E205" s="81" t="s">
        <v>137</v>
      </c>
      <c r="F205" s="80" t="s">
        <v>45</v>
      </c>
      <c r="G205" s="80" t="s">
        <v>183</v>
      </c>
      <c r="H205" s="80" t="s">
        <v>208</v>
      </c>
      <c r="I205" s="104" t="s">
        <v>198</v>
      </c>
      <c r="J205" s="117" t="s">
        <v>143</v>
      </c>
      <c r="K205" s="135" t="s">
        <v>366</v>
      </c>
      <c r="L205" s="135" t="s">
        <v>366</v>
      </c>
      <c r="M205" s="101">
        <v>1</v>
      </c>
      <c r="N205" s="82" t="s">
        <v>187</v>
      </c>
      <c r="O205" s="117" t="s">
        <v>367</v>
      </c>
      <c r="P205" s="123" t="e">
        <f t="shared" si="2"/>
        <v>#N/A</v>
      </c>
      <c r="Q205" s="119" t="str">
        <f>VLOOKUP($B205,'Component List'!$A$2:$B$30,2,FALSE)</f>
        <v>SF2</v>
      </c>
      <c r="R205" s="77" t="e">
        <f>VLOOKUP($C205,'Component List'!C$2:D$28,2,FALSE)</f>
        <v>#N/A</v>
      </c>
      <c r="S205" s="77" t="str">
        <f>VLOOKUP($D205,'Component List'!E$2:F$30,2,FALSE)</f>
        <v>D</v>
      </c>
      <c r="T205" s="77">
        <f>VLOOKUP($E205,'Component List'!G$2:H$30,2,FALSE)</f>
        <v>102</v>
      </c>
      <c r="U205" s="77">
        <f>VLOOKUP($F205,'Component List'!I$2:J$30,2,FALSE)</f>
        <v>106</v>
      </c>
      <c r="V205" s="77">
        <f>VLOOKUP(G205,'Component List'!K$2:L$30,2,FALSE)</f>
        <v>101</v>
      </c>
      <c r="W205" s="77">
        <f>VLOOKUP(H205,'Component List'!M$2:N$31,2,FALSE)</f>
        <v>103</v>
      </c>
      <c r="X205" s="77">
        <f>VLOOKUP(I205,'Component List'!O$2:P$30,2,FALSE)</f>
        <v>100</v>
      </c>
      <c r="Y205" s="77" t="str">
        <f>VLOOKUP(J205,'Component List'!Q$2:R$30,2,FALSE)</f>
        <v>000</v>
      </c>
      <c r="Z205" s="77" t="e">
        <f>VLOOKUP(K205,'Component List'!S$2:T$30,2,FALSE)</f>
        <v>#N/A</v>
      </c>
      <c r="AA205" s="77" t="e">
        <f>VLOOKUP(L205,'Component List'!U$2:V$30,2,FALSE)</f>
        <v>#N/A</v>
      </c>
      <c r="AB205" s="77">
        <f>VLOOKUP(M205,'Component List'!AA$2:AB$30,2,FALSE)</f>
        <v>1</v>
      </c>
      <c r="AC205" s="77" t="str">
        <f>VLOOKUP(N205,'Component List'!Y$2:Z$30,2,FALSE)</f>
        <v>C</v>
      </c>
      <c r="AD205" s="159" t="e">
        <f>VLOOKUP(O205,'Component List'!W$3:X$30,2,FALSE)</f>
        <v>#N/A</v>
      </c>
      <c r="AG205" s="93"/>
    </row>
    <row r="206" spans="1:33" ht="30" customHeight="1" x14ac:dyDescent="0.3">
      <c r="A206" s="233"/>
      <c r="B206" s="107" t="s">
        <v>189</v>
      </c>
      <c r="C206" s="80" t="s">
        <v>178</v>
      </c>
      <c r="D206" s="80" t="s">
        <v>136</v>
      </c>
      <c r="E206" s="81" t="s">
        <v>137</v>
      </c>
      <c r="F206" s="80" t="s">
        <v>45</v>
      </c>
      <c r="G206" s="80" t="s">
        <v>183</v>
      </c>
      <c r="H206" s="80" t="s">
        <v>208</v>
      </c>
      <c r="I206" s="104" t="s">
        <v>198</v>
      </c>
      <c r="J206" s="117" t="s">
        <v>143</v>
      </c>
      <c r="K206" s="135" t="s">
        <v>366</v>
      </c>
      <c r="L206" s="135" t="s">
        <v>366</v>
      </c>
      <c r="M206" s="101">
        <v>2</v>
      </c>
      <c r="N206" s="82" t="s">
        <v>175</v>
      </c>
      <c r="O206" s="117" t="s">
        <v>367</v>
      </c>
      <c r="P206" s="123" t="e">
        <f t="shared" si="2"/>
        <v>#N/A</v>
      </c>
      <c r="Q206" s="119" t="str">
        <f>VLOOKUP($B206,'Component List'!$A$2:$B$30,2,FALSE)</f>
        <v>SF2</v>
      </c>
      <c r="R206" s="77" t="e">
        <f>VLOOKUP($C206,'Component List'!C$2:D$28,2,FALSE)</f>
        <v>#N/A</v>
      </c>
      <c r="S206" s="77" t="str">
        <f>VLOOKUP($D206,'Component List'!E$2:F$30,2,FALSE)</f>
        <v>D</v>
      </c>
      <c r="T206" s="77">
        <f>VLOOKUP($E206,'Component List'!G$2:H$30,2,FALSE)</f>
        <v>102</v>
      </c>
      <c r="U206" s="77">
        <f>VLOOKUP($F206,'Component List'!I$2:J$30,2,FALSE)</f>
        <v>106</v>
      </c>
      <c r="V206" s="77">
        <f>VLOOKUP(G206,'Component List'!K$2:L$30,2,FALSE)</f>
        <v>101</v>
      </c>
      <c r="W206" s="77">
        <f>VLOOKUP(H206,'Component List'!M$2:N$31,2,FALSE)</f>
        <v>103</v>
      </c>
      <c r="X206" s="77">
        <f>VLOOKUP(I206,'Component List'!O$2:P$30,2,FALSE)</f>
        <v>100</v>
      </c>
      <c r="Y206" s="77" t="str">
        <f>VLOOKUP(J206,'Component List'!Q$2:R$30,2,FALSE)</f>
        <v>000</v>
      </c>
      <c r="Z206" s="77" t="e">
        <f>VLOOKUP(K206,'Component List'!S$2:T$30,2,FALSE)</f>
        <v>#N/A</v>
      </c>
      <c r="AA206" s="77" t="e">
        <f>VLOOKUP(L206,'Component List'!U$2:V$30,2,FALSE)</f>
        <v>#N/A</v>
      </c>
      <c r="AB206" s="77">
        <f>VLOOKUP(M206,'Component List'!AA$2:AB$30,2,FALSE)</f>
        <v>2</v>
      </c>
      <c r="AC206" s="77" t="str">
        <f>VLOOKUP(N206,'Component List'!Y$2:Z$30,2,FALSE)</f>
        <v>P</v>
      </c>
      <c r="AD206" s="159" t="e">
        <f>VLOOKUP(O206,'Component List'!W$3:X$30,2,FALSE)</f>
        <v>#N/A</v>
      </c>
      <c r="AG206" s="93"/>
    </row>
    <row r="207" spans="1:33" ht="30" customHeight="1" x14ac:dyDescent="0.3">
      <c r="A207" s="233"/>
      <c r="B207" s="107" t="s">
        <v>189</v>
      </c>
      <c r="C207" s="80" t="s">
        <v>178</v>
      </c>
      <c r="D207" s="80" t="s">
        <v>136</v>
      </c>
      <c r="E207" s="81" t="s">
        <v>137</v>
      </c>
      <c r="F207" s="80" t="s">
        <v>45</v>
      </c>
      <c r="G207" s="80" t="s">
        <v>183</v>
      </c>
      <c r="H207" s="80" t="s">
        <v>208</v>
      </c>
      <c r="I207" s="104" t="s">
        <v>198</v>
      </c>
      <c r="J207" s="117" t="s">
        <v>143</v>
      </c>
      <c r="K207" s="135" t="s">
        <v>366</v>
      </c>
      <c r="L207" s="135" t="s">
        <v>366</v>
      </c>
      <c r="M207" s="101">
        <v>2</v>
      </c>
      <c r="N207" s="82" t="s">
        <v>187</v>
      </c>
      <c r="O207" s="117" t="s">
        <v>367</v>
      </c>
      <c r="P207" s="123" t="e">
        <f t="shared" si="2"/>
        <v>#N/A</v>
      </c>
      <c r="Q207" s="119" t="str">
        <f>VLOOKUP($B207,'Component List'!$A$2:$B$30,2,FALSE)</f>
        <v>SF2</v>
      </c>
      <c r="R207" s="77" t="e">
        <f>VLOOKUP($C207,'Component List'!C$2:D$28,2,FALSE)</f>
        <v>#N/A</v>
      </c>
      <c r="S207" s="77" t="str">
        <f>VLOOKUP($D207,'Component List'!E$2:F$30,2,FALSE)</f>
        <v>D</v>
      </c>
      <c r="T207" s="77">
        <f>VLOOKUP($E207,'Component List'!G$2:H$30,2,FALSE)</f>
        <v>102</v>
      </c>
      <c r="U207" s="77">
        <f>VLOOKUP($F207,'Component List'!I$2:J$30,2,FALSE)</f>
        <v>106</v>
      </c>
      <c r="V207" s="77">
        <f>VLOOKUP(G207,'Component List'!K$2:L$30,2,FALSE)</f>
        <v>101</v>
      </c>
      <c r="W207" s="77">
        <f>VLOOKUP(H207,'Component List'!M$2:N$31,2,FALSE)</f>
        <v>103</v>
      </c>
      <c r="X207" s="77">
        <f>VLOOKUP(I207,'Component List'!O$2:P$30,2,FALSE)</f>
        <v>100</v>
      </c>
      <c r="Y207" s="77" t="str">
        <f>VLOOKUP(J207,'Component List'!Q$2:R$30,2,FALSE)</f>
        <v>000</v>
      </c>
      <c r="Z207" s="77" t="e">
        <f>VLOOKUP(K207,'Component List'!S$2:T$30,2,FALSE)</f>
        <v>#N/A</v>
      </c>
      <c r="AA207" s="77" t="e">
        <f>VLOOKUP(L207,'Component List'!U$2:V$30,2,FALSE)</f>
        <v>#N/A</v>
      </c>
      <c r="AB207" s="77">
        <f>VLOOKUP(M207,'Component List'!AA$2:AB$30,2,FALSE)</f>
        <v>2</v>
      </c>
      <c r="AC207" s="77" t="str">
        <f>VLOOKUP(N207,'Component List'!Y$2:Z$30,2,FALSE)</f>
        <v>C</v>
      </c>
      <c r="AD207" s="159" t="e">
        <f>VLOOKUP(O207,'Component List'!W$3:X$30,2,FALSE)</f>
        <v>#N/A</v>
      </c>
      <c r="AG207" s="93"/>
    </row>
    <row r="208" spans="1:33" ht="30" customHeight="1" x14ac:dyDescent="0.3">
      <c r="A208" s="233"/>
      <c r="B208" s="107" t="s">
        <v>189</v>
      </c>
      <c r="C208" s="80" t="s">
        <v>178</v>
      </c>
      <c r="D208" s="80" t="s">
        <v>136</v>
      </c>
      <c r="E208" s="81" t="s">
        <v>137</v>
      </c>
      <c r="F208" s="80" t="s">
        <v>45</v>
      </c>
      <c r="G208" s="80" t="s">
        <v>183</v>
      </c>
      <c r="H208" s="80" t="s">
        <v>208</v>
      </c>
      <c r="I208" s="104" t="s">
        <v>198</v>
      </c>
      <c r="J208" s="117" t="s">
        <v>143</v>
      </c>
      <c r="K208" s="135" t="s">
        <v>366</v>
      </c>
      <c r="L208" s="135" t="s">
        <v>366</v>
      </c>
      <c r="M208" s="101">
        <v>3</v>
      </c>
      <c r="N208" s="82" t="s">
        <v>175</v>
      </c>
      <c r="O208" s="117" t="s">
        <v>367</v>
      </c>
      <c r="P208" s="123" t="e">
        <f t="shared" si="2"/>
        <v>#N/A</v>
      </c>
      <c r="Q208" s="119" t="str">
        <f>VLOOKUP($B208,'Component List'!$A$2:$B$30,2,FALSE)</f>
        <v>SF2</v>
      </c>
      <c r="R208" s="77" t="e">
        <f>VLOOKUP($C208,'Component List'!C$2:D$28,2,FALSE)</f>
        <v>#N/A</v>
      </c>
      <c r="S208" s="77" t="str">
        <f>VLOOKUP($D208,'Component List'!E$2:F$30,2,FALSE)</f>
        <v>D</v>
      </c>
      <c r="T208" s="77">
        <f>VLOOKUP($E208,'Component List'!G$2:H$30,2,FALSE)</f>
        <v>102</v>
      </c>
      <c r="U208" s="77">
        <f>VLOOKUP($F208,'Component List'!I$2:J$30,2,FALSE)</f>
        <v>106</v>
      </c>
      <c r="V208" s="77">
        <f>VLOOKUP(G208,'Component List'!K$2:L$30,2,FALSE)</f>
        <v>101</v>
      </c>
      <c r="W208" s="77">
        <f>VLOOKUP(H208,'Component List'!M$2:N$31,2,FALSE)</f>
        <v>103</v>
      </c>
      <c r="X208" s="77">
        <f>VLOOKUP(I208,'Component List'!O$2:P$30,2,FALSE)</f>
        <v>100</v>
      </c>
      <c r="Y208" s="77" t="str">
        <f>VLOOKUP(J208,'Component List'!Q$2:R$30,2,FALSE)</f>
        <v>000</v>
      </c>
      <c r="Z208" s="77" t="e">
        <f>VLOOKUP(K208,'Component List'!S$2:T$30,2,FALSE)</f>
        <v>#N/A</v>
      </c>
      <c r="AA208" s="77" t="e">
        <f>VLOOKUP(L208,'Component List'!U$2:V$30,2,FALSE)</f>
        <v>#N/A</v>
      </c>
      <c r="AB208" s="77">
        <f>VLOOKUP(M208,'Component List'!AA$2:AB$30,2,FALSE)</f>
        <v>3</v>
      </c>
      <c r="AC208" s="77" t="str">
        <f>VLOOKUP(N208,'Component List'!Y$2:Z$30,2,FALSE)</f>
        <v>P</v>
      </c>
      <c r="AD208" s="159" t="e">
        <f>VLOOKUP(O208,'Component List'!W$3:X$30,2,FALSE)</f>
        <v>#N/A</v>
      </c>
      <c r="AG208" s="93"/>
    </row>
    <row r="209" spans="1:33" ht="30" customHeight="1" x14ac:dyDescent="0.3">
      <c r="A209" s="233"/>
      <c r="B209" s="107" t="s">
        <v>189</v>
      </c>
      <c r="C209" s="80" t="s">
        <v>178</v>
      </c>
      <c r="D209" s="80" t="s">
        <v>136</v>
      </c>
      <c r="E209" s="81" t="s">
        <v>137</v>
      </c>
      <c r="F209" s="80" t="s">
        <v>45</v>
      </c>
      <c r="G209" s="80" t="s">
        <v>183</v>
      </c>
      <c r="H209" s="80" t="s">
        <v>208</v>
      </c>
      <c r="I209" s="104" t="s">
        <v>198</v>
      </c>
      <c r="J209" s="117" t="s">
        <v>143</v>
      </c>
      <c r="K209" s="135" t="s">
        <v>366</v>
      </c>
      <c r="L209" s="135" t="s">
        <v>366</v>
      </c>
      <c r="M209" s="101">
        <v>3</v>
      </c>
      <c r="N209" s="82" t="s">
        <v>187</v>
      </c>
      <c r="O209" s="117" t="s">
        <v>367</v>
      </c>
      <c r="P209" s="123" t="e">
        <f t="shared" si="2"/>
        <v>#N/A</v>
      </c>
      <c r="Q209" s="119" t="str">
        <f>VLOOKUP($B209,'Component List'!$A$2:$B$30,2,FALSE)</f>
        <v>SF2</v>
      </c>
      <c r="R209" s="77" t="e">
        <f>VLOOKUP($C209,'Component List'!C$2:D$28,2,FALSE)</f>
        <v>#N/A</v>
      </c>
      <c r="S209" s="77" t="str">
        <f>VLOOKUP($D209,'Component List'!E$2:F$30,2,FALSE)</f>
        <v>D</v>
      </c>
      <c r="T209" s="77">
        <f>VLOOKUP($E209,'Component List'!G$2:H$30,2,FALSE)</f>
        <v>102</v>
      </c>
      <c r="U209" s="77">
        <f>VLOOKUP($F209,'Component List'!I$2:J$30,2,FALSE)</f>
        <v>106</v>
      </c>
      <c r="V209" s="77">
        <f>VLOOKUP(G209,'Component List'!K$2:L$30,2,FALSE)</f>
        <v>101</v>
      </c>
      <c r="W209" s="77">
        <f>VLOOKUP(H209,'Component List'!M$2:N$31,2,FALSE)</f>
        <v>103</v>
      </c>
      <c r="X209" s="77">
        <f>VLOOKUP(I209,'Component List'!O$2:P$30,2,FALSE)</f>
        <v>100</v>
      </c>
      <c r="Y209" s="77" t="str">
        <f>VLOOKUP(J209,'Component List'!Q$2:R$30,2,FALSE)</f>
        <v>000</v>
      </c>
      <c r="Z209" s="77" t="e">
        <f>VLOOKUP(K209,'Component List'!S$2:T$30,2,FALSE)</f>
        <v>#N/A</v>
      </c>
      <c r="AA209" s="77" t="e">
        <f>VLOOKUP(L209,'Component List'!U$2:V$30,2,FALSE)</f>
        <v>#N/A</v>
      </c>
      <c r="AB209" s="77">
        <f>VLOOKUP(M209,'Component List'!AA$2:AB$30,2,FALSE)</f>
        <v>3</v>
      </c>
      <c r="AC209" s="77" t="str">
        <f>VLOOKUP(N209,'Component List'!Y$2:Z$30,2,FALSE)</f>
        <v>C</v>
      </c>
      <c r="AD209" s="159" t="e">
        <f>VLOOKUP(O209,'Component List'!W$3:X$30,2,FALSE)</f>
        <v>#N/A</v>
      </c>
      <c r="AG209" s="93"/>
    </row>
    <row r="210" spans="1:33" ht="30" customHeight="1" x14ac:dyDescent="0.3">
      <c r="A210" s="233"/>
      <c r="B210" s="107" t="s">
        <v>189</v>
      </c>
      <c r="C210" s="80" t="s">
        <v>178</v>
      </c>
      <c r="D210" s="80" t="s">
        <v>136</v>
      </c>
      <c r="E210" s="81" t="s">
        <v>182</v>
      </c>
      <c r="F210" s="80" t="s">
        <v>47</v>
      </c>
      <c r="G210" s="80" t="s">
        <v>183</v>
      </c>
      <c r="H210" s="80" t="s">
        <v>138</v>
      </c>
      <c r="I210" s="104" t="s">
        <v>198</v>
      </c>
      <c r="J210" s="117" t="s">
        <v>143</v>
      </c>
      <c r="K210" s="137" t="s">
        <v>366</v>
      </c>
      <c r="L210" s="137" t="s">
        <v>366</v>
      </c>
      <c r="M210" s="82">
        <v>1</v>
      </c>
      <c r="N210" s="82" t="s">
        <v>175</v>
      </c>
      <c r="O210" s="117" t="s">
        <v>367</v>
      </c>
      <c r="P210" s="123" t="e">
        <f t="shared" si="2"/>
        <v>#N/A</v>
      </c>
      <c r="Q210" s="119" t="str">
        <f>VLOOKUP($B210,'Component List'!$A$2:$B$30,2,FALSE)</f>
        <v>SF2</v>
      </c>
      <c r="R210" s="77" t="e">
        <f>VLOOKUP($C210,'Component List'!C$2:D$28,2,FALSE)</f>
        <v>#N/A</v>
      </c>
      <c r="S210" s="77" t="str">
        <f>VLOOKUP($D210,'Component List'!E$2:F$30,2,FALSE)</f>
        <v>D</v>
      </c>
      <c r="T210" s="77">
        <f>VLOOKUP($E210,'Component List'!G$2:H$30,2,FALSE)</f>
        <v>101</v>
      </c>
      <c r="U210" s="77">
        <f>VLOOKUP($F210,'Component List'!I$2:J$30,2,FALSE)</f>
        <v>104</v>
      </c>
      <c r="V210" s="77">
        <f>VLOOKUP(G210,'Component List'!K$2:L$30,2,FALSE)</f>
        <v>101</v>
      </c>
      <c r="W210" s="77">
        <f>VLOOKUP(H210,'Component List'!M$2:N$31,2,FALSE)</f>
        <v>100</v>
      </c>
      <c r="X210" s="77">
        <f>VLOOKUP(I210,'Component List'!O$2:P$30,2,FALSE)</f>
        <v>100</v>
      </c>
      <c r="Y210" s="77" t="str">
        <f>VLOOKUP(J210,'Component List'!Q$2:R$30,2,FALSE)</f>
        <v>000</v>
      </c>
      <c r="Z210" s="77" t="e">
        <f>VLOOKUP(K210,'Component List'!S$2:T$30,2,FALSE)</f>
        <v>#N/A</v>
      </c>
      <c r="AA210" s="77" t="e">
        <f>VLOOKUP(L210,'Component List'!U$2:V$30,2,FALSE)</f>
        <v>#N/A</v>
      </c>
      <c r="AB210" s="77">
        <f>VLOOKUP(M210,'Component List'!AA$2:AB$30,2,FALSE)</f>
        <v>1</v>
      </c>
      <c r="AC210" s="77" t="str">
        <f>VLOOKUP(N210,'Component List'!Y$2:Z$30,2,FALSE)</f>
        <v>P</v>
      </c>
      <c r="AD210" s="159" t="e">
        <f>VLOOKUP(O210,'Component List'!W$3:X$30,2,FALSE)</f>
        <v>#N/A</v>
      </c>
      <c r="AG210" s="93"/>
    </row>
    <row r="211" spans="1:33" ht="30" customHeight="1" x14ac:dyDescent="0.3">
      <c r="A211" s="234"/>
      <c r="B211" s="101" t="s">
        <v>189</v>
      </c>
      <c r="C211" s="82" t="s">
        <v>178</v>
      </c>
      <c r="D211" s="82" t="s">
        <v>136</v>
      </c>
      <c r="E211" s="102" t="s">
        <v>182</v>
      </c>
      <c r="F211" s="82" t="s">
        <v>47</v>
      </c>
      <c r="G211" s="82" t="s">
        <v>183</v>
      </c>
      <c r="H211" s="82" t="s">
        <v>138</v>
      </c>
      <c r="I211" s="110" t="s">
        <v>198</v>
      </c>
      <c r="J211" s="117" t="s">
        <v>143</v>
      </c>
      <c r="K211" s="135" t="s">
        <v>366</v>
      </c>
      <c r="L211" s="135" t="s">
        <v>366</v>
      </c>
      <c r="M211" s="82">
        <v>1</v>
      </c>
      <c r="N211" s="82" t="s">
        <v>187</v>
      </c>
      <c r="O211" s="117" t="s">
        <v>367</v>
      </c>
      <c r="P211" s="123" t="e">
        <f t="shared" si="2"/>
        <v>#N/A</v>
      </c>
      <c r="Q211" s="119" t="str">
        <f>VLOOKUP($B211,'Component List'!$A$2:$B$30,2,FALSE)</f>
        <v>SF2</v>
      </c>
      <c r="R211" s="77" t="e">
        <f>VLOOKUP($C211,'Component List'!C$2:D$28,2,FALSE)</f>
        <v>#N/A</v>
      </c>
      <c r="S211" s="77" t="str">
        <f>VLOOKUP($D211,'Component List'!E$2:F$30,2,FALSE)</f>
        <v>D</v>
      </c>
      <c r="T211" s="77">
        <f>VLOOKUP($E211,'Component List'!G$2:H$30,2,FALSE)</f>
        <v>101</v>
      </c>
      <c r="U211" s="77">
        <f>VLOOKUP($F211,'Component List'!I$2:J$30,2,FALSE)</f>
        <v>104</v>
      </c>
      <c r="V211" s="77">
        <f>VLOOKUP(G211,'Component List'!K$2:L$30,2,FALSE)</f>
        <v>101</v>
      </c>
      <c r="W211" s="77">
        <f>VLOOKUP(H211,'Component List'!M$2:N$31,2,FALSE)</f>
        <v>100</v>
      </c>
      <c r="X211" s="77">
        <f>VLOOKUP(I211,'Component List'!O$2:P$30,2,FALSE)</f>
        <v>100</v>
      </c>
      <c r="Y211" s="77" t="str">
        <f>VLOOKUP(J211,'Component List'!Q$2:R$30,2,FALSE)</f>
        <v>000</v>
      </c>
      <c r="Z211" s="77" t="e">
        <f>VLOOKUP(K211,'Component List'!S$2:T$30,2,FALSE)</f>
        <v>#N/A</v>
      </c>
      <c r="AA211" s="77" t="e">
        <f>VLOOKUP(L211,'Component List'!U$2:V$30,2,FALSE)</f>
        <v>#N/A</v>
      </c>
      <c r="AB211" s="77">
        <f>VLOOKUP(M211,'Component List'!AA$2:AB$30,2,FALSE)</f>
        <v>1</v>
      </c>
      <c r="AC211" s="77" t="str">
        <f>VLOOKUP(N211,'Component List'!Y$2:Z$30,2,FALSE)</f>
        <v>C</v>
      </c>
      <c r="AD211" s="159" t="e">
        <f>VLOOKUP(O211,'Component List'!W$3:X$30,2,FALSE)</f>
        <v>#N/A</v>
      </c>
      <c r="AG211" s="93"/>
    </row>
    <row r="212" spans="1:33" ht="30" customHeight="1" x14ac:dyDescent="0.3">
      <c r="A212" s="234"/>
      <c r="B212" s="101" t="s">
        <v>189</v>
      </c>
      <c r="C212" s="82" t="s">
        <v>178</v>
      </c>
      <c r="D212" s="82" t="s">
        <v>136</v>
      </c>
      <c r="E212" s="102" t="s">
        <v>182</v>
      </c>
      <c r="F212" s="82" t="s">
        <v>47</v>
      </c>
      <c r="G212" s="82" t="s">
        <v>183</v>
      </c>
      <c r="H212" s="82" t="s">
        <v>138</v>
      </c>
      <c r="I212" s="110" t="s">
        <v>198</v>
      </c>
      <c r="J212" s="117" t="s">
        <v>143</v>
      </c>
      <c r="K212" s="135" t="s">
        <v>366</v>
      </c>
      <c r="L212" s="135" t="s">
        <v>366</v>
      </c>
      <c r="M212" s="82">
        <v>2</v>
      </c>
      <c r="N212" s="82" t="s">
        <v>175</v>
      </c>
      <c r="O212" s="117" t="s">
        <v>367</v>
      </c>
      <c r="P212" s="123" t="e">
        <f t="shared" si="2"/>
        <v>#N/A</v>
      </c>
      <c r="Q212" s="119" t="str">
        <f>VLOOKUP($B212,'Component List'!$A$2:$B$30,2,FALSE)</f>
        <v>SF2</v>
      </c>
      <c r="R212" s="77" t="e">
        <f>VLOOKUP($C212,'Component List'!C$2:D$28,2,FALSE)</f>
        <v>#N/A</v>
      </c>
      <c r="S212" s="77" t="str">
        <f>VLOOKUP($D212,'Component List'!E$2:F$30,2,FALSE)</f>
        <v>D</v>
      </c>
      <c r="T212" s="77">
        <f>VLOOKUP($E212,'Component List'!G$2:H$30,2,FALSE)</f>
        <v>101</v>
      </c>
      <c r="U212" s="77">
        <f>VLOOKUP($F212,'Component List'!I$2:J$30,2,FALSE)</f>
        <v>104</v>
      </c>
      <c r="V212" s="77">
        <f>VLOOKUP(G212,'Component List'!K$2:L$30,2,FALSE)</f>
        <v>101</v>
      </c>
      <c r="W212" s="77">
        <f>VLOOKUP(H212,'Component List'!M$2:N$31,2,FALSE)</f>
        <v>100</v>
      </c>
      <c r="X212" s="77">
        <f>VLOOKUP(I212,'Component List'!O$2:P$30,2,FALSE)</f>
        <v>100</v>
      </c>
      <c r="Y212" s="77" t="str">
        <f>VLOOKUP(J212,'Component List'!Q$2:R$30,2,FALSE)</f>
        <v>000</v>
      </c>
      <c r="Z212" s="77" t="e">
        <f>VLOOKUP(K212,'Component List'!S$2:T$30,2,FALSE)</f>
        <v>#N/A</v>
      </c>
      <c r="AA212" s="77" t="e">
        <f>VLOOKUP(L212,'Component List'!U$2:V$30,2,FALSE)</f>
        <v>#N/A</v>
      </c>
      <c r="AB212" s="77">
        <f>VLOOKUP(M212,'Component List'!AA$2:AB$30,2,FALSE)</f>
        <v>2</v>
      </c>
      <c r="AC212" s="77" t="str">
        <f>VLOOKUP(N212,'Component List'!Y$2:Z$30,2,FALSE)</f>
        <v>P</v>
      </c>
      <c r="AD212" s="159" t="e">
        <f>VLOOKUP(O212,'Component List'!W$3:X$30,2,FALSE)</f>
        <v>#N/A</v>
      </c>
      <c r="AG212" s="93"/>
    </row>
    <row r="213" spans="1:33" ht="30" customHeight="1" x14ac:dyDescent="0.3">
      <c r="A213" s="234"/>
      <c r="B213" s="101" t="s">
        <v>189</v>
      </c>
      <c r="C213" s="82" t="s">
        <v>178</v>
      </c>
      <c r="D213" s="82" t="s">
        <v>136</v>
      </c>
      <c r="E213" s="102" t="s">
        <v>182</v>
      </c>
      <c r="F213" s="82" t="s">
        <v>47</v>
      </c>
      <c r="G213" s="82" t="s">
        <v>183</v>
      </c>
      <c r="H213" s="82" t="s">
        <v>138</v>
      </c>
      <c r="I213" s="110" t="s">
        <v>198</v>
      </c>
      <c r="J213" s="117" t="s">
        <v>143</v>
      </c>
      <c r="K213" s="135" t="s">
        <v>366</v>
      </c>
      <c r="L213" s="135" t="s">
        <v>366</v>
      </c>
      <c r="M213" s="82">
        <v>2</v>
      </c>
      <c r="N213" s="82" t="s">
        <v>187</v>
      </c>
      <c r="O213" s="117" t="s">
        <v>367</v>
      </c>
      <c r="P213" s="123" t="e">
        <f t="shared" si="2"/>
        <v>#N/A</v>
      </c>
      <c r="Q213" s="119" t="str">
        <f>VLOOKUP($B213,'Component List'!$A$2:$B$30,2,FALSE)</f>
        <v>SF2</v>
      </c>
      <c r="R213" s="77" t="e">
        <f>VLOOKUP($C213,'Component List'!C$2:D$28,2,FALSE)</f>
        <v>#N/A</v>
      </c>
      <c r="S213" s="77" t="str">
        <f>VLOOKUP($D213,'Component List'!E$2:F$30,2,FALSE)</f>
        <v>D</v>
      </c>
      <c r="T213" s="77">
        <f>VLOOKUP($E213,'Component List'!G$2:H$30,2,FALSE)</f>
        <v>101</v>
      </c>
      <c r="U213" s="77">
        <f>VLOOKUP($F213,'Component List'!I$2:J$30,2,FALSE)</f>
        <v>104</v>
      </c>
      <c r="V213" s="77">
        <f>VLOOKUP(G213,'Component List'!K$2:L$30,2,FALSE)</f>
        <v>101</v>
      </c>
      <c r="W213" s="77">
        <f>VLOOKUP(H213,'Component List'!M$2:N$31,2,FALSE)</f>
        <v>100</v>
      </c>
      <c r="X213" s="77">
        <f>VLOOKUP(I213,'Component List'!O$2:P$30,2,FALSE)</f>
        <v>100</v>
      </c>
      <c r="Y213" s="77" t="str">
        <f>VLOOKUP(J213,'Component List'!Q$2:R$30,2,FALSE)</f>
        <v>000</v>
      </c>
      <c r="Z213" s="77" t="e">
        <f>VLOOKUP(K213,'Component List'!S$2:T$30,2,FALSE)</f>
        <v>#N/A</v>
      </c>
      <c r="AA213" s="77" t="e">
        <f>VLOOKUP(L213,'Component List'!U$2:V$30,2,FALSE)</f>
        <v>#N/A</v>
      </c>
      <c r="AB213" s="77">
        <f>VLOOKUP(M213,'Component List'!AA$2:AB$30,2,FALSE)</f>
        <v>2</v>
      </c>
      <c r="AC213" s="77" t="str">
        <f>VLOOKUP(N213,'Component List'!Y$2:Z$30,2,FALSE)</f>
        <v>C</v>
      </c>
      <c r="AD213" s="159" t="e">
        <f>VLOOKUP(O213,'Component List'!W$3:X$30,2,FALSE)</f>
        <v>#N/A</v>
      </c>
      <c r="AG213" s="93"/>
    </row>
    <row r="214" spans="1:33" ht="30" customHeight="1" x14ac:dyDescent="0.3">
      <c r="A214" s="234"/>
      <c r="B214" s="101" t="s">
        <v>189</v>
      </c>
      <c r="C214" s="82" t="s">
        <v>178</v>
      </c>
      <c r="D214" s="82" t="s">
        <v>136</v>
      </c>
      <c r="E214" s="102" t="s">
        <v>182</v>
      </c>
      <c r="F214" s="82" t="s">
        <v>47</v>
      </c>
      <c r="G214" s="82" t="s">
        <v>183</v>
      </c>
      <c r="H214" s="82" t="s">
        <v>138</v>
      </c>
      <c r="I214" s="110" t="s">
        <v>198</v>
      </c>
      <c r="J214" s="117" t="s">
        <v>143</v>
      </c>
      <c r="K214" s="135" t="s">
        <v>366</v>
      </c>
      <c r="L214" s="135" t="s">
        <v>366</v>
      </c>
      <c r="M214" s="82">
        <v>3</v>
      </c>
      <c r="N214" s="82" t="s">
        <v>175</v>
      </c>
      <c r="O214" s="117" t="s">
        <v>367</v>
      </c>
      <c r="P214" s="123" t="e">
        <f t="shared" si="2"/>
        <v>#N/A</v>
      </c>
      <c r="Q214" s="119" t="str">
        <f>VLOOKUP($B214,'Component List'!$A$2:$B$30,2,FALSE)</f>
        <v>SF2</v>
      </c>
      <c r="R214" s="77" t="e">
        <f>VLOOKUP($C214,'Component List'!C$2:D$28,2,FALSE)</f>
        <v>#N/A</v>
      </c>
      <c r="S214" s="77" t="str">
        <f>VLOOKUP($D214,'Component List'!E$2:F$30,2,FALSE)</f>
        <v>D</v>
      </c>
      <c r="T214" s="77">
        <f>VLOOKUP($E214,'Component List'!G$2:H$30,2,FALSE)</f>
        <v>101</v>
      </c>
      <c r="U214" s="77">
        <f>VLOOKUP($F214,'Component List'!I$2:J$30,2,FALSE)</f>
        <v>104</v>
      </c>
      <c r="V214" s="77">
        <f>VLOOKUP(G214,'Component List'!K$2:L$30,2,FALSE)</f>
        <v>101</v>
      </c>
      <c r="W214" s="77">
        <f>VLOOKUP(H214,'Component List'!M$2:N$31,2,FALSE)</f>
        <v>100</v>
      </c>
      <c r="X214" s="77">
        <f>VLOOKUP(I214,'Component List'!O$2:P$30,2,FALSE)</f>
        <v>100</v>
      </c>
      <c r="Y214" s="77" t="str">
        <f>VLOOKUP(J214,'Component List'!Q$2:R$30,2,FALSE)</f>
        <v>000</v>
      </c>
      <c r="Z214" s="77" t="e">
        <f>VLOOKUP(K214,'Component List'!S$2:T$30,2,FALSE)</f>
        <v>#N/A</v>
      </c>
      <c r="AA214" s="77" t="e">
        <f>VLOOKUP(L214,'Component List'!U$2:V$30,2,FALSE)</f>
        <v>#N/A</v>
      </c>
      <c r="AB214" s="77">
        <f>VLOOKUP(M214,'Component List'!AA$2:AB$30,2,FALSE)</f>
        <v>3</v>
      </c>
      <c r="AC214" s="77" t="str">
        <f>VLOOKUP(N214,'Component List'!Y$2:Z$30,2,FALSE)</f>
        <v>P</v>
      </c>
      <c r="AD214" s="159" t="e">
        <f>VLOOKUP(O214,'Component List'!W$3:X$30,2,FALSE)</f>
        <v>#N/A</v>
      </c>
      <c r="AG214" s="93"/>
    </row>
    <row r="215" spans="1:33" ht="30" customHeight="1" thickBot="1" x14ac:dyDescent="0.35">
      <c r="A215" s="235"/>
      <c r="B215" s="170" t="s">
        <v>189</v>
      </c>
      <c r="C215" s="106" t="s">
        <v>178</v>
      </c>
      <c r="D215" s="106" t="s">
        <v>136</v>
      </c>
      <c r="E215" s="108" t="s">
        <v>182</v>
      </c>
      <c r="F215" s="106" t="s">
        <v>47</v>
      </c>
      <c r="G215" s="106" t="s">
        <v>183</v>
      </c>
      <c r="H215" s="106" t="s">
        <v>138</v>
      </c>
      <c r="I215" s="109" t="s">
        <v>198</v>
      </c>
      <c r="J215" s="128" t="s">
        <v>143</v>
      </c>
      <c r="K215" s="136" t="s">
        <v>366</v>
      </c>
      <c r="L215" s="136" t="s">
        <v>366</v>
      </c>
      <c r="M215" s="94">
        <v>3</v>
      </c>
      <c r="N215" s="106" t="s">
        <v>187</v>
      </c>
      <c r="O215" s="128" t="s">
        <v>367</v>
      </c>
      <c r="P215" s="127" t="e">
        <f t="shared" si="2"/>
        <v>#N/A</v>
      </c>
      <c r="Q215" s="119" t="str">
        <f>VLOOKUP($B215,'Component List'!$A$2:$B$30,2,FALSE)</f>
        <v>SF2</v>
      </c>
      <c r="R215" s="77" t="e">
        <f>VLOOKUP($C215,'Component List'!C$2:D$28,2,FALSE)</f>
        <v>#N/A</v>
      </c>
      <c r="S215" s="77" t="str">
        <f>VLOOKUP($D215,'Component List'!E$2:F$30,2,FALSE)</f>
        <v>D</v>
      </c>
      <c r="T215" s="77">
        <f>VLOOKUP($E215,'Component List'!G$2:H$30,2,FALSE)</f>
        <v>101</v>
      </c>
      <c r="U215" s="77">
        <f>VLOOKUP($F215,'Component List'!I$2:J$30,2,FALSE)</f>
        <v>104</v>
      </c>
      <c r="V215" s="77">
        <f>VLOOKUP(G215,'Component List'!K$2:L$30,2,FALSE)</f>
        <v>101</v>
      </c>
      <c r="W215" s="77">
        <f>VLOOKUP(H215,'Component List'!M$2:N$31,2,FALSE)</f>
        <v>100</v>
      </c>
      <c r="X215" s="77">
        <f>VLOOKUP(I215,'Component List'!O$2:P$30,2,FALSE)</f>
        <v>100</v>
      </c>
      <c r="Y215" s="77" t="str">
        <f>VLOOKUP(J215,'Component List'!Q$2:R$30,2,FALSE)</f>
        <v>000</v>
      </c>
      <c r="Z215" s="77" t="e">
        <f>VLOOKUP(K215,'Component List'!S$2:T$30,2,FALSE)</f>
        <v>#N/A</v>
      </c>
      <c r="AA215" s="77" t="e">
        <f>VLOOKUP(L215,'Component List'!U$2:V$30,2,FALSE)</f>
        <v>#N/A</v>
      </c>
      <c r="AB215" s="77">
        <f>VLOOKUP(M215,'Component List'!AA$2:AB$30,2,FALSE)</f>
        <v>3</v>
      </c>
      <c r="AC215" s="77" t="str">
        <f>VLOOKUP(N215,'Component List'!Y$2:Z$30,2,FALSE)</f>
        <v>C</v>
      </c>
      <c r="AD215" s="159" t="e">
        <f>VLOOKUP(O215,'Component List'!W$3:X$30,2,FALSE)</f>
        <v>#N/A</v>
      </c>
      <c r="AE215" s="96"/>
      <c r="AF215" s="96"/>
      <c r="AG215" s="97"/>
    </row>
    <row r="216" spans="1:33" ht="30" customHeight="1" x14ac:dyDescent="0.3">
      <c r="A216" s="241" t="s">
        <v>369</v>
      </c>
      <c r="B216" s="171" t="s">
        <v>211</v>
      </c>
      <c r="C216" s="88" t="s">
        <v>21</v>
      </c>
      <c r="D216" s="89" t="s">
        <v>136</v>
      </c>
      <c r="E216" s="90" t="s">
        <v>137</v>
      </c>
      <c r="F216" s="88" t="s">
        <v>47</v>
      </c>
      <c r="G216" s="89" t="s">
        <v>183</v>
      </c>
      <c r="H216" s="89" t="s">
        <v>138</v>
      </c>
      <c r="I216" s="103" t="s">
        <v>198</v>
      </c>
      <c r="J216" s="103" t="s">
        <v>143</v>
      </c>
      <c r="K216" s="133" t="s">
        <v>366</v>
      </c>
      <c r="L216" s="133" t="s">
        <v>366</v>
      </c>
      <c r="M216" s="89">
        <v>1</v>
      </c>
      <c r="N216" s="89" t="s">
        <v>175</v>
      </c>
      <c r="O216" s="131" t="s">
        <v>367</v>
      </c>
      <c r="P216" s="126" t="e">
        <f t="shared" si="2"/>
        <v>#N/A</v>
      </c>
      <c r="Q216" s="119" t="str">
        <f>VLOOKUP($B216,'Component List'!$A$2:$B$30,2,FALSE)</f>
        <v>MR2</v>
      </c>
      <c r="R216" s="77" t="str">
        <f>VLOOKUP($C216,'Component List'!C$2:D$28,2,FALSE)</f>
        <v>C00</v>
      </c>
      <c r="S216" s="77" t="str">
        <f>VLOOKUP($D216,'Component List'!E$2:F$30,2,FALSE)</f>
        <v>D</v>
      </c>
      <c r="T216" s="77">
        <f>VLOOKUP($E216,'Component List'!G$2:H$30,2,FALSE)</f>
        <v>102</v>
      </c>
      <c r="U216" s="77">
        <f>VLOOKUP($F216,'Component List'!I$2:J$30,2,FALSE)</f>
        <v>104</v>
      </c>
      <c r="V216" s="77">
        <f>VLOOKUP(G216,'Component List'!K$2:L$30,2,FALSE)</f>
        <v>101</v>
      </c>
      <c r="W216" s="77">
        <f>VLOOKUP(H216,'Component List'!M$2:N$31,2,FALSE)</f>
        <v>100</v>
      </c>
      <c r="X216" s="77">
        <f>VLOOKUP(I216,'Component List'!O$2:P$30,2,FALSE)</f>
        <v>100</v>
      </c>
      <c r="Y216" s="77" t="str">
        <f>VLOOKUP(J216,'Component List'!Q$2:R$30,2,FALSE)</f>
        <v>000</v>
      </c>
      <c r="Z216" s="77" t="e">
        <f>VLOOKUP(K216,'Component List'!S$2:T$30,2,FALSE)</f>
        <v>#N/A</v>
      </c>
      <c r="AA216" s="77" t="e">
        <f>VLOOKUP(L216,'Component List'!U$2:V$30,2,FALSE)</f>
        <v>#N/A</v>
      </c>
      <c r="AB216" s="77">
        <f>VLOOKUP(M216,'Component List'!AA$2:AB$30,2,FALSE)</f>
        <v>1</v>
      </c>
      <c r="AC216" s="77" t="str">
        <f>VLOOKUP(N216,'Component List'!Y$2:Z$30,2,FALSE)</f>
        <v>P</v>
      </c>
      <c r="AD216" s="159" t="e">
        <f>VLOOKUP(O216,'Component List'!W$3:X$30,2,FALSE)</f>
        <v>#N/A</v>
      </c>
      <c r="AE216" s="91"/>
      <c r="AF216" s="91"/>
      <c r="AG216" s="92"/>
    </row>
    <row r="217" spans="1:33" ht="30" customHeight="1" x14ac:dyDescent="0.3">
      <c r="A217" s="242"/>
      <c r="B217" s="101" t="s">
        <v>211</v>
      </c>
      <c r="C217" s="82" t="s">
        <v>21</v>
      </c>
      <c r="D217" s="80" t="s">
        <v>136</v>
      </c>
      <c r="E217" s="81" t="s">
        <v>137</v>
      </c>
      <c r="F217" s="82" t="s">
        <v>47</v>
      </c>
      <c r="G217" s="82" t="s">
        <v>183</v>
      </c>
      <c r="H217" s="82" t="s">
        <v>138</v>
      </c>
      <c r="I217" s="110" t="s">
        <v>198</v>
      </c>
      <c r="J217" s="110" t="s">
        <v>143</v>
      </c>
      <c r="K217" s="135" t="s">
        <v>366</v>
      </c>
      <c r="L217" s="135" t="s">
        <v>366</v>
      </c>
      <c r="M217" s="82">
        <v>1</v>
      </c>
      <c r="N217" s="82" t="s">
        <v>187</v>
      </c>
      <c r="O217" s="110" t="s">
        <v>367</v>
      </c>
      <c r="P217" s="123" t="e">
        <f t="shared" si="2"/>
        <v>#N/A</v>
      </c>
      <c r="Q217" s="119" t="str">
        <f>VLOOKUP($B217,'Component List'!$A$2:$B$30,2,FALSE)</f>
        <v>MR2</v>
      </c>
      <c r="R217" s="77" t="str">
        <f>VLOOKUP($C217,'Component List'!C$2:D$28,2,FALSE)</f>
        <v>C00</v>
      </c>
      <c r="S217" s="77" t="str">
        <f>VLOOKUP($D217,'Component List'!E$2:F$30,2,FALSE)</f>
        <v>D</v>
      </c>
      <c r="T217" s="77">
        <f>VLOOKUP($E217,'Component List'!G$2:H$30,2,FALSE)</f>
        <v>102</v>
      </c>
      <c r="U217" s="77">
        <f>VLOOKUP($F217,'Component List'!I$2:J$30,2,FALSE)</f>
        <v>104</v>
      </c>
      <c r="V217" s="77">
        <f>VLOOKUP(G217,'Component List'!K$2:L$30,2,FALSE)</f>
        <v>101</v>
      </c>
      <c r="W217" s="77">
        <f>VLOOKUP(H217,'Component List'!M$2:N$31,2,FALSE)</f>
        <v>100</v>
      </c>
      <c r="X217" s="77">
        <f>VLOOKUP(I217,'Component List'!O$2:P$30,2,FALSE)</f>
        <v>100</v>
      </c>
      <c r="Y217" s="77" t="str">
        <f>VLOOKUP(J217,'Component List'!Q$2:R$30,2,FALSE)</f>
        <v>000</v>
      </c>
      <c r="Z217" s="77" t="e">
        <f>VLOOKUP(K217,'Component List'!S$2:T$30,2,FALSE)</f>
        <v>#N/A</v>
      </c>
      <c r="AA217" s="77" t="e">
        <f>VLOOKUP(L217,'Component List'!U$2:V$30,2,FALSE)</f>
        <v>#N/A</v>
      </c>
      <c r="AB217" s="77">
        <f>VLOOKUP(M217,'Component List'!AA$2:AB$30,2,FALSE)</f>
        <v>1</v>
      </c>
      <c r="AC217" s="77" t="str">
        <f>VLOOKUP(N217,'Component List'!Y$2:Z$30,2,FALSE)</f>
        <v>C</v>
      </c>
      <c r="AD217" s="159" t="e">
        <f>VLOOKUP(O217,'Component List'!W$3:X$30,2,FALSE)</f>
        <v>#N/A</v>
      </c>
      <c r="AG217" s="93"/>
    </row>
    <row r="218" spans="1:33" ht="30" customHeight="1" x14ac:dyDescent="0.3">
      <c r="A218" s="242"/>
      <c r="B218" s="101" t="s">
        <v>211</v>
      </c>
      <c r="C218" s="82" t="s">
        <v>21</v>
      </c>
      <c r="D218" s="80" t="s">
        <v>136</v>
      </c>
      <c r="E218" s="81" t="s">
        <v>137</v>
      </c>
      <c r="F218" s="82" t="s">
        <v>47</v>
      </c>
      <c r="G218" s="82" t="s">
        <v>183</v>
      </c>
      <c r="H218" s="82" t="s">
        <v>138</v>
      </c>
      <c r="I218" s="110" t="s">
        <v>198</v>
      </c>
      <c r="J218" s="110" t="s">
        <v>143</v>
      </c>
      <c r="K218" s="135" t="s">
        <v>366</v>
      </c>
      <c r="L218" s="135" t="s">
        <v>366</v>
      </c>
      <c r="M218" s="82">
        <v>2</v>
      </c>
      <c r="N218" s="82" t="s">
        <v>175</v>
      </c>
      <c r="O218" s="110" t="s">
        <v>367</v>
      </c>
      <c r="P218" s="123" t="e">
        <f t="shared" si="2"/>
        <v>#N/A</v>
      </c>
      <c r="Q218" s="119" t="str">
        <f>VLOOKUP($B218,'Component List'!$A$2:$B$30,2,FALSE)</f>
        <v>MR2</v>
      </c>
      <c r="R218" s="77" t="str">
        <f>VLOOKUP($C218,'Component List'!C$2:D$28,2,FALSE)</f>
        <v>C00</v>
      </c>
      <c r="S218" s="77" t="str">
        <f>VLOOKUP($D218,'Component List'!E$2:F$30,2,FALSE)</f>
        <v>D</v>
      </c>
      <c r="T218" s="77">
        <f>VLOOKUP($E218,'Component List'!G$2:H$30,2,FALSE)</f>
        <v>102</v>
      </c>
      <c r="U218" s="77">
        <f>VLOOKUP($F218,'Component List'!I$2:J$30,2,FALSE)</f>
        <v>104</v>
      </c>
      <c r="V218" s="77">
        <f>VLOOKUP(G218,'Component List'!K$2:L$30,2,FALSE)</f>
        <v>101</v>
      </c>
      <c r="W218" s="77">
        <f>VLOOKUP(H218,'Component List'!M$2:N$31,2,FALSE)</f>
        <v>100</v>
      </c>
      <c r="X218" s="77">
        <f>VLOOKUP(I218,'Component List'!O$2:P$30,2,FALSE)</f>
        <v>100</v>
      </c>
      <c r="Y218" s="77" t="str">
        <f>VLOOKUP(J218,'Component List'!Q$2:R$30,2,FALSE)</f>
        <v>000</v>
      </c>
      <c r="Z218" s="77" t="e">
        <f>VLOOKUP(K218,'Component List'!S$2:T$30,2,FALSE)</f>
        <v>#N/A</v>
      </c>
      <c r="AA218" s="77" t="e">
        <f>VLOOKUP(L218,'Component List'!U$2:V$30,2,FALSE)</f>
        <v>#N/A</v>
      </c>
      <c r="AB218" s="77">
        <f>VLOOKUP(M218,'Component List'!AA$2:AB$30,2,FALSE)</f>
        <v>2</v>
      </c>
      <c r="AC218" s="77" t="str">
        <f>VLOOKUP(N218,'Component List'!Y$2:Z$30,2,FALSE)</f>
        <v>P</v>
      </c>
      <c r="AD218" s="159" t="e">
        <f>VLOOKUP(O218,'Component List'!W$3:X$30,2,FALSE)</f>
        <v>#N/A</v>
      </c>
      <c r="AG218" s="93"/>
    </row>
    <row r="219" spans="1:33" ht="30" customHeight="1" x14ac:dyDescent="0.3">
      <c r="A219" s="242"/>
      <c r="B219" s="101" t="s">
        <v>211</v>
      </c>
      <c r="C219" s="82" t="s">
        <v>21</v>
      </c>
      <c r="D219" s="80" t="s">
        <v>136</v>
      </c>
      <c r="E219" s="81" t="s">
        <v>137</v>
      </c>
      <c r="F219" s="82" t="s">
        <v>47</v>
      </c>
      <c r="G219" s="82" t="s">
        <v>183</v>
      </c>
      <c r="H219" s="82" t="s">
        <v>138</v>
      </c>
      <c r="I219" s="110" t="s">
        <v>198</v>
      </c>
      <c r="J219" s="110" t="s">
        <v>143</v>
      </c>
      <c r="K219" s="135" t="s">
        <v>366</v>
      </c>
      <c r="L219" s="135" t="s">
        <v>366</v>
      </c>
      <c r="M219" s="82">
        <v>2</v>
      </c>
      <c r="N219" s="82" t="s">
        <v>187</v>
      </c>
      <c r="O219" s="110" t="s">
        <v>367</v>
      </c>
      <c r="P219" s="123" t="e">
        <f t="shared" si="2"/>
        <v>#N/A</v>
      </c>
      <c r="Q219" s="119" t="str">
        <f>VLOOKUP($B219,'Component List'!$A$2:$B$30,2,FALSE)</f>
        <v>MR2</v>
      </c>
      <c r="R219" s="77" t="str">
        <f>VLOOKUP($C219,'Component List'!C$2:D$28,2,FALSE)</f>
        <v>C00</v>
      </c>
      <c r="S219" s="77" t="str">
        <f>VLOOKUP($D219,'Component List'!E$2:F$30,2,FALSE)</f>
        <v>D</v>
      </c>
      <c r="T219" s="77">
        <f>VLOOKUP($E219,'Component List'!G$2:H$30,2,FALSE)</f>
        <v>102</v>
      </c>
      <c r="U219" s="77">
        <f>VLOOKUP($F219,'Component List'!I$2:J$30,2,FALSE)</f>
        <v>104</v>
      </c>
      <c r="V219" s="77">
        <f>VLOOKUP(G219,'Component List'!K$2:L$30,2,FALSE)</f>
        <v>101</v>
      </c>
      <c r="W219" s="77">
        <f>VLOOKUP(H219,'Component List'!M$2:N$31,2,FALSE)</f>
        <v>100</v>
      </c>
      <c r="X219" s="77">
        <f>VLOOKUP(I219,'Component List'!O$2:P$30,2,FALSE)</f>
        <v>100</v>
      </c>
      <c r="Y219" s="77" t="str">
        <f>VLOOKUP(J219,'Component List'!Q$2:R$30,2,FALSE)</f>
        <v>000</v>
      </c>
      <c r="Z219" s="77" t="e">
        <f>VLOOKUP(K219,'Component List'!S$2:T$30,2,FALSE)</f>
        <v>#N/A</v>
      </c>
      <c r="AA219" s="77" t="e">
        <f>VLOOKUP(L219,'Component List'!U$2:V$30,2,FALSE)</f>
        <v>#N/A</v>
      </c>
      <c r="AB219" s="77">
        <f>VLOOKUP(M219,'Component List'!AA$2:AB$30,2,FALSE)</f>
        <v>2</v>
      </c>
      <c r="AC219" s="77" t="str">
        <f>VLOOKUP(N219,'Component List'!Y$2:Z$30,2,FALSE)</f>
        <v>C</v>
      </c>
      <c r="AD219" s="159" t="e">
        <f>VLOOKUP(O219,'Component List'!W$3:X$30,2,FALSE)</f>
        <v>#N/A</v>
      </c>
      <c r="AG219" s="93"/>
    </row>
    <row r="220" spans="1:33" ht="30" customHeight="1" x14ac:dyDescent="0.3">
      <c r="A220" s="242"/>
      <c r="B220" s="101" t="s">
        <v>211</v>
      </c>
      <c r="C220" s="82" t="s">
        <v>21</v>
      </c>
      <c r="D220" s="80" t="s">
        <v>136</v>
      </c>
      <c r="E220" s="81" t="s">
        <v>137</v>
      </c>
      <c r="F220" s="82" t="s">
        <v>47</v>
      </c>
      <c r="G220" s="82" t="s">
        <v>183</v>
      </c>
      <c r="H220" s="82" t="s">
        <v>138</v>
      </c>
      <c r="I220" s="110" t="s">
        <v>198</v>
      </c>
      <c r="J220" s="110" t="s">
        <v>143</v>
      </c>
      <c r="K220" s="135" t="s">
        <v>366</v>
      </c>
      <c r="L220" s="135" t="s">
        <v>366</v>
      </c>
      <c r="M220" s="82">
        <v>3</v>
      </c>
      <c r="N220" s="82" t="s">
        <v>175</v>
      </c>
      <c r="O220" s="110" t="s">
        <v>367</v>
      </c>
      <c r="P220" s="123" t="e">
        <f t="shared" si="2"/>
        <v>#N/A</v>
      </c>
      <c r="Q220" s="119" t="str">
        <f>VLOOKUP($B220,'Component List'!$A$2:$B$30,2,FALSE)</f>
        <v>MR2</v>
      </c>
      <c r="R220" s="77" t="str">
        <f>VLOOKUP($C220,'Component List'!C$2:D$28,2,FALSE)</f>
        <v>C00</v>
      </c>
      <c r="S220" s="77" t="str">
        <f>VLOOKUP($D220,'Component List'!E$2:F$30,2,FALSE)</f>
        <v>D</v>
      </c>
      <c r="T220" s="77">
        <f>VLOOKUP($E220,'Component List'!G$2:H$30,2,FALSE)</f>
        <v>102</v>
      </c>
      <c r="U220" s="77">
        <f>VLOOKUP($F220,'Component List'!I$2:J$30,2,FALSE)</f>
        <v>104</v>
      </c>
      <c r="V220" s="77">
        <f>VLOOKUP(G220,'Component List'!K$2:L$30,2,FALSE)</f>
        <v>101</v>
      </c>
      <c r="W220" s="77">
        <f>VLOOKUP(H220,'Component List'!M$2:N$31,2,FALSE)</f>
        <v>100</v>
      </c>
      <c r="X220" s="77">
        <f>VLOOKUP(I220,'Component List'!O$2:P$30,2,FALSE)</f>
        <v>100</v>
      </c>
      <c r="Y220" s="77" t="str">
        <f>VLOOKUP(J220,'Component List'!Q$2:R$30,2,FALSE)</f>
        <v>000</v>
      </c>
      <c r="Z220" s="77" t="e">
        <f>VLOOKUP(K220,'Component List'!S$2:T$30,2,FALSE)</f>
        <v>#N/A</v>
      </c>
      <c r="AA220" s="77" t="e">
        <f>VLOOKUP(L220,'Component List'!U$2:V$30,2,FALSE)</f>
        <v>#N/A</v>
      </c>
      <c r="AB220" s="77">
        <f>VLOOKUP(M220,'Component List'!AA$2:AB$30,2,FALSE)</f>
        <v>3</v>
      </c>
      <c r="AC220" s="77" t="str">
        <f>VLOOKUP(N220,'Component List'!Y$2:Z$30,2,FALSE)</f>
        <v>P</v>
      </c>
      <c r="AD220" s="159" t="e">
        <f>VLOOKUP(O220,'Component List'!W$3:X$30,2,FALSE)</f>
        <v>#N/A</v>
      </c>
      <c r="AG220" s="93"/>
    </row>
    <row r="221" spans="1:33" ht="30" customHeight="1" x14ac:dyDescent="0.3">
      <c r="A221" s="242"/>
      <c r="B221" s="101" t="s">
        <v>211</v>
      </c>
      <c r="C221" s="82" t="s">
        <v>21</v>
      </c>
      <c r="D221" s="80" t="s">
        <v>136</v>
      </c>
      <c r="E221" s="81" t="s">
        <v>137</v>
      </c>
      <c r="F221" s="82" t="s">
        <v>47</v>
      </c>
      <c r="G221" s="82" t="s">
        <v>183</v>
      </c>
      <c r="H221" s="82" t="s">
        <v>138</v>
      </c>
      <c r="I221" s="110" t="s">
        <v>198</v>
      </c>
      <c r="J221" s="110" t="s">
        <v>143</v>
      </c>
      <c r="K221" s="135" t="s">
        <v>366</v>
      </c>
      <c r="L221" s="135" t="s">
        <v>366</v>
      </c>
      <c r="M221" s="82">
        <v>3</v>
      </c>
      <c r="N221" s="82" t="s">
        <v>187</v>
      </c>
      <c r="O221" s="110" t="s">
        <v>367</v>
      </c>
      <c r="P221" s="123" t="e">
        <f t="shared" si="2"/>
        <v>#N/A</v>
      </c>
      <c r="Q221" s="119" t="str">
        <f>VLOOKUP($B221,'Component List'!$A$2:$B$30,2,FALSE)</f>
        <v>MR2</v>
      </c>
      <c r="R221" s="77" t="str">
        <f>VLOOKUP($C221,'Component List'!C$2:D$28,2,FALSE)</f>
        <v>C00</v>
      </c>
      <c r="S221" s="77" t="str">
        <f>VLOOKUP($D221,'Component List'!E$2:F$30,2,FALSE)</f>
        <v>D</v>
      </c>
      <c r="T221" s="77">
        <f>VLOOKUP($E221,'Component List'!G$2:H$30,2,FALSE)</f>
        <v>102</v>
      </c>
      <c r="U221" s="77">
        <f>VLOOKUP($F221,'Component List'!I$2:J$30,2,FALSE)</f>
        <v>104</v>
      </c>
      <c r="V221" s="77">
        <f>VLOOKUP(G221,'Component List'!K$2:L$30,2,FALSE)</f>
        <v>101</v>
      </c>
      <c r="W221" s="77">
        <f>VLOOKUP(H221,'Component List'!M$2:N$31,2,FALSE)</f>
        <v>100</v>
      </c>
      <c r="X221" s="77">
        <f>VLOOKUP(I221,'Component List'!O$2:P$30,2,FALSE)</f>
        <v>100</v>
      </c>
      <c r="Y221" s="77" t="str">
        <f>VLOOKUP(J221,'Component List'!Q$2:R$30,2,FALSE)</f>
        <v>000</v>
      </c>
      <c r="Z221" s="77" t="e">
        <f>VLOOKUP(K221,'Component List'!S$2:T$30,2,FALSE)</f>
        <v>#N/A</v>
      </c>
      <c r="AA221" s="77" t="e">
        <f>VLOOKUP(L221,'Component List'!U$2:V$30,2,FALSE)</f>
        <v>#N/A</v>
      </c>
      <c r="AB221" s="77">
        <f>VLOOKUP(M221,'Component List'!AA$2:AB$30,2,FALSE)</f>
        <v>3</v>
      </c>
      <c r="AC221" s="77" t="str">
        <f>VLOOKUP(N221,'Component List'!Y$2:Z$30,2,FALSE)</f>
        <v>C</v>
      </c>
      <c r="AD221" s="159" t="e">
        <f>VLOOKUP(O221,'Component List'!W$3:X$30,2,FALSE)</f>
        <v>#N/A</v>
      </c>
      <c r="AG221" s="93"/>
    </row>
    <row r="222" spans="1:33" ht="30" customHeight="1" x14ac:dyDescent="0.3">
      <c r="A222" s="242"/>
      <c r="B222" s="101" t="s">
        <v>211</v>
      </c>
      <c r="C222" s="82" t="s">
        <v>21</v>
      </c>
      <c r="D222" s="80" t="s">
        <v>136</v>
      </c>
      <c r="E222" s="81" t="s">
        <v>137</v>
      </c>
      <c r="F222" s="82" t="s">
        <v>39</v>
      </c>
      <c r="G222" s="82" t="s">
        <v>183</v>
      </c>
      <c r="H222" s="82" t="s">
        <v>138</v>
      </c>
      <c r="I222" s="110" t="s">
        <v>198</v>
      </c>
      <c r="J222" s="110" t="s">
        <v>143</v>
      </c>
      <c r="K222" s="135" t="s">
        <v>366</v>
      </c>
      <c r="L222" s="135" t="s">
        <v>366</v>
      </c>
      <c r="M222" s="82">
        <v>1</v>
      </c>
      <c r="N222" s="82" t="s">
        <v>175</v>
      </c>
      <c r="O222" s="110" t="s">
        <v>367</v>
      </c>
      <c r="P222" s="123" t="e">
        <f t="shared" si="2"/>
        <v>#N/A</v>
      </c>
      <c r="Q222" s="119" t="str">
        <f>VLOOKUP($B222,'Component List'!$A$2:$B$30,2,FALSE)</f>
        <v>MR2</v>
      </c>
      <c r="R222" s="77" t="str">
        <f>VLOOKUP($C222,'Component List'!C$2:D$28,2,FALSE)</f>
        <v>C00</v>
      </c>
      <c r="S222" s="77" t="str">
        <f>VLOOKUP($D222,'Component List'!E$2:F$30,2,FALSE)</f>
        <v>D</v>
      </c>
      <c r="T222" s="77">
        <f>VLOOKUP($E222,'Component List'!G$2:H$30,2,FALSE)</f>
        <v>102</v>
      </c>
      <c r="U222" s="77">
        <f>VLOOKUP($F222,'Component List'!I$2:J$30,2,FALSE)</f>
        <v>105</v>
      </c>
      <c r="V222" s="77">
        <f>VLOOKUP(G222,'Component List'!K$2:L$30,2,FALSE)</f>
        <v>101</v>
      </c>
      <c r="W222" s="77">
        <f>VLOOKUP(H222,'Component List'!M$2:N$31,2,FALSE)</f>
        <v>100</v>
      </c>
      <c r="X222" s="77">
        <f>VLOOKUP(I222,'Component List'!O$2:P$30,2,FALSE)</f>
        <v>100</v>
      </c>
      <c r="Y222" s="77" t="str">
        <f>VLOOKUP(J222,'Component List'!Q$2:R$30,2,FALSE)</f>
        <v>000</v>
      </c>
      <c r="Z222" s="77" t="e">
        <f>VLOOKUP(K222,'Component List'!S$2:T$30,2,FALSE)</f>
        <v>#N/A</v>
      </c>
      <c r="AA222" s="77" t="e">
        <f>VLOOKUP(L222,'Component List'!U$2:V$30,2,FALSE)</f>
        <v>#N/A</v>
      </c>
      <c r="AB222" s="77">
        <f>VLOOKUP(M222,'Component List'!AA$2:AB$30,2,FALSE)</f>
        <v>1</v>
      </c>
      <c r="AC222" s="77" t="str">
        <f>VLOOKUP(N222,'Component List'!Y$2:Z$30,2,FALSE)</f>
        <v>P</v>
      </c>
      <c r="AD222" s="159" t="e">
        <f>VLOOKUP(O222,'Component List'!W$3:X$30,2,FALSE)</f>
        <v>#N/A</v>
      </c>
      <c r="AG222" s="93"/>
    </row>
    <row r="223" spans="1:33" ht="30" customHeight="1" x14ac:dyDescent="0.3">
      <c r="A223" s="242"/>
      <c r="B223" s="101" t="s">
        <v>211</v>
      </c>
      <c r="C223" s="82" t="s">
        <v>21</v>
      </c>
      <c r="D223" s="80" t="s">
        <v>136</v>
      </c>
      <c r="E223" s="81" t="s">
        <v>137</v>
      </c>
      <c r="F223" s="82" t="s">
        <v>39</v>
      </c>
      <c r="G223" s="82" t="s">
        <v>183</v>
      </c>
      <c r="H223" s="82" t="s">
        <v>138</v>
      </c>
      <c r="I223" s="110" t="s">
        <v>198</v>
      </c>
      <c r="J223" s="110" t="s">
        <v>143</v>
      </c>
      <c r="K223" s="135" t="s">
        <v>366</v>
      </c>
      <c r="L223" s="135" t="s">
        <v>366</v>
      </c>
      <c r="M223" s="82">
        <v>1</v>
      </c>
      <c r="N223" s="82" t="s">
        <v>187</v>
      </c>
      <c r="O223" s="110" t="s">
        <v>367</v>
      </c>
      <c r="P223" s="123" t="e">
        <f t="shared" si="2"/>
        <v>#N/A</v>
      </c>
      <c r="Q223" s="119" t="str">
        <f>VLOOKUP($B223,'Component List'!$A$2:$B$30,2,FALSE)</f>
        <v>MR2</v>
      </c>
      <c r="R223" s="77" t="str">
        <f>VLOOKUP($C223,'Component List'!C$2:D$28,2,FALSE)</f>
        <v>C00</v>
      </c>
      <c r="S223" s="77" t="str">
        <f>VLOOKUP($D223,'Component List'!E$2:F$30,2,FALSE)</f>
        <v>D</v>
      </c>
      <c r="T223" s="77">
        <f>VLOOKUP($E223,'Component List'!G$2:H$30,2,FALSE)</f>
        <v>102</v>
      </c>
      <c r="U223" s="77">
        <f>VLOOKUP($F223,'Component List'!I$2:J$30,2,FALSE)</f>
        <v>105</v>
      </c>
      <c r="V223" s="77">
        <f>VLOOKUP(G223,'Component List'!K$2:L$30,2,FALSE)</f>
        <v>101</v>
      </c>
      <c r="W223" s="77">
        <f>VLOOKUP(H223,'Component List'!M$2:N$31,2,FALSE)</f>
        <v>100</v>
      </c>
      <c r="X223" s="77">
        <f>VLOOKUP(I223,'Component List'!O$2:P$30,2,FALSE)</f>
        <v>100</v>
      </c>
      <c r="Y223" s="77" t="str">
        <f>VLOOKUP(J223,'Component List'!Q$2:R$30,2,FALSE)</f>
        <v>000</v>
      </c>
      <c r="Z223" s="77" t="e">
        <f>VLOOKUP(K223,'Component List'!S$2:T$30,2,FALSE)</f>
        <v>#N/A</v>
      </c>
      <c r="AA223" s="77" t="e">
        <f>VLOOKUP(L223,'Component List'!U$2:V$30,2,FALSE)</f>
        <v>#N/A</v>
      </c>
      <c r="AB223" s="77">
        <f>VLOOKUP(M223,'Component List'!AA$2:AB$30,2,FALSE)</f>
        <v>1</v>
      </c>
      <c r="AC223" s="77" t="str">
        <f>VLOOKUP(N223,'Component List'!Y$2:Z$30,2,FALSE)</f>
        <v>C</v>
      </c>
      <c r="AD223" s="159" t="e">
        <f>VLOOKUP(O223,'Component List'!W$3:X$30,2,FALSE)</f>
        <v>#N/A</v>
      </c>
      <c r="AG223" s="93"/>
    </row>
    <row r="224" spans="1:33" ht="30" customHeight="1" x14ac:dyDescent="0.3">
      <c r="A224" s="242"/>
      <c r="B224" s="101" t="s">
        <v>211</v>
      </c>
      <c r="C224" s="82" t="s">
        <v>21</v>
      </c>
      <c r="D224" s="80" t="s">
        <v>136</v>
      </c>
      <c r="E224" s="81" t="s">
        <v>137</v>
      </c>
      <c r="F224" s="82" t="s">
        <v>39</v>
      </c>
      <c r="G224" s="82" t="s">
        <v>183</v>
      </c>
      <c r="H224" s="82" t="s">
        <v>138</v>
      </c>
      <c r="I224" s="110" t="s">
        <v>198</v>
      </c>
      <c r="J224" s="110" t="s">
        <v>143</v>
      </c>
      <c r="K224" s="135" t="s">
        <v>366</v>
      </c>
      <c r="L224" s="135" t="s">
        <v>366</v>
      </c>
      <c r="M224" s="82">
        <v>2</v>
      </c>
      <c r="N224" s="82" t="s">
        <v>175</v>
      </c>
      <c r="O224" s="110" t="s">
        <v>367</v>
      </c>
      <c r="P224" s="123" t="e">
        <f t="shared" si="2"/>
        <v>#N/A</v>
      </c>
      <c r="Q224" s="119" t="str">
        <f>VLOOKUP($B224,'Component List'!$A$2:$B$30,2,FALSE)</f>
        <v>MR2</v>
      </c>
      <c r="R224" s="77" t="str">
        <f>VLOOKUP($C224,'Component List'!C$2:D$28,2,FALSE)</f>
        <v>C00</v>
      </c>
      <c r="S224" s="77" t="str">
        <f>VLOOKUP($D224,'Component List'!E$2:F$30,2,FALSE)</f>
        <v>D</v>
      </c>
      <c r="T224" s="77">
        <f>VLOOKUP($E224,'Component List'!G$2:H$30,2,FALSE)</f>
        <v>102</v>
      </c>
      <c r="U224" s="77">
        <f>VLOOKUP($F224,'Component List'!I$2:J$30,2,FALSE)</f>
        <v>105</v>
      </c>
      <c r="V224" s="77">
        <f>VLOOKUP(G224,'Component List'!K$2:L$30,2,FALSE)</f>
        <v>101</v>
      </c>
      <c r="W224" s="77">
        <f>VLOOKUP(H224,'Component List'!M$2:N$31,2,FALSE)</f>
        <v>100</v>
      </c>
      <c r="X224" s="77">
        <f>VLOOKUP(I224,'Component List'!O$2:P$30,2,FALSE)</f>
        <v>100</v>
      </c>
      <c r="Y224" s="77" t="str">
        <f>VLOOKUP(J224,'Component List'!Q$2:R$30,2,FALSE)</f>
        <v>000</v>
      </c>
      <c r="Z224" s="77" t="e">
        <f>VLOOKUP(K224,'Component List'!S$2:T$30,2,FALSE)</f>
        <v>#N/A</v>
      </c>
      <c r="AA224" s="77" t="e">
        <f>VLOOKUP(L224,'Component List'!U$2:V$30,2,FALSE)</f>
        <v>#N/A</v>
      </c>
      <c r="AB224" s="77">
        <f>VLOOKUP(M224,'Component List'!AA$2:AB$30,2,FALSE)</f>
        <v>2</v>
      </c>
      <c r="AC224" s="77" t="str">
        <f>VLOOKUP(N224,'Component List'!Y$2:Z$30,2,FALSE)</f>
        <v>P</v>
      </c>
      <c r="AD224" s="159" t="e">
        <f>VLOOKUP(O224,'Component List'!W$3:X$30,2,FALSE)</f>
        <v>#N/A</v>
      </c>
      <c r="AG224" s="93"/>
    </row>
    <row r="225" spans="1:33" ht="30" customHeight="1" x14ac:dyDescent="0.3">
      <c r="A225" s="242"/>
      <c r="B225" s="101" t="s">
        <v>211</v>
      </c>
      <c r="C225" s="82" t="s">
        <v>21</v>
      </c>
      <c r="D225" s="80" t="s">
        <v>136</v>
      </c>
      <c r="E225" s="81" t="s">
        <v>137</v>
      </c>
      <c r="F225" s="82" t="s">
        <v>39</v>
      </c>
      <c r="G225" s="82" t="s">
        <v>183</v>
      </c>
      <c r="H225" s="82" t="s">
        <v>138</v>
      </c>
      <c r="I225" s="110" t="s">
        <v>198</v>
      </c>
      <c r="J225" s="110" t="s">
        <v>143</v>
      </c>
      <c r="K225" s="135" t="s">
        <v>366</v>
      </c>
      <c r="L225" s="135" t="s">
        <v>366</v>
      </c>
      <c r="M225" s="82">
        <v>2</v>
      </c>
      <c r="N225" s="82" t="s">
        <v>187</v>
      </c>
      <c r="O225" s="110" t="s">
        <v>367</v>
      </c>
      <c r="P225" s="123" t="e">
        <f t="shared" si="2"/>
        <v>#N/A</v>
      </c>
      <c r="Q225" s="119" t="str">
        <f>VLOOKUP($B225,'Component List'!$A$2:$B$30,2,FALSE)</f>
        <v>MR2</v>
      </c>
      <c r="R225" s="77" t="str">
        <f>VLOOKUP($C225,'Component List'!C$2:D$28,2,FALSE)</f>
        <v>C00</v>
      </c>
      <c r="S225" s="77" t="str">
        <f>VLOOKUP($D225,'Component List'!E$2:F$30,2,FALSE)</f>
        <v>D</v>
      </c>
      <c r="T225" s="77">
        <f>VLOOKUP($E225,'Component List'!G$2:H$30,2,FALSE)</f>
        <v>102</v>
      </c>
      <c r="U225" s="77">
        <f>VLOOKUP($F225,'Component List'!I$2:J$30,2,FALSE)</f>
        <v>105</v>
      </c>
      <c r="V225" s="77">
        <f>VLOOKUP(G225,'Component List'!K$2:L$30,2,FALSE)</f>
        <v>101</v>
      </c>
      <c r="W225" s="77">
        <f>VLOOKUP(H225,'Component List'!M$2:N$31,2,FALSE)</f>
        <v>100</v>
      </c>
      <c r="X225" s="77">
        <f>VLOOKUP(I225,'Component List'!O$2:P$30,2,FALSE)</f>
        <v>100</v>
      </c>
      <c r="Y225" s="77" t="str">
        <f>VLOOKUP(J225,'Component List'!Q$2:R$30,2,FALSE)</f>
        <v>000</v>
      </c>
      <c r="Z225" s="77" t="e">
        <f>VLOOKUP(K225,'Component List'!S$2:T$30,2,FALSE)</f>
        <v>#N/A</v>
      </c>
      <c r="AA225" s="77" t="e">
        <f>VLOOKUP(L225,'Component List'!U$2:V$30,2,FALSE)</f>
        <v>#N/A</v>
      </c>
      <c r="AB225" s="77">
        <f>VLOOKUP(M225,'Component List'!AA$2:AB$30,2,FALSE)</f>
        <v>2</v>
      </c>
      <c r="AC225" s="77" t="str">
        <f>VLOOKUP(N225,'Component List'!Y$2:Z$30,2,FALSE)</f>
        <v>C</v>
      </c>
      <c r="AD225" s="159" t="e">
        <f>VLOOKUP(O225,'Component List'!W$3:X$30,2,FALSE)</f>
        <v>#N/A</v>
      </c>
      <c r="AG225" s="93"/>
    </row>
    <row r="226" spans="1:33" ht="30" customHeight="1" x14ac:dyDescent="0.3">
      <c r="A226" s="242"/>
      <c r="B226" s="101" t="s">
        <v>211</v>
      </c>
      <c r="C226" s="82" t="s">
        <v>21</v>
      </c>
      <c r="D226" s="80" t="s">
        <v>136</v>
      </c>
      <c r="E226" s="81" t="s">
        <v>137</v>
      </c>
      <c r="F226" s="82" t="s">
        <v>39</v>
      </c>
      <c r="G226" s="82" t="s">
        <v>183</v>
      </c>
      <c r="H226" s="82" t="s">
        <v>138</v>
      </c>
      <c r="I226" s="110" t="s">
        <v>198</v>
      </c>
      <c r="J226" s="110" t="s">
        <v>143</v>
      </c>
      <c r="K226" s="135" t="s">
        <v>366</v>
      </c>
      <c r="L226" s="135" t="s">
        <v>366</v>
      </c>
      <c r="M226" s="82">
        <v>3</v>
      </c>
      <c r="N226" s="82" t="s">
        <v>175</v>
      </c>
      <c r="O226" s="110" t="s">
        <v>367</v>
      </c>
      <c r="P226" s="123" t="e">
        <f t="shared" si="2"/>
        <v>#N/A</v>
      </c>
      <c r="Q226" s="119" t="str">
        <f>VLOOKUP($B226,'Component List'!$A$2:$B$30,2,FALSE)</f>
        <v>MR2</v>
      </c>
      <c r="R226" s="77" t="str">
        <f>VLOOKUP($C226,'Component List'!C$2:D$28,2,FALSE)</f>
        <v>C00</v>
      </c>
      <c r="S226" s="77" t="str">
        <f>VLOOKUP($D226,'Component List'!E$2:F$30,2,FALSE)</f>
        <v>D</v>
      </c>
      <c r="T226" s="77">
        <f>VLOOKUP($E226,'Component List'!G$2:H$30,2,FALSE)</f>
        <v>102</v>
      </c>
      <c r="U226" s="77">
        <f>VLOOKUP($F226,'Component List'!I$2:J$30,2,FALSE)</f>
        <v>105</v>
      </c>
      <c r="V226" s="77">
        <f>VLOOKUP(G226,'Component List'!K$2:L$30,2,FALSE)</f>
        <v>101</v>
      </c>
      <c r="W226" s="77">
        <f>VLOOKUP(H226,'Component List'!M$2:N$31,2,FALSE)</f>
        <v>100</v>
      </c>
      <c r="X226" s="77">
        <f>VLOOKUP(I226,'Component List'!O$2:P$30,2,FALSE)</f>
        <v>100</v>
      </c>
      <c r="Y226" s="77" t="str">
        <f>VLOOKUP(J226,'Component List'!Q$2:R$30,2,FALSE)</f>
        <v>000</v>
      </c>
      <c r="Z226" s="77" t="e">
        <f>VLOOKUP(K226,'Component List'!S$2:T$30,2,FALSE)</f>
        <v>#N/A</v>
      </c>
      <c r="AA226" s="77" t="e">
        <f>VLOOKUP(L226,'Component List'!U$2:V$30,2,FALSE)</f>
        <v>#N/A</v>
      </c>
      <c r="AB226" s="77">
        <f>VLOOKUP(M226,'Component List'!AA$2:AB$30,2,FALSE)</f>
        <v>3</v>
      </c>
      <c r="AC226" s="77" t="str">
        <f>VLOOKUP(N226,'Component List'!Y$2:Z$30,2,FALSE)</f>
        <v>P</v>
      </c>
      <c r="AD226" s="159" t="e">
        <f>VLOOKUP(O226,'Component List'!W$3:X$30,2,FALSE)</f>
        <v>#N/A</v>
      </c>
      <c r="AG226" s="93"/>
    </row>
    <row r="227" spans="1:33" ht="30" customHeight="1" x14ac:dyDescent="0.3">
      <c r="A227" s="242"/>
      <c r="B227" s="101" t="s">
        <v>211</v>
      </c>
      <c r="C227" s="82" t="s">
        <v>21</v>
      </c>
      <c r="D227" s="80" t="s">
        <v>136</v>
      </c>
      <c r="E227" s="81" t="s">
        <v>137</v>
      </c>
      <c r="F227" s="82" t="s">
        <v>39</v>
      </c>
      <c r="G227" s="82" t="s">
        <v>183</v>
      </c>
      <c r="H227" s="82" t="s">
        <v>138</v>
      </c>
      <c r="I227" s="110" t="s">
        <v>198</v>
      </c>
      <c r="J227" s="110" t="s">
        <v>143</v>
      </c>
      <c r="K227" s="135" t="s">
        <v>366</v>
      </c>
      <c r="L227" s="135" t="s">
        <v>366</v>
      </c>
      <c r="M227" s="82">
        <v>3</v>
      </c>
      <c r="N227" s="82" t="s">
        <v>187</v>
      </c>
      <c r="O227" s="110" t="s">
        <v>367</v>
      </c>
      <c r="P227" s="123" t="e">
        <f t="shared" si="2"/>
        <v>#N/A</v>
      </c>
      <c r="Q227" s="119" t="str">
        <f>VLOOKUP($B227,'Component List'!$A$2:$B$30,2,FALSE)</f>
        <v>MR2</v>
      </c>
      <c r="R227" s="77" t="str">
        <f>VLOOKUP($C227,'Component List'!C$2:D$28,2,FALSE)</f>
        <v>C00</v>
      </c>
      <c r="S227" s="77" t="str">
        <f>VLOOKUP($D227,'Component List'!E$2:F$30,2,FALSE)</f>
        <v>D</v>
      </c>
      <c r="T227" s="77">
        <f>VLOOKUP($E227,'Component List'!G$2:H$30,2,FALSE)</f>
        <v>102</v>
      </c>
      <c r="U227" s="77">
        <f>VLOOKUP($F227,'Component List'!I$2:J$30,2,FALSE)</f>
        <v>105</v>
      </c>
      <c r="V227" s="77">
        <f>VLOOKUP(G227,'Component List'!K$2:L$30,2,FALSE)</f>
        <v>101</v>
      </c>
      <c r="W227" s="77">
        <f>VLOOKUP(H227,'Component List'!M$2:N$31,2,FALSE)</f>
        <v>100</v>
      </c>
      <c r="X227" s="77">
        <f>VLOOKUP(I227,'Component List'!O$2:P$30,2,FALSE)</f>
        <v>100</v>
      </c>
      <c r="Y227" s="77" t="str">
        <f>VLOOKUP(J227,'Component List'!Q$2:R$30,2,FALSE)</f>
        <v>000</v>
      </c>
      <c r="Z227" s="77" t="e">
        <f>VLOOKUP(K227,'Component List'!S$2:T$30,2,FALSE)</f>
        <v>#N/A</v>
      </c>
      <c r="AA227" s="77" t="e">
        <f>VLOOKUP(L227,'Component List'!U$2:V$30,2,FALSE)</f>
        <v>#N/A</v>
      </c>
      <c r="AB227" s="77">
        <f>VLOOKUP(M227,'Component List'!AA$2:AB$30,2,FALSE)</f>
        <v>3</v>
      </c>
      <c r="AC227" s="77" t="str">
        <f>VLOOKUP(N227,'Component List'!Y$2:Z$30,2,FALSE)</f>
        <v>C</v>
      </c>
      <c r="AD227" s="159" t="e">
        <f>VLOOKUP(O227,'Component List'!W$3:X$30,2,FALSE)</f>
        <v>#N/A</v>
      </c>
      <c r="AG227" s="93"/>
    </row>
    <row r="228" spans="1:33" ht="30" customHeight="1" x14ac:dyDescent="0.3">
      <c r="A228" s="242"/>
      <c r="B228" s="101" t="s">
        <v>211</v>
      </c>
      <c r="C228" s="82" t="s">
        <v>21</v>
      </c>
      <c r="D228" s="80" t="s">
        <v>136</v>
      </c>
      <c r="E228" s="81" t="s">
        <v>137</v>
      </c>
      <c r="F228" s="82" t="s">
        <v>45</v>
      </c>
      <c r="G228" s="82" t="s">
        <v>183</v>
      </c>
      <c r="H228" s="82" t="s">
        <v>208</v>
      </c>
      <c r="I228" s="110" t="s">
        <v>198</v>
      </c>
      <c r="J228" s="110" t="s">
        <v>143</v>
      </c>
      <c r="K228" s="135" t="s">
        <v>366</v>
      </c>
      <c r="L228" s="135" t="s">
        <v>366</v>
      </c>
      <c r="M228" s="82">
        <v>1</v>
      </c>
      <c r="N228" s="82" t="s">
        <v>175</v>
      </c>
      <c r="O228" s="110" t="s">
        <v>367</v>
      </c>
      <c r="P228" s="123" t="e">
        <f t="shared" si="2"/>
        <v>#N/A</v>
      </c>
      <c r="Q228" s="119" t="str">
        <f>VLOOKUP($B228,'Component List'!$A$2:$B$30,2,FALSE)</f>
        <v>MR2</v>
      </c>
      <c r="R228" s="77" t="str">
        <f>VLOOKUP($C228,'Component List'!C$2:D$28,2,FALSE)</f>
        <v>C00</v>
      </c>
      <c r="S228" s="77" t="str">
        <f>VLOOKUP($D228,'Component List'!E$2:F$30,2,FALSE)</f>
        <v>D</v>
      </c>
      <c r="T228" s="77">
        <f>VLOOKUP($E228,'Component List'!G$2:H$30,2,FALSE)</f>
        <v>102</v>
      </c>
      <c r="U228" s="77">
        <f>VLOOKUP($F228,'Component List'!I$2:J$30,2,FALSE)</f>
        <v>106</v>
      </c>
      <c r="V228" s="77">
        <f>VLOOKUP(G228,'Component List'!K$2:L$30,2,FALSE)</f>
        <v>101</v>
      </c>
      <c r="W228" s="77">
        <f>VLOOKUP(H228,'Component List'!M$2:N$31,2,FALSE)</f>
        <v>103</v>
      </c>
      <c r="X228" s="77">
        <f>VLOOKUP(I228,'Component List'!O$2:P$30,2,FALSE)</f>
        <v>100</v>
      </c>
      <c r="Y228" s="77" t="str">
        <f>VLOOKUP(J228,'Component List'!Q$2:R$30,2,FALSE)</f>
        <v>000</v>
      </c>
      <c r="Z228" s="77" t="e">
        <f>VLOOKUP(K228,'Component List'!S$2:T$30,2,FALSE)</f>
        <v>#N/A</v>
      </c>
      <c r="AA228" s="77" t="e">
        <f>VLOOKUP(L228,'Component List'!U$2:V$30,2,FALSE)</f>
        <v>#N/A</v>
      </c>
      <c r="AB228" s="77">
        <f>VLOOKUP(M228,'Component List'!AA$2:AB$30,2,FALSE)</f>
        <v>1</v>
      </c>
      <c r="AC228" s="77" t="str">
        <f>VLOOKUP(N228,'Component List'!Y$2:Z$30,2,FALSE)</f>
        <v>P</v>
      </c>
      <c r="AD228" s="159" t="e">
        <f>VLOOKUP(O228,'Component List'!W$3:X$30,2,FALSE)</f>
        <v>#N/A</v>
      </c>
      <c r="AG228" s="93"/>
    </row>
    <row r="229" spans="1:33" ht="30" customHeight="1" x14ac:dyDescent="0.3">
      <c r="A229" s="242"/>
      <c r="B229" s="101" t="s">
        <v>211</v>
      </c>
      <c r="C229" s="82" t="s">
        <v>21</v>
      </c>
      <c r="D229" s="80" t="s">
        <v>136</v>
      </c>
      <c r="E229" s="81" t="s">
        <v>137</v>
      </c>
      <c r="F229" s="82" t="s">
        <v>45</v>
      </c>
      <c r="G229" s="82" t="s">
        <v>183</v>
      </c>
      <c r="H229" s="82" t="s">
        <v>208</v>
      </c>
      <c r="I229" s="110" t="s">
        <v>198</v>
      </c>
      <c r="J229" s="110" t="s">
        <v>143</v>
      </c>
      <c r="K229" s="135" t="s">
        <v>366</v>
      </c>
      <c r="L229" s="135" t="s">
        <v>366</v>
      </c>
      <c r="M229" s="82">
        <v>1</v>
      </c>
      <c r="N229" s="82" t="s">
        <v>187</v>
      </c>
      <c r="O229" s="110" t="s">
        <v>367</v>
      </c>
      <c r="P229" s="123" t="e">
        <f t="shared" si="2"/>
        <v>#N/A</v>
      </c>
      <c r="Q229" s="119" t="str">
        <f>VLOOKUP($B229,'Component List'!$A$2:$B$30,2,FALSE)</f>
        <v>MR2</v>
      </c>
      <c r="R229" s="77" t="str">
        <f>VLOOKUP($C229,'Component List'!C$2:D$28,2,FALSE)</f>
        <v>C00</v>
      </c>
      <c r="S229" s="77" t="str">
        <f>VLOOKUP($D229,'Component List'!E$2:F$30,2,FALSE)</f>
        <v>D</v>
      </c>
      <c r="T229" s="77">
        <f>VLOOKUP($E229,'Component List'!G$2:H$30,2,FALSE)</f>
        <v>102</v>
      </c>
      <c r="U229" s="77">
        <f>VLOOKUP($F229,'Component List'!I$2:J$30,2,FALSE)</f>
        <v>106</v>
      </c>
      <c r="V229" s="77">
        <f>VLOOKUP(G229,'Component List'!K$2:L$30,2,FALSE)</f>
        <v>101</v>
      </c>
      <c r="W229" s="77">
        <f>VLOOKUP(H229,'Component List'!M$2:N$31,2,FALSE)</f>
        <v>103</v>
      </c>
      <c r="X229" s="77">
        <f>VLOOKUP(I229,'Component List'!O$2:P$30,2,FALSE)</f>
        <v>100</v>
      </c>
      <c r="Y229" s="77" t="str">
        <f>VLOOKUP(J229,'Component List'!Q$2:R$30,2,FALSE)</f>
        <v>000</v>
      </c>
      <c r="Z229" s="77" t="e">
        <f>VLOOKUP(K229,'Component List'!S$2:T$30,2,FALSE)</f>
        <v>#N/A</v>
      </c>
      <c r="AA229" s="77" t="e">
        <f>VLOOKUP(L229,'Component List'!U$2:V$30,2,FALSE)</f>
        <v>#N/A</v>
      </c>
      <c r="AB229" s="77">
        <f>VLOOKUP(M229,'Component List'!AA$2:AB$30,2,FALSE)</f>
        <v>1</v>
      </c>
      <c r="AC229" s="77" t="str">
        <f>VLOOKUP(N229,'Component List'!Y$2:Z$30,2,FALSE)</f>
        <v>C</v>
      </c>
      <c r="AD229" s="159" t="e">
        <f>VLOOKUP(O229,'Component List'!W$3:X$30,2,FALSE)</f>
        <v>#N/A</v>
      </c>
      <c r="AG229" s="93"/>
    </row>
    <row r="230" spans="1:33" ht="30" customHeight="1" x14ac:dyDescent="0.3">
      <c r="A230" s="242"/>
      <c r="B230" s="101" t="s">
        <v>211</v>
      </c>
      <c r="C230" s="82" t="s">
        <v>21</v>
      </c>
      <c r="D230" s="80" t="s">
        <v>136</v>
      </c>
      <c r="E230" s="81" t="s">
        <v>137</v>
      </c>
      <c r="F230" s="82" t="s">
        <v>45</v>
      </c>
      <c r="G230" s="82" t="s">
        <v>183</v>
      </c>
      <c r="H230" s="82" t="s">
        <v>208</v>
      </c>
      <c r="I230" s="110" t="s">
        <v>198</v>
      </c>
      <c r="J230" s="110" t="s">
        <v>143</v>
      </c>
      <c r="K230" s="135" t="s">
        <v>366</v>
      </c>
      <c r="L230" s="135" t="s">
        <v>366</v>
      </c>
      <c r="M230" s="82">
        <v>2</v>
      </c>
      <c r="N230" s="82" t="s">
        <v>175</v>
      </c>
      <c r="O230" s="110" t="s">
        <v>367</v>
      </c>
      <c r="P230" s="123" t="e">
        <f t="shared" si="2"/>
        <v>#N/A</v>
      </c>
      <c r="Q230" s="119" t="str">
        <f>VLOOKUP($B230,'Component List'!$A$2:$B$30,2,FALSE)</f>
        <v>MR2</v>
      </c>
      <c r="R230" s="77" t="str">
        <f>VLOOKUP($C230,'Component List'!C$2:D$28,2,FALSE)</f>
        <v>C00</v>
      </c>
      <c r="S230" s="77" t="str">
        <f>VLOOKUP($D230,'Component List'!E$2:F$30,2,FALSE)</f>
        <v>D</v>
      </c>
      <c r="T230" s="77">
        <f>VLOOKUP($E230,'Component List'!G$2:H$30,2,FALSE)</f>
        <v>102</v>
      </c>
      <c r="U230" s="77">
        <f>VLOOKUP($F230,'Component List'!I$2:J$30,2,FALSE)</f>
        <v>106</v>
      </c>
      <c r="V230" s="77">
        <f>VLOOKUP(G230,'Component List'!K$2:L$30,2,FALSE)</f>
        <v>101</v>
      </c>
      <c r="W230" s="77">
        <f>VLOOKUP(H230,'Component List'!M$2:N$31,2,FALSE)</f>
        <v>103</v>
      </c>
      <c r="X230" s="77">
        <f>VLOOKUP(I230,'Component List'!O$2:P$30,2,FALSE)</f>
        <v>100</v>
      </c>
      <c r="Y230" s="77" t="str">
        <f>VLOOKUP(J230,'Component List'!Q$2:R$30,2,FALSE)</f>
        <v>000</v>
      </c>
      <c r="Z230" s="77" t="e">
        <f>VLOOKUP(K230,'Component List'!S$2:T$30,2,FALSE)</f>
        <v>#N/A</v>
      </c>
      <c r="AA230" s="77" t="e">
        <f>VLOOKUP(L230,'Component List'!U$2:V$30,2,FALSE)</f>
        <v>#N/A</v>
      </c>
      <c r="AB230" s="77">
        <f>VLOOKUP(M230,'Component List'!AA$2:AB$30,2,FALSE)</f>
        <v>2</v>
      </c>
      <c r="AC230" s="77" t="str">
        <f>VLOOKUP(N230,'Component List'!Y$2:Z$30,2,FALSE)</f>
        <v>P</v>
      </c>
      <c r="AD230" s="159" t="e">
        <f>VLOOKUP(O230,'Component List'!W$3:X$30,2,FALSE)</f>
        <v>#N/A</v>
      </c>
      <c r="AG230" s="93"/>
    </row>
    <row r="231" spans="1:33" ht="30" customHeight="1" x14ac:dyDescent="0.3">
      <c r="A231" s="242"/>
      <c r="B231" s="101" t="s">
        <v>211</v>
      </c>
      <c r="C231" s="82" t="s">
        <v>21</v>
      </c>
      <c r="D231" s="80" t="s">
        <v>136</v>
      </c>
      <c r="E231" s="81" t="s">
        <v>137</v>
      </c>
      <c r="F231" s="82" t="s">
        <v>45</v>
      </c>
      <c r="G231" s="82" t="s">
        <v>183</v>
      </c>
      <c r="H231" s="82" t="s">
        <v>208</v>
      </c>
      <c r="I231" s="110" t="s">
        <v>198</v>
      </c>
      <c r="J231" s="110" t="s">
        <v>143</v>
      </c>
      <c r="K231" s="135" t="s">
        <v>366</v>
      </c>
      <c r="L231" s="135" t="s">
        <v>366</v>
      </c>
      <c r="M231" s="82">
        <v>2</v>
      </c>
      <c r="N231" s="82" t="s">
        <v>187</v>
      </c>
      <c r="O231" s="110" t="s">
        <v>367</v>
      </c>
      <c r="P231" s="123" t="e">
        <f t="shared" si="2"/>
        <v>#N/A</v>
      </c>
      <c r="Q231" s="119" t="str">
        <f>VLOOKUP($B231,'Component List'!$A$2:$B$30,2,FALSE)</f>
        <v>MR2</v>
      </c>
      <c r="R231" s="77" t="str">
        <f>VLOOKUP($C231,'Component List'!C$2:D$28,2,FALSE)</f>
        <v>C00</v>
      </c>
      <c r="S231" s="77" t="str">
        <f>VLOOKUP($D231,'Component List'!E$2:F$30,2,FALSE)</f>
        <v>D</v>
      </c>
      <c r="T231" s="77">
        <f>VLOOKUP($E231,'Component List'!G$2:H$30,2,FALSE)</f>
        <v>102</v>
      </c>
      <c r="U231" s="77">
        <f>VLOOKUP($F231,'Component List'!I$2:J$30,2,FALSE)</f>
        <v>106</v>
      </c>
      <c r="V231" s="77">
        <f>VLOOKUP(G231,'Component List'!K$2:L$30,2,FALSE)</f>
        <v>101</v>
      </c>
      <c r="W231" s="77">
        <f>VLOOKUP(H231,'Component List'!M$2:N$31,2,FALSE)</f>
        <v>103</v>
      </c>
      <c r="X231" s="77">
        <f>VLOOKUP(I231,'Component List'!O$2:P$30,2,FALSE)</f>
        <v>100</v>
      </c>
      <c r="Y231" s="77" t="str">
        <f>VLOOKUP(J231,'Component List'!Q$2:R$30,2,FALSE)</f>
        <v>000</v>
      </c>
      <c r="Z231" s="77" t="e">
        <f>VLOOKUP(K231,'Component List'!S$2:T$30,2,FALSE)</f>
        <v>#N/A</v>
      </c>
      <c r="AA231" s="77" t="e">
        <f>VLOOKUP(L231,'Component List'!U$2:V$30,2,FALSE)</f>
        <v>#N/A</v>
      </c>
      <c r="AB231" s="77">
        <f>VLOOKUP(M231,'Component List'!AA$2:AB$30,2,FALSE)</f>
        <v>2</v>
      </c>
      <c r="AC231" s="77" t="str">
        <f>VLOOKUP(N231,'Component List'!Y$2:Z$30,2,FALSE)</f>
        <v>C</v>
      </c>
      <c r="AD231" s="159" t="e">
        <f>VLOOKUP(O231,'Component List'!W$3:X$30,2,FALSE)</f>
        <v>#N/A</v>
      </c>
      <c r="AG231" s="93"/>
    </row>
    <row r="232" spans="1:33" ht="30" customHeight="1" x14ac:dyDescent="0.3">
      <c r="A232" s="242"/>
      <c r="B232" s="101" t="s">
        <v>211</v>
      </c>
      <c r="C232" s="82" t="s">
        <v>21</v>
      </c>
      <c r="D232" s="80" t="s">
        <v>136</v>
      </c>
      <c r="E232" s="81" t="s">
        <v>137</v>
      </c>
      <c r="F232" s="82" t="s">
        <v>45</v>
      </c>
      <c r="G232" s="82" t="s">
        <v>183</v>
      </c>
      <c r="H232" s="82" t="s">
        <v>208</v>
      </c>
      <c r="I232" s="110" t="s">
        <v>198</v>
      </c>
      <c r="J232" s="110" t="s">
        <v>143</v>
      </c>
      <c r="K232" s="135" t="s">
        <v>366</v>
      </c>
      <c r="L232" s="135" t="s">
        <v>366</v>
      </c>
      <c r="M232" s="82">
        <v>3</v>
      </c>
      <c r="N232" s="82" t="s">
        <v>175</v>
      </c>
      <c r="O232" s="110" t="s">
        <v>367</v>
      </c>
      <c r="P232" s="123" t="e">
        <f t="shared" si="2"/>
        <v>#N/A</v>
      </c>
      <c r="Q232" s="119" t="str">
        <f>VLOOKUP($B232,'Component List'!$A$2:$B$30,2,FALSE)</f>
        <v>MR2</v>
      </c>
      <c r="R232" s="77" t="str">
        <f>VLOOKUP($C232,'Component List'!C$2:D$28,2,FALSE)</f>
        <v>C00</v>
      </c>
      <c r="S232" s="77" t="str">
        <f>VLOOKUP($D232,'Component List'!E$2:F$30,2,FALSE)</f>
        <v>D</v>
      </c>
      <c r="T232" s="77">
        <f>VLOOKUP($E232,'Component List'!G$2:H$30,2,FALSE)</f>
        <v>102</v>
      </c>
      <c r="U232" s="77">
        <f>VLOOKUP($F232,'Component List'!I$2:J$30,2,FALSE)</f>
        <v>106</v>
      </c>
      <c r="V232" s="77">
        <f>VLOOKUP(G232,'Component List'!K$2:L$30,2,FALSE)</f>
        <v>101</v>
      </c>
      <c r="W232" s="77">
        <f>VLOOKUP(H232,'Component List'!M$2:N$31,2,FALSE)</f>
        <v>103</v>
      </c>
      <c r="X232" s="77">
        <f>VLOOKUP(I232,'Component List'!O$2:P$30,2,FALSE)</f>
        <v>100</v>
      </c>
      <c r="Y232" s="77" t="str">
        <f>VLOOKUP(J232,'Component List'!Q$2:R$30,2,FALSE)</f>
        <v>000</v>
      </c>
      <c r="Z232" s="77" t="e">
        <f>VLOOKUP(K232,'Component List'!S$2:T$30,2,FALSE)</f>
        <v>#N/A</v>
      </c>
      <c r="AA232" s="77" t="e">
        <f>VLOOKUP(L232,'Component List'!U$2:V$30,2,FALSE)</f>
        <v>#N/A</v>
      </c>
      <c r="AB232" s="77">
        <f>VLOOKUP(M232,'Component List'!AA$2:AB$30,2,FALSE)</f>
        <v>3</v>
      </c>
      <c r="AC232" s="77" t="str">
        <f>VLOOKUP(N232,'Component List'!Y$2:Z$30,2,FALSE)</f>
        <v>P</v>
      </c>
      <c r="AD232" s="159" t="e">
        <f>VLOOKUP(O232,'Component List'!W$3:X$30,2,FALSE)</f>
        <v>#N/A</v>
      </c>
      <c r="AG232" s="93"/>
    </row>
    <row r="233" spans="1:33" ht="30" customHeight="1" x14ac:dyDescent="0.3">
      <c r="A233" s="242"/>
      <c r="B233" s="101" t="s">
        <v>211</v>
      </c>
      <c r="C233" s="82" t="s">
        <v>21</v>
      </c>
      <c r="D233" s="80" t="s">
        <v>136</v>
      </c>
      <c r="E233" s="81" t="s">
        <v>137</v>
      </c>
      <c r="F233" s="82" t="s">
        <v>45</v>
      </c>
      <c r="G233" s="82" t="s">
        <v>183</v>
      </c>
      <c r="H233" s="82" t="s">
        <v>208</v>
      </c>
      <c r="I233" s="110" t="s">
        <v>198</v>
      </c>
      <c r="J233" s="110" t="s">
        <v>143</v>
      </c>
      <c r="K233" s="135" t="s">
        <v>366</v>
      </c>
      <c r="L233" s="135" t="s">
        <v>366</v>
      </c>
      <c r="M233" s="82">
        <v>3</v>
      </c>
      <c r="N233" s="82" t="s">
        <v>187</v>
      </c>
      <c r="O233" s="110" t="s">
        <v>367</v>
      </c>
      <c r="P233" s="123" t="e">
        <f t="shared" si="2"/>
        <v>#N/A</v>
      </c>
      <c r="Q233" s="119" t="str">
        <f>VLOOKUP($B233,'Component List'!$A$2:$B$30,2,FALSE)</f>
        <v>MR2</v>
      </c>
      <c r="R233" s="77" t="str">
        <f>VLOOKUP($C233,'Component List'!C$2:D$28,2,FALSE)</f>
        <v>C00</v>
      </c>
      <c r="S233" s="77" t="str">
        <f>VLOOKUP($D233,'Component List'!E$2:F$30,2,FALSE)</f>
        <v>D</v>
      </c>
      <c r="T233" s="77">
        <f>VLOOKUP($E233,'Component List'!G$2:H$30,2,FALSE)</f>
        <v>102</v>
      </c>
      <c r="U233" s="77">
        <f>VLOOKUP($F233,'Component List'!I$2:J$30,2,FALSE)</f>
        <v>106</v>
      </c>
      <c r="V233" s="77">
        <f>VLOOKUP(G233,'Component List'!K$2:L$30,2,FALSE)</f>
        <v>101</v>
      </c>
      <c r="W233" s="77">
        <f>VLOOKUP(H233,'Component List'!M$2:N$31,2,FALSE)</f>
        <v>103</v>
      </c>
      <c r="X233" s="77">
        <f>VLOOKUP(I233,'Component List'!O$2:P$30,2,FALSE)</f>
        <v>100</v>
      </c>
      <c r="Y233" s="77" t="str">
        <f>VLOOKUP(J233,'Component List'!Q$2:R$30,2,FALSE)</f>
        <v>000</v>
      </c>
      <c r="Z233" s="77" t="e">
        <f>VLOOKUP(K233,'Component List'!S$2:T$30,2,FALSE)</f>
        <v>#N/A</v>
      </c>
      <c r="AA233" s="77" t="e">
        <f>VLOOKUP(L233,'Component List'!U$2:V$30,2,FALSE)</f>
        <v>#N/A</v>
      </c>
      <c r="AB233" s="77">
        <f>VLOOKUP(M233,'Component List'!AA$2:AB$30,2,FALSE)</f>
        <v>3</v>
      </c>
      <c r="AC233" s="77" t="str">
        <f>VLOOKUP(N233,'Component List'!Y$2:Z$30,2,FALSE)</f>
        <v>C</v>
      </c>
      <c r="AD233" s="159" t="e">
        <f>VLOOKUP(O233,'Component List'!W$3:X$30,2,FALSE)</f>
        <v>#N/A</v>
      </c>
      <c r="AG233" s="93"/>
    </row>
    <row r="234" spans="1:33" ht="30" customHeight="1" x14ac:dyDescent="0.3">
      <c r="A234" s="242"/>
      <c r="B234" s="101" t="s">
        <v>221</v>
      </c>
      <c r="C234" s="82" t="s">
        <v>21</v>
      </c>
      <c r="D234" s="80" t="s">
        <v>136</v>
      </c>
      <c r="E234" s="81" t="s">
        <v>137</v>
      </c>
      <c r="F234" s="82" t="s">
        <v>47</v>
      </c>
      <c r="G234" s="82" t="s">
        <v>183</v>
      </c>
      <c r="H234" s="82" t="s">
        <v>138</v>
      </c>
      <c r="I234" s="110" t="s">
        <v>198</v>
      </c>
      <c r="J234" s="110" t="s">
        <v>143</v>
      </c>
      <c r="K234" s="135" t="s">
        <v>366</v>
      </c>
      <c r="L234" s="135" t="s">
        <v>366</v>
      </c>
      <c r="M234" s="82">
        <v>1</v>
      </c>
      <c r="N234" s="82" t="s">
        <v>175</v>
      </c>
      <c r="O234" s="110" t="s">
        <v>367</v>
      </c>
      <c r="P234" s="123" t="e">
        <f t="shared" si="2"/>
        <v>#N/A</v>
      </c>
      <c r="Q234" s="119" t="str">
        <f>VLOOKUP($B234,'Component List'!$A$2:$B$30,2,FALSE)</f>
        <v>MR3</v>
      </c>
      <c r="R234" s="77" t="str">
        <f>VLOOKUP($C234,'Component List'!C$2:D$28,2,FALSE)</f>
        <v>C00</v>
      </c>
      <c r="S234" s="77" t="str">
        <f>VLOOKUP($D234,'Component List'!E$2:F$30,2,FALSE)</f>
        <v>D</v>
      </c>
      <c r="T234" s="77">
        <f>VLOOKUP($E234,'Component List'!G$2:H$30,2,FALSE)</f>
        <v>102</v>
      </c>
      <c r="U234" s="77">
        <f>VLOOKUP($F234,'Component List'!I$2:J$30,2,FALSE)</f>
        <v>104</v>
      </c>
      <c r="V234" s="77">
        <f>VLOOKUP(G234,'Component List'!K$2:L$30,2,FALSE)</f>
        <v>101</v>
      </c>
      <c r="W234" s="77">
        <f>VLOOKUP(H234,'Component List'!M$2:N$31,2,FALSE)</f>
        <v>100</v>
      </c>
      <c r="X234" s="77">
        <f>VLOOKUP(I234,'Component List'!O$2:P$30,2,FALSE)</f>
        <v>100</v>
      </c>
      <c r="Y234" s="77" t="str">
        <f>VLOOKUP(J234,'Component List'!Q$2:R$30,2,FALSE)</f>
        <v>000</v>
      </c>
      <c r="Z234" s="77" t="e">
        <f>VLOOKUP(K234,'Component List'!S$2:T$30,2,FALSE)</f>
        <v>#N/A</v>
      </c>
      <c r="AA234" s="77" t="e">
        <f>VLOOKUP(L234,'Component List'!U$2:V$30,2,FALSE)</f>
        <v>#N/A</v>
      </c>
      <c r="AB234" s="77">
        <f>VLOOKUP(M234,'Component List'!AA$2:AB$30,2,FALSE)</f>
        <v>1</v>
      </c>
      <c r="AC234" s="77" t="str">
        <f>VLOOKUP(N234,'Component List'!Y$2:Z$30,2,FALSE)</f>
        <v>P</v>
      </c>
      <c r="AD234" s="159" t="e">
        <f>VLOOKUP(O234,'Component List'!W$3:X$30,2,FALSE)</f>
        <v>#N/A</v>
      </c>
      <c r="AG234" s="93"/>
    </row>
    <row r="235" spans="1:33" ht="30" customHeight="1" x14ac:dyDescent="0.3">
      <c r="A235" s="242"/>
      <c r="B235" s="101" t="s">
        <v>221</v>
      </c>
      <c r="C235" s="82" t="s">
        <v>21</v>
      </c>
      <c r="D235" s="80" t="s">
        <v>136</v>
      </c>
      <c r="E235" s="81" t="s">
        <v>137</v>
      </c>
      <c r="F235" s="82" t="s">
        <v>47</v>
      </c>
      <c r="G235" s="82" t="s">
        <v>183</v>
      </c>
      <c r="H235" s="82" t="s">
        <v>138</v>
      </c>
      <c r="I235" s="110" t="s">
        <v>198</v>
      </c>
      <c r="J235" s="110" t="s">
        <v>143</v>
      </c>
      <c r="K235" s="135" t="s">
        <v>366</v>
      </c>
      <c r="L235" s="135" t="s">
        <v>366</v>
      </c>
      <c r="M235" s="82">
        <v>1</v>
      </c>
      <c r="N235" s="82" t="s">
        <v>187</v>
      </c>
      <c r="O235" s="110" t="s">
        <v>367</v>
      </c>
      <c r="P235" s="123" t="e">
        <f t="shared" si="2"/>
        <v>#N/A</v>
      </c>
      <c r="Q235" s="119" t="str">
        <f>VLOOKUP($B235,'Component List'!$A$2:$B$30,2,FALSE)</f>
        <v>MR3</v>
      </c>
      <c r="R235" s="77" t="str">
        <f>VLOOKUP($C235,'Component List'!C$2:D$28,2,FALSE)</f>
        <v>C00</v>
      </c>
      <c r="S235" s="77" t="str">
        <f>VLOOKUP($D235,'Component List'!E$2:F$30,2,FALSE)</f>
        <v>D</v>
      </c>
      <c r="T235" s="77">
        <f>VLOOKUP($E235,'Component List'!G$2:H$30,2,FALSE)</f>
        <v>102</v>
      </c>
      <c r="U235" s="77">
        <f>VLOOKUP($F235,'Component List'!I$2:J$30,2,FALSE)</f>
        <v>104</v>
      </c>
      <c r="V235" s="77">
        <f>VLOOKUP(G235,'Component List'!K$2:L$30,2,FALSE)</f>
        <v>101</v>
      </c>
      <c r="W235" s="77">
        <f>VLOOKUP(H235,'Component List'!M$2:N$31,2,FALSE)</f>
        <v>100</v>
      </c>
      <c r="X235" s="77">
        <f>VLOOKUP(I235,'Component List'!O$2:P$30,2,FALSE)</f>
        <v>100</v>
      </c>
      <c r="Y235" s="77" t="str">
        <f>VLOOKUP(J235,'Component List'!Q$2:R$30,2,FALSE)</f>
        <v>000</v>
      </c>
      <c r="Z235" s="77" t="e">
        <f>VLOOKUP(K235,'Component List'!S$2:T$30,2,FALSE)</f>
        <v>#N/A</v>
      </c>
      <c r="AA235" s="77" t="e">
        <f>VLOOKUP(L235,'Component List'!U$2:V$30,2,FALSE)</f>
        <v>#N/A</v>
      </c>
      <c r="AB235" s="77">
        <f>VLOOKUP(M235,'Component List'!AA$2:AB$30,2,FALSE)</f>
        <v>1</v>
      </c>
      <c r="AC235" s="77" t="str">
        <f>VLOOKUP(N235,'Component List'!Y$2:Z$30,2,FALSE)</f>
        <v>C</v>
      </c>
      <c r="AD235" s="159" t="e">
        <f>VLOOKUP(O235,'Component List'!W$3:X$30,2,FALSE)</f>
        <v>#N/A</v>
      </c>
      <c r="AG235" s="93"/>
    </row>
    <row r="236" spans="1:33" ht="30" customHeight="1" x14ac:dyDescent="0.3">
      <c r="A236" s="242"/>
      <c r="B236" s="101" t="s">
        <v>221</v>
      </c>
      <c r="C236" s="82" t="s">
        <v>21</v>
      </c>
      <c r="D236" s="80" t="s">
        <v>136</v>
      </c>
      <c r="E236" s="81" t="s">
        <v>137</v>
      </c>
      <c r="F236" s="82" t="s">
        <v>47</v>
      </c>
      <c r="G236" s="82" t="s">
        <v>183</v>
      </c>
      <c r="H236" s="82" t="s">
        <v>138</v>
      </c>
      <c r="I236" s="110" t="s">
        <v>198</v>
      </c>
      <c r="J236" s="110" t="s">
        <v>143</v>
      </c>
      <c r="K236" s="135" t="s">
        <v>366</v>
      </c>
      <c r="L236" s="135" t="s">
        <v>366</v>
      </c>
      <c r="M236" s="82">
        <v>2</v>
      </c>
      <c r="N236" s="82" t="s">
        <v>175</v>
      </c>
      <c r="O236" s="110" t="s">
        <v>367</v>
      </c>
      <c r="P236" s="123" t="e">
        <f t="shared" si="2"/>
        <v>#N/A</v>
      </c>
      <c r="Q236" s="119" t="str">
        <f>VLOOKUP($B236,'Component List'!$A$2:$B$30,2,FALSE)</f>
        <v>MR3</v>
      </c>
      <c r="R236" s="77" t="str">
        <f>VLOOKUP($C236,'Component List'!C$2:D$28,2,FALSE)</f>
        <v>C00</v>
      </c>
      <c r="S236" s="77" t="str">
        <f>VLOOKUP($D236,'Component List'!E$2:F$30,2,FALSE)</f>
        <v>D</v>
      </c>
      <c r="T236" s="77">
        <f>VLOOKUP($E236,'Component List'!G$2:H$30,2,FALSE)</f>
        <v>102</v>
      </c>
      <c r="U236" s="77">
        <f>VLOOKUP($F236,'Component List'!I$2:J$30,2,FALSE)</f>
        <v>104</v>
      </c>
      <c r="V236" s="77">
        <f>VLOOKUP(G236,'Component List'!K$2:L$30,2,FALSE)</f>
        <v>101</v>
      </c>
      <c r="W236" s="77">
        <f>VLOOKUP(H236,'Component List'!M$2:N$31,2,FALSE)</f>
        <v>100</v>
      </c>
      <c r="X236" s="77">
        <f>VLOOKUP(I236,'Component List'!O$2:P$30,2,FALSE)</f>
        <v>100</v>
      </c>
      <c r="Y236" s="77" t="str">
        <f>VLOOKUP(J236,'Component List'!Q$2:R$30,2,FALSE)</f>
        <v>000</v>
      </c>
      <c r="Z236" s="77" t="e">
        <f>VLOOKUP(K236,'Component List'!S$2:T$30,2,FALSE)</f>
        <v>#N/A</v>
      </c>
      <c r="AA236" s="77" t="e">
        <f>VLOOKUP(L236,'Component List'!U$2:V$30,2,FALSE)</f>
        <v>#N/A</v>
      </c>
      <c r="AB236" s="77">
        <f>VLOOKUP(M236,'Component List'!AA$2:AB$30,2,FALSE)</f>
        <v>2</v>
      </c>
      <c r="AC236" s="77" t="str">
        <f>VLOOKUP(N236,'Component List'!Y$2:Z$30,2,FALSE)</f>
        <v>P</v>
      </c>
      <c r="AD236" s="159" t="e">
        <f>VLOOKUP(O236,'Component List'!W$3:X$30,2,FALSE)</f>
        <v>#N/A</v>
      </c>
      <c r="AG236" s="93"/>
    </row>
    <row r="237" spans="1:33" ht="30" customHeight="1" x14ac:dyDescent="0.3">
      <c r="A237" s="242"/>
      <c r="B237" s="101" t="s">
        <v>221</v>
      </c>
      <c r="C237" s="82" t="s">
        <v>21</v>
      </c>
      <c r="D237" s="80" t="s">
        <v>136</v>
      </c>
      <c r="E237" s="81" t="s">
        <v>137</v>
      </c>
      <c r="F237" s="82" t="s">
        <v>47</v>
      </c>
      <c r="G237" s="82" t="s">
        <v>183</v>
      </c>
      <c r="H237" s="82" t="s">
        <v>138</v>
      </c>
      <c r="I237" s="110" t="s">
        <v>198</v>
      </c>
      <c r="J237" s="110" t="s">
        <v>143</v>
      </c>
      <c r="K237" s="135" t="s">
        <v>366</v>
      </c>
      <c r="L237" s="135" t="s">
        <v>366</v>
      </c>
      <c r="M237" s="82">
        <v>2</v>
      </c>
      <c r="N237" s="82" t="s">
        <v>187</v>
      </c>
      <c r="O237" s="110" t="s">
        <v>367</v>
      </c>
      <c r="P237" s="123" t="e">
        <f t="shared" si="2"/>
        <v>#N/A</v>
      </c>
      <c r="Q237" s="119" t="str">
        <f>VLOOKUP($B237,'Component List'!$A$2:$B$30,2,FALSE)</f>
        <v>MR3</v>
      </c>
      <c r="R237" s="77" t="str">
        <f>VLOOKUP($C237,'Component List'!C$2:D$28,2,FALSE)</f>
        <v>C00</v>
      </c>
      <c r="S237" s="77" t="str">
        <f>VLOOKUP($D237,'Component List'!E$2:F$30,2,FALSE)</f>
        <v>D</v>
      </c>
      <c r="T237" s="77">
        <f>VLOOKUP($E237,'Component List'!G$2:H$30,2,FALSE)</f>
        <v>102</v>
      </c>
      <c r="U237" s="77">
        <f>VLOOKUP($F237,'Component List'!I$2:J$30,2,FALSE)</f>
        <v>104</v>
      </c>
      <c r="V237" s="77">
        <f>VLOOKUP(G237,'Component List'!K$2:L$30,2,FALSE)</f>
        <v>101</v>
      </c>
      <c r="W237" s="77">
        <f>VLOOKUP(H237,'Component List'!M$2:N$31,2,FALSE)</f>
        <v>100</v>
      </c>
      <c r="X237" s="77">
        <f>VLOOKUP(I237,'Component List'!O$2:P$30,2,FALSE)</f>
        <v>100</v>
      </c>
      <c r="Y237" s="77" t="str">
        <f>VLOOKUP(J237,'Component List'!Q$2:R$30,2,FALSE)</f>
        <v>000</v>
      </c>
      <c r="Z237" s="77" t="e">
        <f>VLOOKUP(K237,'Component List'!S$2:T$30,2,FALSE)</f>
        <v>#N/A</v>
      </c>
      <c r="AA237" s="77" t="e">
        <f>VLOOKUP(L237,'Component List'!U$2:V$30,2,FALSE)</f>
        <v>#N/A</v>
      </c>
      <c r="AB237" s="77">
        <f>VLOOKUP(M237,'Component List'!AA$2:AB$30,2,FALSE)</f>
        <v>2</v>
      </c>
      <c r="AC237" s="77" t="str">
        <f>VLOOKUP(N237,'Component List'!Y$2:Z$30,2,FALSE)</f>
        <v>C</v>
      </c>
      <c r="AD237" s="159" t="e">
        <f>VLOOKUP(O237,'Component List'!W$3:X$30,2,FALSE)</f>
        <v>#N/A</v>
      </c>
      <c r="AG237" s="93"/>
    </row>
    <row r="238" spans="1:33" ht="30" customHeight="1" x14ac:dyDescent="0.3">
      <c r="A238" s="242"/>
      <c r="B238" s="101" t="s">
        <v>221</v>
      </c>
      <c r="C238" s="82" t="s">
        <v>21</v>
      </c>
      <c r="D238" s="80" t="s">
        <v>136</v>
      </c>
      <c r="E238" s="81" t="s">
        <v>137</v>
      </c>
      <c r="F238" s="82" t="s">
        <v>47</v>
      </c>
      <c r="G238" s="82" t="s">
        <v>183</v>
      </c>
      <c r="H238" s="82" t="s">
        <v>138</v>
      </c>
      <c r="I238" s="110" t="s">
        <v>198</v>
      </c>
      <c r="J238" s="110" t="s">
        <v>143</v>
      </c>
      <c r="K238" s="135" t="s">
        <v>366</v>
      </c>
      <c r="L238" s="135" t="s">
        <v>366</v>
      </c>
      <c r="M238" s="82">
        <v>3</v>
      </c>
      <c r="N238" s="82" t="s">
        <v>175</v>
      </c>
      <c r="O238" s="110" t="s">
        <v>367</v>
      </c>
      <c r="P238" s="123" t="e">
        <f t="shared" si="2"/>
        <v>#N/A</v>
      </c>
      <c r="Q238" s="119" t="str">
        <f>VLOOKUP($B238,'Component List'!$A$2:$B$30,2,FALSE)</f>
        <v>MR3</v>
      </c>
      <c r="R238" s="77" t="str">
        <f>VLOOKUP($C238,'Component List'!C$2:D$28,2,FALSE)</f>
        <v>C00</v>
      </c>
      <c r="S238" s="77" t="str">
        <f>VLOOKUP($D238,'Component List'!E$2:F$30,2,FALSE)</f>
        <v>D</v>
      </c>
      <c r="T238" s="77">
        <f>VLOOKUP($E238,'Component List'!G$2:H$30,2,FALSE)</f>
        <v>102</v>
      </c>
      <c r="U238" s="77">
        <f>VLOOKUP($F238,'Component List'!I$2:J$30,2,FALSE)</f>
        <v>104</v>
      </c>
      <c r="V238" s="77">
        <f>VLOOKUP(G238,'Component List'!K$2:L$30,2,FALSE)</f>
        <v>101</v>
      </c>
      <c r="W238" s="77">
        <f>VLOOKUP(H238,'Component List'!M$2:N$31,2,FALSE)</f>
        <v>100</v>
      </c>
      <c r="X238" s="77">
        <f>VLOOKUP(I238,'Component List'!O$2:P$30,2,FALSE)</f>
        <v>100</v>
      </c>
      <c r="Y238" s="77" t="str">
        <f>VLOOKUP(J238,'Component List'!Q$2:R$30,2,FALSE)</f>
        <v>000</v>
      </c>
      <c r="Z238" s="77" t="e">
        <f>VLOOKUP(K238,'Component List'!S$2:T$30,2,FALSE)</f>
        <v>#N/A</v>
      </c>
      <c r="AA238" s="77" t="e">
        <f>VLOOKUP(L238,'Component List'!U$2:V$30,2,FALSE)</f>
        <v>#N/A</v>
      </c>
      <c r="AB238" s="77">
        <f>VLOOKUP(M238,'Component List'!AA$2:AB$30,2,FALSE)</f>
        <v>3</v>
      </c>
      <c r="AC238" s="77" t="str">
        <f>VLOOKUP(N238,'Component List'!Y$2:Z$30,2,FALSE)</f>
        <v>P</v>
      </c>
      <c r="AD238" s="159" t="e">
        <f>VLOOKUP(O238,'Component List'!W$3:X$30,2,FALSE)</f>
        <v>#N/A</v>
      </c>
      <c r="AG238" s="93"/>
    </row>
    <row r="239" spans="1:33" ht="30" customHeight="1" x14ac:dyDescent="0.3">
      <c r="A239" s="242"/>
      <c r="B239" s="101" t="s">
        <v>221</v>
      </c>
      <c r="C239" s="82" t="s">
        <v>21</v>
      </c>
      <c r="D239" s="80" t="s">
        <v>136</v>
      </c>
      <c r="E239" s="81" t="s">
        <v>137</v>
      </c>
      <c r="F239" s="82" t="s">
        <v>47</v>
      </c>
      <c r="G239" s="82" t="s">
        <v>183</v>
      </c>
      <c r="H239" s="82" t="s">
        <v>138</v>
      </c>
      <c r="I239" s="110" t="s">
        <v>198</v>
      </c>
      <c r="J239" s="110" t="s">
        <v>143</v>
      </c>
      <c r="K239" s="135" t="s">
        <v>366</v>
      </c>
      <c r="L239" s="135" t="s">
        <v>366</v>
      </c>
      <c r="M239" s="82">
        <v>3</v>
      </c>
      <c r="N239" s="82" t="s">
        <v>187</v>
      </c>
      <c r="O239" s="110" t="s">
        <v>367</v>
      </c>
      <c r="P239" s="123" t="e">
        <f t="shared" ref="P239:P326" si="3">Q239&amp;R239&amp;S239&amp;T239&amp;U239&amp;V239&amp;W239&amp;X239&amp;Y239&amp;Z239&amp;AA239&amp;AD239&amp;AC239&amp;AB239</f>
        <v>#N/A</v>
      </c>
      <c r="Q239" s="119" t="str">
        <f>VLOOKUP($B239,'Component List'!$A$2:$B$30,2,FALSE)</f>
        <v>MR3</v>
      </c>
      <c r="R239" s="77" t="str">
        <f>VLOOKUP($C239,'Component List'!C$2:D$28,2,FALSE)</f>
        <v>C00</v>
      </c>
      <c r="S239" s="77" t="str">
        <f>VLOOKUP($D239,'Component List'!E$2:F$30,2,FALSE)</f>
        <v>D</v>
      </c>
      <c r="T239" s="77">
        <f>VLOOKUP($E239,'Component List'!G$2:H$30,2,FALSE)</f>
        <v>102</v>
      </c>
      <c r="U239" s="77">
        <f>VLOOKUP($F239,'Component List'!I$2:J$30,2,FALSE)</f>
        <v>104</v>
      </c>
      <c r="V239" s="77">
        <f>VLOOKUP(G239,'Component List'!K$2:L$30,2,FALSE)</f>
        <v>101</v>
      </c>
      <c r="W239" s="77">
        <f>VLOOKUP(H239,'Component List'!M$2:N$31,2,FALSE)</f>
        <v>100</v>
      </c>
      <c r="X239" s="77">
        <f>VLOOKUP(I239,'Component List'!O$2:P$30,2,FALSE)</f>
        <v>100</v>
      </c>
      <c r="Y239" s="77" t="str">
        <f>VLOOKUP(J239,'Component List'!Q$2:R$30,2,FALSE)</f>
        <v>000</v>
      </c>
      <c r="Z239" s="77" t="e">
        <f>VLOOKUP(K239,'Component List'!S$2:T$30,2,FALSE)</f>
        <v>#N/A</v>
      </c>
      <c r="AA239" s="77" t="e">
        <f>VLOOKUP(L239,'Component List'!U$2:V$30,2,FALSE)</f>
        <v>#N/A</v>
      </c>
      <c r="AB239" s="77">
        <f>VLOOKUP(M239,'Component List'!AA$2:AB$30,2,FALSE)</f>
        <v>3</v>
      </c>
      <c r="AC239" s="77" t="str">
        <f>VLOOKUP(N239,'Component List'!Y$2:Z$30,2,FALSE)</f>
        <v>C</v>
      </c>
      <c r="AD239" s="159" t="e">
        <f>VLOOKUP(O239,'Component List'!W$3:X$30,2,FALSE)</f>
        <v>#N/A</v>
      </c>
      <c r="AG239" s="93"/>
    </row>
    <row r="240" spans="1:33" ht="30" customHeight="1" x14ac:dyDescent="0.3">
      <c r="A240" s="242"/>
      <c r="B240" s="101" t="s">
        <v>221</v>
      </c>
      <c r="C240" s="82" t="s">
        <v>21</v>
      </c>
      <c r="D240" s="80" t="s">
        <v>136</v>
      </c>
      <c r="E240" s="81" t="s">
        <v>137</v>
      </c>
      <c r="F240" s="82" t="s">
        <v>39</v>
      </c>
      <c r="G240" s="82" t="s">
        <v>183</v>
      </c>
      <c r="H240" s="82" t="s">
        <v>138</v>
      </c>
      <c r="I240" s="110" t="s">
        <v>198</v>
      </c>
      <c r="J240" s="110" t="s">
        <v>143</v>
      </c>
      <c r="K240" s="135" t="s">
        <v>366</v>
      </c>
      <c r="L240" s="135" t="s">
        <v>366</v>
      </c>
      <c r="M240" s="82">
        <v>1</v>
      </c>
      <c r="N240" s="82" t="s">
        <v>175</v>
      </c>
      <c r="O240" s="110" t="s">
        <v>367</v>
      </c>
      <c r="P240" s="123" t="e">
        <f t="shared" si="3"/>
        <v>#N/A</v>
      </c>
      <c r="Q240" s="119" t="str">
        <f>VLOOKUP($B240,'Component List'!$A$2:$B$30,2,FALSE)</f>
        <v>MR3</v>
      </c>
      <c r="R240" s="77" t="str">
        <f>VLOOKUP($C240,'Component List'!C$2:D$28,2,FALSE)</f>
        <v>C00</v>
      </c>
      <c r="S240" s="77" t="str">
        <f>VLOOKUP($D240,'Component List'!E$2:F$30,2,FALSE)</f>
        <v>D</v>
      </c>
      <c r="T240" s="77">
        <f>VLOOKUP($E240,'Component List'!G$2:H$30,2,FALSE)</f>
        <v>102</v>
      </c>
      <c r="U240" s="77">
        <f>VLOOKUP($F240,'Component List'!I$2:J$30,2,FALSE)</f>
        <v>105</v>
      </c>
      <c r="V240" s="77">
        <f>VLOOKUP(G240,'Component List'!K$2:L$30,2,FALSE)</f>
        <v>101</v>
      </c>
      <c r="W240" s="77">
        <f>VLOOKUP(H240,'Component List'!M$2:N$31,2,FALSE)</f>
        <v>100</v>
      </c>
      <c r="X240" s="77">
        <f>VLOOKUP(I240,'Component List'!O$2:P$30,2,FALSE)</f>
        <v>100</v>
      </c>
      <c r="Y240" s="77" t="str">
        <f>VLOOKUP(J240,'Component List'!Q$2:R$30,2,FALSE)</f>
        <v>000</v>
      </c>
      <c r="Z240" s="77" t="e">
        <f>VLOOKUP(K240,'Component List'!S$2:T$30,2,FALSE)</f>
        <v>#N/A</v>
      </c>
      <c r="AA240" s="77" t="e">
        <f>VLOOKUP(L240,'Component List'!U$2:V$30,2,FALSE)</f>
        <v>#N/A</v>
      </c>
      <c r="AB240" s="77">
        <f>VLOOKUP(M240,'Component List'!AA$2:AB$30,2,FALSE)</f>
        <v>1</v>
      </c>
      <c r="AC240" s="77" t="str">
        <f>VLOOKUP(N240,'Component List'!Y$2:Z$30,2,FALSE)</f>
        <v>P</v>
      </c>
      <c r="AD240" s="159" t="e">
        <f>VLOOKUP(O240,'Component List'!W$3:X$30,2,FALSE)</f>
        <v>#N/A</v>
      </c>
      <c r="AG240" s="93"/>
    </row>
    <row r="241" spans="1:33" ht="30" customHeight="1" x14ac:dyDescent="0.3">
      <c r="A241" s="242"/>
      <c r="B241" s="101" t="s">
        <v>221</v>
      </c>
      <c r="C241" s="82" t="s">
        <v>21</v>
      </c>
      <c r="D241" s="80" t="s">
        <v>136</v>
      </c>
      <c r="E241" s="81" t="s">
        <v>137</v>
      </c>
      <c r="F241" s="82" t="s">
        <v>39</v>
      </c>
      <c r="G241" s="82" t="s">
        <v>183</v>
      </c>
      <c r="H241" s="82" t="s">
        <v>138</v>
      </c>
      <c r="I241" s="110" t="s">
        <v>198</v>
      </c>
      <c r="J241" s="110" t="s">
        <v>143</v>
      </c>
      <c r="K241" s="135" t="s">
        <v>366</v>
      </c>
      <c r="L241" s="135" t="s">
        <v>366</v>
      </c>
      <c r="M241" s="82">
        <v>1</v>
      </c>
      <c r="N241" s="82" t="s">
        <v>187</v>
      </c>
      <c r="O241" s="110" t="s">
        <v>367</v>
      </c>
      <c r="P241" s="123" t="e">
        <f t="shared" si="3"/>
        <v>#N/A</v>
      </c>
      <c r="Q241" s="119" t="str">
        <f>VLOOKUP($B241,'Component List'!$A$2:$B$30,2,FALSE)</f>
        <v>MR3</v>
      </c>
      <c r="R241" s="77" t="str">
        <f>VLOOKUP($C241,'Component List'!C$2:D$28,2,FALSE)</f>
        <v>C00</v>
      </c>
      <c r="S241" s="77" t="str">
        <f>VLOOKUP($D241,'Component List'!E$2:F$30,2,FALSE)</f>
        <v>D</v>
      </c>
      <c r="T241" s="77">
        <f>VLOOKUP($E241,'Component List'!G$2:H$30,2,FALSE)</f>
        <v>102</v>
      </c>
      <c r="U241" s="77">
        <f>VLOOKUP($F241,'Component List'!I$2:J$30,2,FALSE)</f>
        <v>105</v>
      </c>
      <c r="V241" s="77">
        <f>VLOOKUP(G241,'Component List'!K$2:L$30,2,FALSE)</f>
        <v>101</v>
      </c>
      <c r="W241" s="77">
        <f>VLOOKUP(H241,'Component List'!M$2:N$31,2,FALSE)</f>
        <v>100</v>
      </c>
      <c r="X241" s="77">
        <f>VLOOKUP(I241,'Component List'!O$2:P$30,2,FALSE)</f>
        <v>100</v>
      </c>
      <c r="Y241" s="77" t="str">
        <f>VLOOKUP(J241,'Component List'!Q$2:R$30,2,FALSE)</f>
        <v>000</v>
      </c>
      <c r="Z241" s="77" t="e">
        <f>VLOOKUP(K241,'Component List'!S$2:T$30,2,FALSE)</f>
        <v>#N/A</v>
      </c>
      <c r="AA241" s="77" t="e">
        <f>VLOOKUP(L241,'Component List'!U$2:V$30,2,FALSE)</f>
        <v>#N/A</v>
      </c>
      <c r="AB241" s="77">
        <f>VLOOKUP(M241,'Component List'!AA$2:AB$30,2,FALSE)</f>
        <v>1</v>
      </c>
      <c r="AC241" s="77" t="str">
        <f>VLOOKUP(N241,'Component List'!Y$2:Z$30,2,FALSE)</f>
        <v>C</v>
      </c>
      <c r="AD241" s="159" t="e">
        <f>VLOOKUP(O241,'Component List'!W$3:X$30,2,FALSE)</f>
        <v>#N/A</v>
      </c>
      <c r="AG241" s="93"/>
    </row>
    <row r="242" spans="1:33" ht="30" customHeight="1" x14ac:dyDescent="0.3">
      <c r="A242" s="242"/>
      <c r="B242" s="101" t="s">
        <v>221</v>
      </c>
      <c r="C242" s="82" t="s">
        <v>21</v>
      </c>
      <c r="D242" s="80" t="s">
        <v>136</v>
      </c>
      <c r="E242" s="81" t="s">
        <v>137</v>
      </c>
      <c r="F242" s="82" t="s">
        <v>39</v>
      </c>
      <c r="G242" s="82" t="s">
        <v>183</v>
      </c>
      <c r="H242" s="82" t="s">
        <v>138</v>
      </c>
      <c r="I242" s="110" t="s">
        <v>198</v>
      </c>
      <c r="J242" s="110" t="s">
        <v>143</v>
      </c>
      <c r="K242" s="135" t="s">
        <v>366</v>
      </c>
      <c r="L242" s="135" t="s">
        <v>366</v>
      </c>
      <c r="M242" s="82">
        <v>2</v>
      </c>
      <c r="N242" s="82" t="s">
        <v>175</v>
      </c>
      <c r="O242" s="110" t="s">
        <v>367</v>
      </c>
      <c r="P242" s="123" t="e">
        <f t="shared" si="3"/>
        <v>#N/A</v>
      </c>
      <c r="Q242" s="119" t="str">
        <f>VLOOKUP($B242,'Component List'!$A$2:$B$30,2,FALSE)</f>
        <v>MR3</v>
      </c>
      <c r="R242" s="77" t="str">
        <f>VLOOKUP($C242,'Component List'!C$2:D$28,2,FALSE)</f>
        <v>C00</v>
      </c>
      <c r="S242" s="77" t="str">
        <f>VLOOKUP($D242,'Component List'!E$2:F$30,2,FALSE)</f>
        <v>D</v>
      </c>
      <c r="T242" s="77">
        <f>VLOOKUP($E242,'Component List'!G$2:H$30,2,FALSE)</f>
        <v>102</v>
      </c>
      <c r="U242" s="77">
        <f>VLOOKUP($F242,'Component List'!I$2:J$30,2,FALSE)</f>
        <v>105</v>
      </c>
      <c r="V242" s="77">
        <f>VLOOKUP(G242,'Component List'!K$2:L$30,2,FALSE)</f>
        <v>101</v>
      </c>
      <c r="W242" s="77">
        <f>VLOOKUP(H242,'Component List'!M$2:N$31,2,FALSE)</f>
        <v>100</v>
      </c>
      <c r="X242" s="77">
        <f>VLOOKUP(I242,'Component List'!O$2:P$30,2,FALSE)</f>
        <v>100</v>
      </c>
      <c r="Y242" s="77" t="str">
        <f>VLOOKUP(J242,'Component List'!Q$2:R$30,2,FALSE)</f>
        <v>000</v>
      </c>
      <c r="Z242" s="77" t="e">
        <f>VLOOKUP(K242,'Component List'!S$2:T$30,2,FALSE)</f>
        <v>#N/A</v>
      </c>
      <c r="AA242" s="77" t="e">
        <f>VLOOKUP(L242,'Component List'!U$2:V$30,2,FALSE)</f>
        <v>#N/A</v>
      </c>
      <c r="AB242" s="77">
        <f>VLOOKUP(M242,'Component List'!AA$2:AB$30,2,FALSE)</f>
        <v>2</v>
      </c>
      <c r="AC242" s="77" t="str">
        <f>VLOOKUP(N242,'Component List'!Y$2:Z$30,2,FALSE)</f>
        <v>P</v>
      </c>
      <c r="AD242" s="159" t="e">
        <f>VLOOKUP(O242,'Component List'!W$3:X$30,2,FALSE)</f>
        <v>#N/A</v>
      </c>
      <c r="AG242" s="93"/>
    </row>
    <row r="243" spans="1:33" ht="30" customHeight="1" x14ac:dyDescent="0.3">
      <c r="A243" s="242"/>
      <c r="B243" s="101" t="s">
        <v>221</v>
      </c>
      <c r="C243" s="82" t="s">
        <v>21</v>
      </c>
      <c r="D243" s="80" t="s">
        <v>136</v>
      </c>
      <c r="E243" s="81" t="s">
        <v>137</v>
      </c>
      <c r="F243" s="82" t="s">
        <v>39</v>
      </c>
      <c r="G243" s="82" t="s">
        <v>183</v>
      </c>
      <c r="H243" s="82" t="s">
        <v>138</v>
      </c>
      <c r="I243" s="110" t="s">
        <v>198</v>
      </c>
      <c r="J243" s="110" t="s">
        <v>143</v>
      </c>
      <c r="K243" s="135" t="s">
        <v>366</v>
      </c>
      <c r="L243" s="135" t="s">
        <v>366</v>
      </c>
      <c r="M243" s="82">
        <v>2</v>
      </c>
      <c r="N243" s="82" t="s">
        <v>187</v>
      </c>
      <c r="O243" s="110" t="s">
        <v>367</v>
      </c>
      <c r="P243" s="123" t="e">
        <f t="shared" si="3"/>
        <v>#N/A</v>
      </c>
      <c r="Q243" s="119" t="str">
        <f>VLOOKUP($B243,'Component List'!$A$2:$B$30,2,FALSE)</f>
        <v>MR3</v>
      </c>
      <c r="R243" s="77" t="str">
        <f>VLOOKUP($C243,'Component List'!C$2:D$28,2,FALSE)</f>
        <v>C00</v>
      </c>
      <c r="S243" s="77" t="str">
        <f>VLOOKUP($D243,'Component List'!E$2:F$30,2,FALSE)</f>
        <v>D</v>
      </c>
      <c r="T243" s="77">
        <f>VLOOKUP($E243,'Component List'!G$2:H$30,2,FALSE)</f>
        <v>102</v>
      </c>
      <c r="U243" s="77">
        <f>VLOOKUP($F243,'Component List'!I$2:J$30,2,FALSE)</f>
        <v>105</v>
      </c>
      <c r="V243" s="77">
        <f>VLOOKUP(G243,'Component List'!K$2:L$30,2,FALSE)</f>
        <v>101</v>
      </c>
      <c r="W243" s="77">
        <f>VLOOKUP(H243,'Component List'!M$2:N$31,2,FALSE)</f>
        <v>100</v>
      </c>
      <c r="X243" s="77">
        <f>VLOOKUP(I243,'Component List'!O$2:P$30,2,FALSE)</f>
        <v>100</v>
      </c>
      <c r="Y243" s="77" t="str">
        <f>VLOOKUP(J243,'Component List'!Q$2:R$30,2,FALSE)</f>
        <v>000</v>
      </c>
      <c r="Z243" s="77" t="e">
        <f>VLOOKUP(K243,'Component List'!S$2:T$30,2,FALSE)</f>
        <v>#N/A</v>
      </c>
      <c r="AA243" s="77" t="e">
        <f>VLOOKUP(L243,'Component List'!U$2:V$30,2,FALSE)</f>
        <v>#N/A</v>
      </c>
      <c r="AB243" s="77">
        <f>VLOOKUP(M243,'Component List'!AA$2:AB$30,2,FALSE)</f>
        <v>2</v>
      </c>
      <c r="AC243" s="77" t="str">
        <f>VLOOKUP(N243,'Component List'!Y$2:Z$30,2,FALSE)</f>
        <v>C</v>
      </c>
      <c r="AD243" s="159" t="e">
        <f>VLOOKUP(O243,'Component List'!W$3:X$30,2,FALSE)</f>
        <v>#N/A</v>
      </c>
      <c r="AG243" s="93"/>
    </row>
    <row r="244" spans="1:33" ht="30" customHeight="1" x14ac:dyDescent="0.3">
      <c r="A244" s="242"/>
      <c r="B244" s="101" t="s">
        <v>221</v>
      </c>
      <c r="C244" s="82" t="s">
        <v>21</v>
      </c>
      <c r="D244" s="80" t="s">
        <v>136</v>
      </c>
      <c r="E244" s="81" t="s">
        <v>137</v>
      </c>
      <c r="F244" s="82" t="s">
        <v>39</v>
      </c>
      <c r="G244" s="82" t="s">
        <v>183</v>
      </c>
      <c r="H244" s="82" t="s">
        <v>138</v>
      </c>
      <c r="I244" s="110" t="s">
        <v>198</v>
      </c>
      <c r="J244" s="110" t="s">
        <v>143</v>
      </c>
      <c r="K244" s="135" t="s">
        <v>366</v>
      </c>
      <c r="L244" s="135" t="s">
        <v>366</v>
      </c>
      <c r="M244" s="82">
        <v>3</v>
      </c>
      <c r="N244" s="82" t="s">
        <v>175</v>
      </c>
      <c r="O244" s="110" t="s">
        <v>367</v>
      </c>
      <c r="P244" s="123" t="e">
        <f t="shared" si="3"/>
        <v>#N/A</v>
      </c>
      <c r="Q244" s="119" t="str">
        <f>VLOOKUP($B244,'Component List'!$A$2:$B$30,2,FALSE)</f>
        <v>MR3</v>
      </c>
      <c r="R244" s="77" t="str">
        <f>VLOOKUP($C244,'Component List'!C$2:D$28,2,FALSE)</f>
        <v>C00</v>
      </c>
      <c r="S244" s="77" t="str">
        <f>VLOOKUP($D244,'Component List'!E$2:F$30,2,FALSE)</f>
        <v>D</v>
      </c>
      <c r="T244" s="77">
        <f>VLOOKUP($E244,'Component List'!G$2:H$30,2,FALSE)</f>
        <v>102</v>
      </c>
      <c r="U244" s="77">
        <f>VLOOKUP($F244,'Component List'!I$2:J$30,2,FALSE)</f>
        <v>105</v>
      </c>
      <c r="V244" s="77">
        <f>VLOOKUP(G244,'Component List'!K$2:L$30,2,FALSE)</f>
        <v>101</v>
      </c>
      <c r="W244" s="77">
        <f>VLOOKUP(H244,'Component List'!M$2:N$31,2,FALSE)</f>
        <v>100</v>
      </c>
      <c r="X244" s="77">
        <f>VLOOKUP(I244,'Component List'!O$2:P$30,2,FALSE)</f>
        <v>100</v>
      </c>
      <c r="Y244" s="77" t="str">
        <f>VLOOKUP(J244,'Component List'!Q$2:R$30,2,FALSE)</f>
        <v>000</v>
      </c>
      <c r="Z244" s="77" t="e">
        <f>VLOOKUP(K244,'Component List'!S$2:T$30,2,FALSE)</f>
        <v>#N/A</v>
      </c>
      <c r="AA244" s="77" t="e">
        <f>VLOOKUP(L244,'Component List'!U$2:V$30,2,FALSE)</f>
        <v>#N/A</v>
      </c>
      <c r="AB244" s="77">
        <f>VLOOKUP(M244,'Component List'!AA$2:AB$30,2,FALSE)</f>
        <v>3</v>
      </c>
      <c r="AC244" s="77" t="str">
        <f>VLOOKUP(N244,'Component List'!Y$2:Z$30,2,FALSE)</f>
        <v>P</v>
      </c>
      <c r="AD244" s="159" t="e">
        <f>VLOOKUP(O244,'Component List'!W$3:X$30,2,FALSE)</f>
        <v>#N/A</v>
      </c>
      <c r="AG244" s="93"/>
    </row>
    <row r="245" spans="1:33" ht="30" customHeight="1" x14ac:dyDescent="0.3">
      <c r="A245" s="242"/>
      <c r="B245" s="101" t="s">
        <v>221</v>
      </c>
      <c r="C245" s="82" t="s">
        <v>21</v>
      </c>
      <c r="D245" s="80" t="s">
        <v>136</v>
      </c>
      <c r="E245" s="81" t="s">
        <v>137</v>
      </c>
      <c r="F245" s="82" t="s">
        <v>39</v>
      </c>
      <c r="G245" s="82" t="s">
        <v>183</v>
      </c>
      <c r="H245" s="82" t="s">
        <v>138</v>
      </c>
      <c r="I245" s="110" t="s">
        <v>198</v>
      </c>
      <c r="J245" s="110" t="s">
        <v>143</v>
      </c>
      <c r="K245" s="135" t="s">
        <v>366</v>
      </c>
      <c r="L245" s="135" t="s">
        <v>366</v>
      </c>
      <c r="M245" s="82">
        <v>3</v>
      </c>
      <c r="N245" s="82" t="s">
        <v>187</v>
      </c>
      <c r="O245" s="110" t="s">
        <v>367</v>
      </c>
      <c r="P245" s="123" t="e">
        <f t="shared" si="3"/>
        <v>#N/A</v>
      </c>
      <c r="Q245" s="119" t="str">
        <f>VLOOKUP($B245,'Component List'!$A$2:$B$30,2,FALSE)</f>
        <v>MR3</v>
      </c>
      <c r="R245" s="77" t="str">
        <f>VLOOKUP($C245,'Component List'!C$2:D$28,2,FALSE)</f>
        <v>C00</v>
      </c>
      <c r="S245" s="77" t="str">
        <f>VLOOKUP($D245,'Component List'!E$2:F$30,2,FALSE)</f>
        <v>D</v>
      </c>
      <c r="T245" s="77">
        <f>VLOOKUP($E245,'Component List'!G$2:H$30,2,FALSE)</f>
        <v>102</v>
      </c>
      <c r="U245" s="77">
        <f>VLOOKUP($F245,'Component List'!I$2:J$30,2,FALSE)</f>
        <v>105</v>
      </c>
      <c r="V245" s="77">
        <f>VLOOKUP(G245,'Component List'!K$2:L$30,2,FALSE)</f>
        <v>101</v>
      </c>
      <c r="W245" s="77">
        <f>VLOOKUP(H245,'Component List'!M$2:N$31,2,FALSE)</f>
        <v>100</v>
      </c>
      <c r="X245" s="77">
        <f>VLOOKUP(I245,'Component List'!O$2:P$30,2,FALSE)</f>
        <v>100</v>
      </c>
      <c r="Y245" s="77" t="str">
        <f>VLOOKUP(J245,'Component List'!Q$2:R$30,2,FALSE)</f>
        <v>000</v>
      </c>
      <c r="Z245" s="77" t="e">
        <f>VLOOKUP(K245,'Component List'!S$2:T$30,2,FALSE)</f>
        <v>#N/A</v>
      </c>
      <c r="AA245" s="77" t="e">
        <f>VLOOKUP(L245,'Component List'!U$2:V$30,2,FALSE)</f>
        <v>#N/A</v>
      </c>
      <c r="AB245" s="77">
        <f>VLOOKUP(M245,'Component List'!AA$2:AB$30,2,FALSE)</f>
        <v>3</v>
      </c>
      <c r="AC245" s="77" t="str">
        <f>VLOOKUP(N245,'Component List'!Y$2:Z$30,2,FALSE)</f>
        <v>C</v>
      </c>
      <c r="AD245" s="159" t="e">
        <f>VLOOKUP(O245,'Component List'!W$3:X$30,2,FALSE)</f>
        <v>#N/A</v>
      </c>
      <c r="AG245" s="93"/>
    </row>
    <row r="246" spans="1:33" ht="30" customHeight="1" x14ac:dyDescent="0.3">
      <c r="A246" s="242"/>
      <c r="B246" s="101" t="s">
        <v>221</v>
      </c>
      <c r="C246" s="82" t="s">
        <v>21</v>
      </c>
      <c r="D246" s="80" t="s">
        <v>136</v>
      </c>
      <c r="E246" s="81" t="s">
        <v>137</v>
      </c>
      <c r="F246" s="82" t="s">
        <v>45</v>
      </c>
      <c r="G246" s="82" t="s">
        <v>183</v>
      </c>
      <c r="H246" s="82" t="s">
        <v>208</v>
      </c>
      <c r="I246" s="110" t="s">
        <v>198</v>
      </c>
      <c r="J246" s="110" t="s">
        <v>143</v>
      </c>
      <c r="K246" s="135" t="s">
        <v>366</v>
      </c>
      <c r="L246" s="135" t="s">
        <v>366</v>
      </c>
      <c r="M246" s="82">
        <v>1</v>
      </c>
      <c r="N246" s="82" t="s">
        <v>175</v>
      </c>
      <c r="O246" s="110" t="s">
        <v>367</v>
      </c>
      <c r="P246" s="123" t="e">
        <f t="shared" si="3"/>
        <v>#N/A</v>
      </c>
      <c r="Q246" s="119" t="str">
        <f>VLOOKUP($B246,'Component List'!$A$2:$B$30,2,FALSE)</f>
        <v>MR3</v>
      </c>
      <c r="R246" s="77" t="str">
        <f>VLOOKUP($C246,'Component List'!C$2:D$28,2,FALSE)</f>
        <v>C00</v>
      </c>
      <c r="S246" s="77" t="str">
        <f>VLOOKUP($D246,'Component List'!E$2:F$30,2,FALSE)</f>
        <v>D</v>
      </c>
      <c r="T246" s="77">
        <f>VLOOKUP($E246,'Component List'!G$2:H$30,2,FALSE)</f>
        <v>102</v>
      </c>
      <c r="U246" s="77">
        <f>VLOOKUP($F246,'Component List'!I$2:J$30,2,FALSE)</f>
        <v>106</v>
      </c>
      <c r="V246" s="77">
        <f>VLOOKUP(G246,'Component List'!K$2:L$30,2,FALSE)</f>
        <v>101</v>
      </c>
      <c r="W246" s="77">
        <f>VLOOKUP(H246,'Component List'!M$2:N$31,2,FALSE)</f>
        <v>103</v>
      </c>
      <c r="X246" s="77">
        <f>VLOOKUP(I246,'Component List'!O$2:P$30,2,FALSE)</f>
        <v>100</v>
      </c>
      <c r="Y246" s="77" t="str">
        <f>VLOOKUP(J246,'Component List'!Q$2:R$30,2,FALSE)</f>
        <v>000</v>
      </c>
      <c r="Z246" s="77" t="e">
        <f>VLOOKUP(K246,'Component List'!S$2:T$30,2,FALSE)</f>
        <v>#N/A</v>
      </c>
      <c r="AA246" s="77" t="e">
        <f>VLOOKUP(L246,'Component List'!U$2:V$30,2,FALSE)</f>
        <v>#N/A</v>
      </c>
      <c r="AB246" s="77">
        <f>VLOOKUP(M246,'Component List'!AA$2:AB$30,2,FALSE)</f>
        <v>1</v>
      </c>
      <c r="AC246" s="77" t="str">
        <f>VLOOKUP(N246,'Component List'!Y$2:Z$30,2,FALSE)</f>
        <v>P</v>
      </c>
      <c r="AD246" s="159" t="e">
        <f>VLOOKUP(O246,'Component List'!W$3:X$30,2,FALSE)</f>
        <v>#N/A</v>
      </c>
      <c r="AG246" s="93"/>
    </row>
    <row r="247" spans="1:33" ht="30" customHeight="1" x14ac:dyDescent="0.3">
      <c r="A247" s="242"/>
      <c r="B247" s="101" t="s">
        <v>221</v>
      </c>
      <c r="C247" s="82" t="s">
        <v>21</v>
      </c>
      <c r="D247" s="80" t="s">
        <v>136</v>
      </c>
      <c r="E247" s="81" t="s">
        <v>137</v>
      </c>
      <c r="F247" s="82" t="s">
        <v>45</v>
      </c>
      <c r="G247" s="82" t="s">
        <v>183</v>
      </c>
      <c r="H247" s="82" t="s">
        <v>208</v>
      </c>
      <c r="I247" s="110" t="s">
        <v>198</v>
      </c>
      <c r="J247" s="110" t="s">
        <v>143</v>
      </c>
      <c r="K247" s="135" t="s">
        <v>366</v>
      </c>
      <c r="L247" s="135" t="s">
        <v>366</v>
      </c>
      <c r="M247" s="82">
        <v>1</v>
      </c>
      <c r="N247" s="82" t="s">
        <v>187</v>
      </c>
      <c r="O247" s="110" t="s">
        <v>367</v>
      </c>
      <c r="P247" s="123" t="e">
        <f t="shared" si="3"/>
        <v>#N/A</v>
      </c>
      <c r="Q247" s="119" t="str">
        <f>VLOOKUP($B247,'Component List'!$A$2:$B$30,2,FALSE)</f>
        <v>MR3</v>
      </c>
      <c r="R247" s="77" t="str">
        <f>VLOOKUP($C247,'Component List'!C$2:D$28,2,FALSE)</f>
        <v>C00</v>
      </c>
      <c r="S247" s="77" t="str">
        <f>VLOOKUP($D247,'Component List'!E$2:F$30,2,FALSE)</f>
        <v>D</v>
      </c>
      <c r="T247" s="77">
        <f>VLOOKUP($E247,'Component List'!G$2:H$30,2,FALSE)</f>
        <v>102</v>
      </c>
      <c r="U247" s="77">
        <f>VLOOKUP($F247,'Component List'!I$2:J$30,2,FALSE)</f>
        <v>106</v>
      </c>
      <c r="V247" s="77">
        <f>VLOOKUP(G247,'Component List'!K$2:L$30,2,FALSE)</f>
        <v>101</v>
      </c>
      <c r="W247" s="77">
        <f>VLOOKUP(H247,'Component List'!M$2:N$31,2,FALSE)</f>
        <v>103</v>
      </c>
      <c r="X247" s="77">
        <f>VLOOKUP(I247,'Component List'!O$2:P$30,2,FALSE)</f>
        <v>100</v>
      </c>
      <c r="Y247" s="77" t="str">
        <f>VLOOKUP(J247,'Component List'!Q$2:R$30,2,FALSE)</f>
        <v>000</v>
      </c>
      <c r="Z247" s="77" t="e">
        <f>VLOOKUP(K247,'Component List'!S$2:T$30,2,FALSE)</f>
        <v>#N/A</v>
      </c>
      <c r="AA247" s="77" t="e">
        <f>VLOOKUP(L247,'Component List'!U$2:V$30,2,FALSE)</f>
        <v>#N/A</v>
      </c>
      <c r="AB247" s="77">
        <f>VLOOKUP(M247,'Component List'!AA$2:AB$30,2,FALSE)</f>
        <v>1</v>
      </c>
      <c r="AC247" s="77" t="str">
        <f>VLOOKUP(N247,'Component List'!Y$2:Z$30,2,FALSE)</f>
        <v>C</v>
      </c>
      <c r="AD247" s="159" t="e">
        <f>VLOOKUP(O247,'Component List'!W$3:X$30,2,FALSE)</f>
        <v>#N/A</v>
      </c>
      <c r="AG247" s="93"/>
    </row>
    <row r="248" spans="1:33" ht="30" customHeight="1" x14ac:dyDescent="0.3">
      <c r="A248" s="242"/>
      <c r="B248" s="101" t="s">
        <v>221</v>
      </c>
      <c r="C248" s="82" t="s">
        <v>21</v>
      </c>
      <c r="D248" s="80" t="s">
        <v>136</v>
      </c>
      <c r="E248" s="81" t="s">
        <v>137</v>
      </c>
      <c r="F248" s="82" t="s">
        <v>45</v>
      </c>
      <c r="G248" s="82" t="s">
        <v>183</v>
      </c>
      <c r="H248" s="82" t="s">
        <v>208</v>
      </c>
      <c r="I248" s="110" t="s">
        <v>198</v>
      </c>
      <c r="J248" s="110" t="s">
        <v>143</v>
      </c>
      <c r="K248" s="135" t="s">
        <v>366</v>
      </c>
      <c r="L248" s="135" t="s">
        <v>366</v>
      </c>
      <c r="M248" s="82">
        <v>2</v>
      </c>
      <c r="N248" s="82" t="s">
        <v>175</v>
      </c>
      <c r="O248" s="110" t="s">
        <v>367</v>
      </c>
      <c r="P248" s="123" t="e">
        <f t="shared" si="3"/>
        <v>#N/A</v>
      </c>
      <c r="Q248" s="119" t="str">
        <f>VLOOKUP($B248,'Component List'!$A$2:$B$30,2,FALSE)</f>
        <v>MR3</v>
      </c>
      <c r="R248" s="77" t="str">
        <f>VLOOKUP($C248,'Component List'!C$2:D$28,2,FALSE)</f>
        <v>C00</v>
      </c>
      <c r="S248" s="77" t="str">
        <f>VLOOKUP($D248,'Component List'!E$2:F$30,2,FALSE)</f>
        <v>D</v>
      </c>
      <c r="T248" s="77">
        <f>VLOOKUP($E248,'Component List'!G$2:H$30,2,FALSE)</f>
        <v>102</v>
      </c>
      <c r="U248" s="77">
        <f>VLOOKUP($F248,'Component List'!I$2:J$30,2,FALSE)</f>
        <v>106</v>
      </c>
      <c r="V248" s="77">
        <f>VLOOKUP(G248,'Component List'!K$2:L$30,2,FALSE)</f>
        <v>101</v>
      </c>
      <c r="W248" s="77">
        <f>VLOOKUP(H248,'Component List'!M$2:N$31,2,FALSE)</f>
        <v>103</v>
      </c>
      <c r="X248" s="77">
        <f>VLOOKUP(I248,'Component List'!O$2:P$30,2,FALSE)</f>
        <v>100</v>
      </c>
      <c r="Y248" s="77" t="str">
        <f>VLOOKUP(J248,'Component List'!Q$2:R$30,2,FALSE)</f>
        <v>000</v>
      </c>
      <c r="Z248" s="77" t="e">
        <f>VLOOKUP(K248,'Component List'!S$2:T$30,2,FALSE)</f>
        <v>#N/A</v>
      </c>
      <c r="AA248" s="77" t="e">
        <f>VLOOKUP(L248,'Component List'!U$2:V$30,2,FALSE)</f>
        <v>#N/A</v>
      </c>
      <c r="AB248" s="77">
        <f>VLOOKUP(M248,'Component List'!AA$2:AB$30,2,FALSE)</f>
        <v>2</v>
      </c>
      <c r="AC248" s="77" t="str">
        <f>VLOOKUP(N248,'Component List'!Y$2:Z$30,2,FALSE)</f>
        <v>P</v>
      </c>
      <c r="AD248" s="159" t="e">
        <f>VLOOKUP(O248,'Component List'!W$3:X$30,2,FALSE)</f>
        <v>#N/A</v>
      </c>
      <c r="AG248" s="93"/>
    </row>
    <row r="249" spans="1:33" ht="30" customHeight="1" x14ac:dyDescent="0.3">
      <c r="A249" s="242"/>
      <c r="B249" s="101" t="s">
        <v>221</v>
      </c>
      <c r="C249" s="82" t="s">
        <v>21</v>
      </c>
      <c r="D249" s="80" t="s">
        <v>136</v>
      </c>
      <c r="E249" s="81" t="s">
        <v>137</v>
      </c>
      <c r="F249" s="82" t="s">
        <v>45</v>
      </c>
      <c r="G249" s="82" t="s">
        <v>183</v>
      </c>
      <c r="H249" s="82" t="s">
        <v>208</v>
      </c>
      <c r="I249" s="110" t="s">
        <v>198</v>
      </c>
      <c r="J249" s="110" t="s">
        <v>143</v>
      </c>
      <c r="K249" s="135" t="s">
        <v>366</v>
      </c>
      <c r="L249" s="135" t="s">
        <v>366</v>
      </c>
      <c r="M249" s="82">
        <v>2</v>
      </c>
      <c r="N249" s="82" t="s">
        <v>187</v>
      </c>
      <c r="O249" s="110" t="s">
        <v>367</v>
      </c>
      <c r="P249" s="123" t="e">
        <f t="shared" si="3"/>
        <v>#N/A</v>
      </c>
      <c r="Q249" s="119" t="str">
        <f>VLOOKUP($B249,'Component List'!$A$2:$B$30,2,FALSE)</f>
        <v>MR3</v>
      </c>
      <c r="R249" s="77" t="str">
        <f>VLOOKUP($C249,'Component List'!C$2:D$28,2,FALSE)</f>
        <v>C00</v>
      </c>
      <c r="S249" s="77" t="str">
        <f>VLOOKUP($D249,'Component List'!E$2:F$30,2,FALSE)</f>
        <v>D</v>
      </c>
      <c r="T249" s="77">
        <f>VLOOKUP($E249,'Component List'!G$2:H$30,2,FALSE)</f>
        <v>102</v>
      </c>
      <c r="U249" s="77">
        <f>VLOOKUP($F249,'Component List'!I$2:J$30,2,FALSE)</f>
        <v>106</v>
      </c>
      <c r="V249" s="77">
        <f>VLOOKUP(G249,'Component List'!K$2:L$30,2,FALSE)</f>
        <v>101</v>
      </c>
      <c r="W249" s="77">
        <f>VLOOKUP(H249,'Component List'!M$2:N$31,2,FALSE)</f>
        <v>103</v>
      </c>
      <c r="X249" s="77">
        <f>VLOOKUP(I249,'Component List'!O$2:P$30,2,FALSE)</f>
        <v>100</v>
      </c>
      <c r="Y249" s="77" t="str">
        <f>VLOOKUP(J249,'Component List'!Q$2:R$30,2,FALSE)</f>
        <v>000</v>
      </c>
      <c r="Z249" s="77" t="e">
        <f>VLOOKUP(K249,'Component List'!S$2:T$30,2,FALSE)</f>
        <v>#N/A</v>
      </c>
      <c r="AA249" s="77" t="e">
        <f>VLOOKUP(L249,'Component List'!U$2:V$30,2,FALSE)</f>
        <v>#N/A</v>
      </c>
      <c r="AB249" s="77">
        <f>VLOOKUP(M249,'Component List'!AA$2:AB$30,2,FALSE)</f>
        <v>2</v>
      </c>
      <c r="AC249" s="77" t="str">
        <f>VLOOKUP(N249,'Component List'!Y$2:Z$30,2,FALSE)</f>
        <v>C</v>
      </c>
      <c r="AD249" s="159" t="e">
        <f>VLOOKUP(O249,'Component List'!W$3:X$30,2,FALSE)</f>
        <v>#N/A</v>
      </c>
      <c r="AG249" s="93"/>
    </row>
    <row r="250" spans="1:33" ht="30" customHeight="1" x14ac:dyDescent="0.3">
      <c r="A250" s="242"/>
      <c r="B250" s="101" t="s">
        <v>221</v>
      </c>
      <c r="C250" s="82" t="s">
        <v>21</v>
      </c>
      <c r="D250" s="80" t="s">
        <v>136</v>
      </c>
      <c r="E250" s="81" t="s">
        <v>137</v>
      </c>
      <c r="F250" s="82" t="s">
        <v>45</v>
      </c>
      <c r="G250" s="82" t="s">
        <v>183</v>
      </c>
      <c r="H250" s="82" t="s">
        <v>208</v>
      </c>
      <c r="I250" s="110" t="s">
        <v>198</v>
      </c>
      <c r="J250" s="110" t="s">
        <v>143</v>
      </c>
      <c r="K250" s="135" t="s">
        <v>366</v>
      </c>
      <c r="L250" s="135" t="s">
        <v>366</v>
      </c>
      <c r="M250" s="82">
        <v>3</v>
      </c>
      <c r="N250" s="82" t="s">
        <v>175</v>
      </c>
      <c r="O250" s="110" t="s">
        <v>367</v>
      </c>
      <c r="P250" s="123" t="e">
        <f t="shared" si="3"/>
        <v>#N/A</v>
      </c>
      <c r="Q250" s="119" t="str">
        <f>VLOOKUP($B250,'Component List'!$A$2:$B$30,2,FALSE)</f>
        <v>MR3</v>
      </c>
      <c r="R250" s="77" t="str">
        <f>VLOOKUP($C250,'Component List'!C$2:D$28,2,FALSE)</f>
        <v>C00</v>
      </c>
      <c r="S250" s="77" t="str">
        <f>VLOOKUP($D250,'Component List'!E$2:F$30,2,FALSE)</f>
        <v>D</v>
      </c>
      <c r="T250" s="77">
        <f>VLOOKUP($E250,'Component List'!G$2:H$30,2,FALSE)</f>
        <v>102</v>
      </c>
      <c r="U250" s="77">
        <f>VLOOKUP($F250,'Component List'!I$2:J$30,2,FALSE)</f>
        <v>106</v>
      </c>
      <c r="V250" s="77">
        <f>VLOOKUP(G250,'Component List'!K$2:L$30,2,FALSE)</f>
        <v>101</v>
      </c>
      <c r="W250" s="77">
        <f>VLOOKUP(H250,'Component List'!M$2:N$31,2,FALSE)</f>
        <v>103</v>
      </c>
      <c r="X250" s="77">
        <f>VLOOKUP(I250,'Component List'!O$2:P$30,2,FALSE)</f>
        <v>100</v>
      </c>
      <c r="Y250" s="77" t="str">
        <f>VLOOKUP(J250,'Component List'!Q$2:R$30,2,FALSE)</f>
        <v>000</v>
      </c>
      <c r="Z250" s="77" t="e">
        <f>VLOOKUP(K250,'Component List'!S$2:T$30,2,FALSE)</f>
        <v>#N/A</v>
      </c>
      <c r="AA250" s="77" t="e">
        <f>VLOOKUP(L250,'Component List'!U$2:V$30,2,FALSE)</f>
        <v>#N/A</v>
      </c>
      <c r="AB250" s="77">
        <f>VLOOKUP(M250,'Component List'!AA$2:AB$30,2,FALSE)</f>
        <v>3</v>
      </c>
      <c r="AC250" s="77" t="str">
        <f>VLOOKUP(N250,'Component List'!Y$2:Z$30,2,FALSE)</f>
        <v>P</v>
      </c>
      <c r="AD250" s="159" t="e">
        <f>VLOOKUP(O250,'Component List'!W$3:X$30,2,FALSE)</f>
        <v>#N/A</v>
      </c>
      <c r="AG250" s="93"/>
    </row>
    <row r="251" spans="1:33" ht="30" customHeight="1" thickBot="1" x14ac:dyDescent="0.35">
      <c r="A251" s="243"/>
      <c r="B251" s="129" t="s">
        <v>221</v>
      </c>
      <c r="C251" s="94" t="s">
        <v>21</v>
      </c>
      <c r="D251" s="94" t="s">
        <v>136</v>
      </c>
      <c r="E251" s="95" t="s">
        <v>137</v>
      </c>
      <c r="F251" s="94" t="s">
        <v>45</v>
      </c>
      <c r="G251" s="106" t="s">
        <v>183</v>
      </c>
      <c r="H251" s="106" t="s">
        <v>208</v>
      </c>
      <c r="I251" s="109" t="s">
        <v>198</v>
      </c>
      <c r="J251" s="109" t="s">
        <v>143</v>
      </c>
      <c r="K251" s="138" t="s">
        <v>366</v>
      </c>
      <c r="L251" s="138" t="s">
        <v>366</v>
      </c>
      <c r="M251" s="106">
        <v>3</v>
      </c>
      <c r="N251" s="106" t="s">
        <v>187</v>
      </c>
      <c r="O251" s="109" t="s">
        <v>367</v>
      </c>
      <c r="P251" s="127" t="e">
        <f t="shared" si="3"/>
        <v>#N/A</v>
      </c>
      <c r="Q251" s="119" t="str">
        <f>VLOOKUP($B251,'Component List'!$A$2:$B$30,2,FALSE)</f>
        <v>MR3</v>
      </c>
      <c r="R251" s="77" t="str">
        <f>VLOOKUP($C251,'Component List'!C$2:D$28,2,FALSE)</f>
        <v>C00</v>
      </c>
      <c r="S251" s="77" t="str">
        <f>VLOOKUP($D251,'Component List'!E$2:F$30,2,FALSE)</f>
        <v>D</v>
      </c>
      <c r="T251" s="77">
        <f>VLOOKUP($E251,'Component List'!G$2:H$30,2,FALSE)</f>
        <v>102</v>
      </c>
      <c r="U251" s="77">
        <f>VLOOKUP($F251,'Component List'!I$2:J$30,2,FALSE)</f>
        <v>106</v>
      </c>
      <c r="V251" s="77">
        <f>VLOOKUP(G251,'Component List'!K$2:L$30,2,FALSE)</f>
        <v>101</v>
      </c>
      <c r="W251" s="77">
        <f>VLOOKUP(H251,'Component List'!M$2:N$31,2,FALSE)</f>
        <v>103</v>
      </c>
      <c r="X251" s="77">
        <f>VLOOKUP(I251,'Component List'!O$2:P$30,2,FALSE)</f>
        <v>100</v>
      </c>
      <c r="Y251" s="77" t="str">
        <f>VLOOKUP(J251,'Component List'!Q$2:R$30,2,FALSE)</f>
        <v>000</v>
      </c>
      <c r="Z251" s="77" t="e">
        <f>VLOOKUP(K251,'Component List'!S$2:T$30,2,FALSE)</f>
        <v>#N/A</v>
      </c>
      <c r="AA251" s="77" t="e">
        <f>VLOOKUP(L251,'Component List'!U$2:V$30,2,FALSE)</f>
        <v>#N/A</v>
      </c>
      <c r="AB251" s="77">
        <f>VLOOKUP(M251,'Component List'!AA$2:AB$30,2,FALSE)</f>
        <v>3</v>
      </c>
      <c r="AC251" s="77" t="str">
        <f>VLOOKUP(N251,'Component List'!Y$2:Z$30,2,FALSE)</f>
        <v>C</v>
      </c>
      <c r="AD251" s="159" t="e">
        <f>VLOOKUP(O251,'Component List'!W$3:X$30,2,FALSE)</f>
        <v>#N/A</v>
      </c>
      <c r="AE251" s="96"/>
      <c r="AF251" s="96"/>
      <c r="AG251" s="97"/>
    </row>
    <row r="252" spans="1:33" ht="30" customHeight="1" x14ac:dyDescent="0.3">
      <c r="A252" s="244" t="s">
        <v>370</v>
      </c>
      <c r="B252" s="171" t="s">
        <v>228</v>
      </c>
      <c r="C252" s="88" t="s">
        <v>21</v>
      </c>
      <c r="D252" s="88" t="s">
        <v>136</v>
      </c>
      <c r="E252" s="125" t="s">
        <v>170</v>
      </c>
      <c r="F252" s="88" t="s">
        <v>254</v>
      </c>
      <c r="G252" s="88" t="s">
        <v>183</v>
      </c>
      <c r="H252" s="88" t="s">
        <v>184</v>
      </c>
      <c r="I252" s="121" t="s">
        <v>198</v>
      </c>
      <c r="J252" s="121" t="s">
        <v>143</v>
      </c>
      <c r="K252" s="139" t="s">
        <v>366</v>
      </c>
      <c r="L252" s="139" t="s">
        <v>366</v>
      </c>
      <c r="M252" s="88">
        <v>1</v>
      </c>
      <c r="N252" s="88" t="s">
        <v>175</v>
      </c>
      <c r="O252" s="121" t="s">
        <v>367</v>
      </c>
      <c r="P252" s="126" t="e">
        <f t="shared" si="3"/>
        <v>#N/A</v>
      </c>
      <c r="Q252" s="119" t="str">
        <f>VLOOKUP($B252,'Component List'!$A$2:$B$30,2,FALSE)</f>
        <v>LD2</v>
      </c>
      <c r="R252" s="77" t="str">
        <f>VLOOKUP($C252,'Component List'!C$2:D$28,2,FALSE)</f>
        <v>C00</v>
      </c>
      <c r="S252" s="77" t="str">
        <f>VLOOKUP($D252,'Component List'!E$2:F$30,2,FALSE)</f>
        <v>D</v>
      </c>
      <c r="T252" s="77">
        <f>VLOOKUP($E252,'Component List'!G$2:H$30,2,FALSE)</f>
        <v>100</v>
      </c>
      <c r="U252" s="77">
        <f>VLOOKUP($F252,'Component List'!I$2:J$30,2,FALSE)</f>
        <v>109</v>
      </c>
      <c r="V252" s="77">
        <f>VLOOKUP(G252,'Component List'!K$2:L$30,2,FALSE)</f>
        <v>101</v>
      </c>
      <c r="W252" s="77">
        <f>VLOOKUP(H252,'Component List'!M$2:N$31,2,FALSE)</f>
        <v>101</v>
      </c>
      <c r="X252" s="77">
        <f>VLOOKUP(I252,'Component List'!O$2:P$30,2,FALSE)</f>
        <v>100</v>
      </c>
      <c r="Y252" s="77" t="str">
        <f>VLOOKUP(J252,'Component List'!Q$2:R$30,2,FALSE)</f>
        <v>000</v>
      </c>
      <c r="Z252" s="77" t="e">
        <f>VLOOKUP(K252,'Component List'!S$2:T$30,2,FALSE)</f>
        <v>#N/A</v>
      </c>
      <c r="AA252" s="77" t="e">
        <f>VLOOKUP(L252,'Component List'!U$2:V$30,2,FALSE)</f>
        <v>#N/A</v>
      </c>
      <c r="AB252" s="77">
        <f>VLOOKUP(M252,'Component List'!AA$2:AB$30,2,FALSE)</f>
        <v>1</v>
      </c>
      <c r="AC252" s="77" t="str">
        <f>VLOOKUP(N252,'Component List'!Y$2:Z$30,2,FALSE)</f>
        <v>P</v>
      </c>
      <c r="AD252" s="159" t="e">
        <f>VLOOKUP(O252,'Component List'!W$3:X$30,2,FALSE)</f>
        <v>#N/A</v>
      </c>
    </row>
    <row r="253" spans="1:33" ht="30" customHeight="1" x14ac:dyDescent="0.3">
      <c r="A253" s="245"/>
      <c r="B253" s="101" t="s">
        <v>228</v>
      </c>
      <c r="C253" s="82" t="s">
        <v>21</v>
      </c>
      <c r="D253" s="82" t="s">
        <v>136</v>
      </c>
      <c r="E253" s="102" t="s">
        <v>170</v>
      </c>
      <c r="F253" s="82" t="s">
        <v>254</v>
      </c>
      <c r="G253" s="82" t="s">
        <v>183</v>
      </c>
      <c r="H253" s="82" t="s">
        <v>184</v>
      </c>
      <c r="I253" s="110" t="s">
        <v>198</v>
      </c>
      <c r="J253" s="110" t="s">
        <v>143</v>
      </c>
      <c r="K253" s="135" t="s">
        <v>366</v>
      </c>
      <c r="L253" s="135" t="s">
        <v>366</v>
      </c>
      <c r="M253" s="82">
        <v>1</v>
      </c>
      <c r="N253" s="82" t="s">
        <v>187</v>
      </c>
      <c r="O253" s="110" t="s">
        <v>367</v>
      </c>
      <c r="P253" s="123" t="e">
        <f t="shared" si="3"/>
        <v>#N/A</v>
      </c>
      <c r="Q253" s="119" t="str">
        <f>VLOOKUP($B253,'Component List'!$A$2:$B$30,2,FALSE)</f>
        <v>LD2</v>
      </c>
      <c r="R253" s="77" t="str">
        <f>VLOOKUP($C253,'Component List'!C$2:D$28,2,FALSE)</f>
        <v>C00</v>
      </c>
      <c r="S253" s="77" t="str">
        <f>VLOOKUP($D253,'Component List'!E$2:F$30,2,FALSE)</f>
        <v>D</v>
      </c>
      <c r="T253" s="77">
        <f>VLOOKUP($E253,'Component List'!G$2:H$30,2,FALSE)</f>
        <v>100</v>
      </c>
      <c r="U253" s="77">
        <f>VLOOKUP($F253,'Component List'!I$2:J$30,2,FALSE)</f>
        <v>109</v>
      </c>
      <c r="V253" s="77">
        <f>VLOOKUP(G253,'Component List'!K$2:L$30,2,FALSE)</f>
        <v>101</v>
      </c>
      <c r="W253" s="77">
        <f>VLOOKUP(H253,'Component List'!M$2:N$31,2,FALSE)</f>
        <v>101</v>
      </c>
      <c r="X253" s="77">
        <f>VLOOKUP(I253,'Component List'!O$2:P$30,2,FALSE)</f>
        <v>100</v>
      </c>
      <c r="Y253" s="77" t="str">
        <f>VLOOKUP(J253,'Component List'!Q$2:R$30,2,FALSE)</f>
        <v>000</v>
      </c>
      <c r="Z253" s="77" t="e">
        <f>VLOOKUP(K253,'Component List'!S$2:T$30,2,FALSE)</f>
        <v>#N/A</v>
      </c>
      <c r="AA253" s="77" t="e">
        <f>VLOOKUP(L253,'Component List'!U$2:V$30,2,FALSE)</f>
        <v>#N/A</v>
      </c>
      <c r="AB253" s="77">
        <f>VLOOKUP(M253,'Component List'!AA$2:AB$30,2,FALSE)</f>
        <v>1</v>
      </c>
      <c r="AC253" s="77" t="str">
        <f>VLOOKUP(N253,'Component List'!Y$2:Z$30,2,FALSE)</f>
        <v>C</v>
      </c>
      <c r="AD253" s="159" t="e">
        <f>VLOOKUP(O253,'Component List'!W$3:X$30,2,FALSE)</f>
        <v>#N/A</v>
      </c>
    </row>
    <row r="254" spans="1:33" ht="30" customHeight="1" x14ac:dyDescent="0.3">
      <c r="A254" s="245"/>
      <c r="B254" s="101" t="s">
        <v>228</v>
      </c>
      <c r="C254" s="82" t="s">
        <v>21</v>
      </c>
      <c r="D254" s="82" t="s">
        <v>136</v>
      </c>
      <c r="E254" s="102" t="s">
        <v>170</v>
      </c>
      <c r="F254" s="82" t="s">
        <v>254</v>
      </c>
      <c r="G254" s="82" t="s">
        <v>183</v>
      </c>
      <c r="H254" s="82" t="s">
        <v>184</v>
      </c>
      <c r="I254" s="110" t="s">
        <v>198</v>
      </c>
      <c r="J254" s="110" t="s">
        <v>143</v>
      </c>
      <c r="K254" s="135" t="s">
        <v>366</v>
      </c>
      <c r="L254" s="135" t="s">
        <v>366</v>
      </c>
      <c r="M254" s="82">
        <v>2</v>
      </c>
      <c r="N254" s="82" t="s">
        <v>175</v>
      </c>
      <c r="O254" s="110" t="s">
        <v>367</v>
      </c>
      <c r="P254" s="123" t="e">
        <f t="shared" si="3"/>
        <v>#N/A</v>
      </c>
      <c r="Q254" s="119" t="str">
        <f>VLOOKUP($B254,'Component List'!$A$2:$B$30,2,FALSE)</f>
        <v>LD2</v>
      </c>
      <c r="R254" s="77" t="str">
        <f>VLOOKUP($C254,'Component List'!C$2:D$28,2,FALSE)</f>
        <v>C00</v>
      </c>
      <c r="S254" s="77" t="str">
        <f>VLOOKUP($D254,'Component List'!E$2:F$30,2,FALSE)</f>
        <v>D</v>
      </c>
      <c r="T254" s="77">
        <f>VLOOKUP($E254,'Component List'!G$2:H$30,2,FALSE)</f>
        <v>100</v>
      </c>
      <c r="U254" s="77">
        <f>VLOOKUP($F254,'Component List'!I$2:J$30,2,FALSE)</f>
        <v>109</v>
      </c>
      <c r="V254" s="77">
        <f>VLOOKUP(G254,'Component List'!K$2:L$30,2,FALSE)</f>
        <v>101</v>
      </c>
      <c r="W254" s="77">
        <f>VLOOKUP(H254,'Component List'!M$2:N$31,2,FALSE)</f>
        <v>101</v>
      </c>
      <c r="X254" s="77">
        <f>VLOOKUP(I254,'Component List'!O$2:P$30,2,FALSE)</f>
        <v>100</v>
      </c>
      <c r="Y254" s="77" t="str">
        <f>VLOOKUP(J254,'Component List'!Q$2:R$30,2,FALSE)</f>
        <v>000</v>
      </c>
      <c r="Z254" s="77" t="e">
        <f>VLOOKUP(K254,'Component List'!S$2:T$30,2,FALSE)</f>
        <v>#N/A</v>
      </c>
      <c r="AA254" s="77" t="e">
        <f>VLOOKUP(L254,'Component List'!U$2:V$30,2,FALSE)</f>
        <v>#N/A</v>
      </c>
      <c r="AB254" s="77">
        <f>VLOOKUP(M254,'Component List'!AA$2:AB$30,2,FALSE)</f>
        <v>2</v>
      </c>
      <c r="AC254" s="77" t="str">
        <f>VLOOKUP(N254,'Component List'!Y$2:Z$30,2,FALSE)</f>
        <v>P</v>
      </c>
      <c r="AD254" s="159" t="e">
        <f>VLOOKUP(O254,'Component List'!W$3:X$30,2,FALSE)</f>
        <v>#N/A</v>
      </c>
    </row>
    <row r="255" spans="1:33" ht="30" customHeight="1" x14ac:dyDescent="0.3">
      <c r="A255" s="245"/>
      <c r="B255" s="101" t="s">
        <v>228</v>
      </c>
      <c r="C255" s="82" t="s">
        <v>21</v>
      </c>
      <c r="D255" s="82" t="s">
        <v>136</v>
      </c>
      <c r="E255" s="102" t="s">
        <v>170</v>
      </c>
      <c r="F255" s="82" t="s">
        <v>254</v>
      </c>
      <c r="G255" s="82" t="s">
        <v>183</v>
      </c>
      <c r="H255" s="82" t="s">
        <v>184</v>
      </c>
      <c r="I255" s="110" t="s">
        <v>198</v>
      </c>
      <c r="J255" s="110" t="s">
        <v>143</v>
      </c>
      <c r="K255" s="135" t="s">
        <v>366</v>
      </c>
      <c r="L255" s="135" t="s">
        <v>366</v>
      </c>
      <c r="M255" s="82">
        <v>2</v>
      </c>
      <c r="N255" s="82" t="s">
        <v>187</v>
      </c>
      <c r="O255" s="110" t="s">
        <v>367</v>
      </c>
      <c r="P255" s="123" t="e">
        <f t="shared" si="3"/>
        <v>#N/A</v>
      </c>
      <c r="Q255" s="119" t="str">
        <f>VLOOKUP($B255,'Component List'!$A$2:$B$30,2,FALSE)</f>
        <v>LD2</v>
      </c>
      <c r="R255" s="77" t="str">
        <f>VLOOKUP($C255,'Component List'!C$2:D$28,2,FALSE)</f>
        <v>C00</v>
      </c>
      <c r="S255" s="77" t="str">
        <f>VLOOKUP($D255,'Component List'!E$2:F$30,2,FALSE)</f>
        <v>D</v>
      </c>
      <c r="T255" s="77">
        <f>VLOOKUP($E255,'Component List'!G$2:H$30,2,FALSE)</f>
        <v>100</v>
      </c>
      <c r="U255" s="77">
        <f>VLOOKUP($F255,'Component List'!I$2:J$30,2,FALSE)</f>
        <v>109</v>
      </c>
      <c r="V255" s="77">
        <f>VLOOKUP(G255,'Component List'!K$2:L$30,2,FALSE)</f>
        <v>101</v>
      </c>
      <c r="W255" s="77">
        <f>VLOOKUP(H255,'Component List'!M$2:N$31,2,FALSE)</f>
        <v>101</v>
      </c>
      <c r="X255" s="77">
        <f>VLOOKUP(I255,'Component List'!O$2:P$30,2,FALSE)</f>
        <v>100</v>
      </c>
      <c r="Y255" s="77" t="str">
        <f>VLOOKUP(J255,'Component List'!Q$2:R$30,2,FALSE)</f>
        <v>000</v>
      </c>
      <c r="Z255" s="77" t="e">
        <f>VLOOKUP(K255,'Component List'!S$2:T$30,2,FALSE)</f>
        <v>#N/A</v>
      </c>
      <c r="AA255" s="77" t="e">
        <f>VLOOKUP(L255,'Component List'!U$2:V$30,2,FALSE)</f>
        <v>#N/A</v>
      </c>
      <c r="AB255" s="77">
        <f>VLOOKUP(M255,'Component List'!AA$2:AB$30,2,FALSE)</f>
        <v>2</v>
      </c>
      <c r="AC255" s="77" t="str">
        <f>VLOOKUP(N255,'Component List'!Y$2:Z$30,2,FALSE)</f>
        <v>C</v>
      </c>
      <c r="AD255" s="159" t="e">
        <f>VLOOKUP(O255,'Component List'!W$3:X$30,2,FALSE)</f>
        <v>#N/A</v>
      </c>
    </row>
    <row r="256" spans="1:33" ht="30" customHeight="1" x14ac:dyDescent="0.3">
      <c r="A256" s="245"/>
      <c r="B256" s="101" t="s">
        <v>228</v>
      </c>
      <c r="C256" s="82" t="s">
        <v>21</v>
      </c>
      <c r="D256" s="82" t="s">
        <v>136</v>
      </c>
      <c r="E256" s="102" t="s">
        <v>170</v>
      </c>
      <c r="F256" s="82" t="s">
        <v>254</v>
      </c>
      <c r="G256" s="82" t="s">
        <v>183</v>
      </c>
      <c r="H256" s="82" t="s">
        <v>184</v>
      </c>
      <c r="I256" s="110" t="s">
        <v>198</v>
      </c>
      <c r="J256" s="110" t="s">
        <v>143</v>
      </c>
      <c r="K256" s="135" t="s">
        <v>366</v>
      </c>
      <c r="L256" s="135" t="s">
        <v>366</v>
      </c>
      <c r="M256" s="82">
        <v>3</v>
      </c>
      <c r="N256" s="82" t="s">
        <v>175</v>
      </c>
      <c r="O256" s="110" t="s">
        <v>367</v>
      </c>
      <c r="P256" s="123" t="e">
        <f t="shared" si="3"/>
        <v>#N/A</v>
      </c>
      <c r="Q256" s="119" t="str">
        <f>VLOOKUP($B256,'Component List'!$A$2:$B$30,2,FALSE)</f>
        <v>LD2</v>
      </c>
      <c r="R256" s="77" t="str">
        <f>VLOOKUP($C256,'Component List'!C$2:D$28,2,FALSE)</f>
        <v>C00</v>
      </c>
      <c r="S256" s="77" t="str">
        <f>VLOOKUP($D256,'Component List'!E$2:F$30,2,FALSE)</f>
        <v>D</v>
      </c>
      <c r="T256" s="77">
        <f>VLOOKUP($E256,'Component List'!G$2:H$30,2,FALSE)</f>
        <v>100</v>
      </c>
      <c r="U256" s="77">
        <f>VLOOKUP($F256,'Component List'!I$2:J$30,2,FALSE)</f>
        <v>109</v>
      </c>
      <c r="V256" s="77">
        <f>VLOOKUP(G256,'Component List'!K$2:L$30,2,FALSE)</f>
        <v>101</v>
      </c>
      <c r="W256" s="77">
        <f>VLOOKUP(H256,'Component List'!M$2:N$31,2,FALSE)</f>
        <v>101</v>
      </c>
      <c r="X256" s="77">
        <f>VLOOKUP(I256,'Component List'!O$2:P$30,2,FALSE)</f>
        <v>100</v>
      </c>
      <c r="Y256" s="77" t="str">
        <f>VLOOKUP(J256,'Component List'!Q$2:R$30,2,FALSE)</f>
        <v>000</v>
      </c>
      <c r="Z256" s="77" t="e">
        <f>VLOOKUP(K256,'Component List'!S$2:T$30,2,FALSE)</f>
        <v>#N/A</v>
      </c>
      <c r="AA256" s="77" t="e">
        <f>VLOOKUP(L256,'Component List'!U$2:V$30,2,FALSE)</f>
        <v>#N/A</v>
      </c>
      <c r="AB256" s="77">
        <f>VLOOKUP(M256,'Component List'!AA$2:AB$30,2,FALSE)</f>
        <v>3</v>
      </c>
      <c r="AC256" s="77" t="str">
        <f>VLOOKUP(N256,'Component List'!Y$2:Z$30,2,FALSE)</f>
        <v>P</v>
      </c>
      <c r="AD256" s="159" t="e">
        <f>VLOOKUP(O256,'Component List'!W$3:X$30,2,FALSE)</f>
        <v>#N/A</v>
      </c>
    </row>
    <row r="257" spans="1:30" ht="30" customHeight="1" x14ac:dyDescent="0.3">
      <c r="A257" s="245"/>
      <c r="B257" s="101" t="s">
        <v>228</v>
      </c>
      <c r="C257" s="82" t="s">
        <v>21</v>
      </c>
      <c r="D257" s="82" t="s">
        <v>136</v>
      </c>
      <c r="E257" s="102" t="s">
        <v>170</v>
      </c>
      <c r="F257" s="82" t="s">
        <v>254</v>
      </c>
      <c r="G257" s="82" t="s">
        <v>183</v>
      </c>
      <c r="H257" s="82" t="s">
        <v>184</v>
      </c>
      <c r="I257" s="110" t="s">
        <v>198</v>
      </c>
      <c r="J257" s="110" t="s">
        <v>143</v>
      </c>
      <c r="K257" s="135" t="s">
        <v>366</v>
      </c>
      <c r="L257" s="135" t="s">
        <v>366</v>
      </c>
      <c r="M257" s="82">
        <v>3</v>
      </c>
      <c r="N257" s="82" t="s">
        <v>187</v>
      </c>
      <c r="O257" s="110" t="s">
        <v>367</v>
      </c>
      <c r="P257" s="123" t="e">
        <f t="shared" si="3"/>
        <v>#N/A</v>
      </c>
      <c r="Q257" s="119" t="str">
        <f>VLOOKUP($B257,'Component List'!$A$2:$B$30,2,FALSE)</f>
        <v>LD2</v>
      </c>
      <c r="R257" s="77" t="str">
        <f>VLOOKUP($C257,'Component List'!C$2:D$28,2,FALSE)</f>
        <v>C00</v>
      </c>
      <c r="S257" s="77" t="str">
        <f>VLOOKUP($D257,'Component List'!E$2:F$30,2,FALSE)</f>
        <v>D</v>
      </c>
      <c r="T257" s="77">
        <f>VLOOKUP($E257,'Component List'!G$2:H$30,2,FALSE)</f>
        <v>100</v>
      </c>
      <c r="U257" s="77">
        <f>VLOOKUP($F257,'Component List'!I$2:J$30,2,FALSE)</f>
        <v>109</v>
      </c>
      <c r="V257" s="77">
        <f>VLOOKUP(G257,'Component List'!K$2:L$30,2,FALSE)</f>
        <v>101</v>
      </c>
      <c r="W257" s="77">
        <f>VLOOKUP(H257,'Component List'!M$2:N$31,2,FALSE)</f>
        <v>101</v>
      </c>
      <c r="X257" s="77">
        <f>VLOOKUP(I257,'Component List'!O$2:P$30,2,FALSE)</f>
        <v>100</v>
      </c>
      <c r="Y257" s="77" t="str">
        <f>VLOOKUP(J257,'Component List'!Q$2:R$30,2,FALSE)</f>
        <v>000</v>
      </c>
      <c r="Z257" s="77" t="e">
        <f>VLOOKUP(K257,'Component List'!S$2:T$30,2,FALSE)</f>
        <v>#N/A</v>
      </c>
      <c r="AA257" s="77" t="e">
        <f>VLOOKUP(L257,'Component List'!U$2:V$30,2,FALSE)</f>
        <v>#N/A</v>
      </c>
      <c r="AB257" s="77">
        <f>VLOOKUP(M257,'Component List'!AA$2:AB$30,2,FALSE)</f>
        <v>3</v>
      </c>
      <c r="AC257" s="77" t="str">
        <f>VLOOKUP(N257,'Component List'!Y$2:Z$30,2,FALSE)</f>
        <v>C</v>
      </c>
      <c r="AD257" s="159" t="e">
        <f>VLOOKUP(O257,'Component List'!W$3:X$30,2,FALSE)</f>
        <v>#N/A</v>
      </c>
    </row>
    <row r="258" spans="1:30" ht="30" customHeight="1" x14ac:dyDescent="0.3">
      <c r="A258" s="245"/>
      <c r="B258" s="169" t="s">
        <v>228</v>
      </c>
      <c r="C258" s="100" t="s">
        <v>21</v>
      </c>
      <c r="D258" s="112" t="s">
        <v>136</v>
      </c>
      <c r="E258" s="111" t="s">
        <v>170</v>
      </c>
      <c r="F258" s="100" t="s">
        <v>247</v>
      </c>
      <c r="G258" s="82" t="s">
        <v>183</v>
      </c>
      <c r="H258" s="82" t="s">
        <v>138</v>
      </c>
      <c r="I258" s="110" t="s">
        <v>198</v>
      </c>
      <c r="J258" s="110" t="s">
        <v>143</v>
      </c>
      <c r="K258" s="135" t="s">
        <v>366</v>
      </c>
      <c r="L258" s="135" t="s">
        <v>366</v>
      </c>
      <c r="M258" s="82">
        <v>1</v>
      </c>
      <c r="N258" s="82" t="s">
        <v>175</v>
      </c>
      <c r="O258" s="110" t="s">
        <v>367</v>
      </c>
      <c r="P258" s="123" t="e">
        <f t="shared" si="3"/>
        <v>#N/A</v>
      </c>
      <c r="Q258" s="119" t="str">
        <f>VLOOKUP($B258,'Component List'!$A$2:$B$30,2,FALSE)</f>
        <v>LD2</v>
      </c>
      <c r="R258" s="77" t="str">
        <f>VLOOKUP($C258,'Component List'!C$2:D$28,2,FALSE)</f>
        <v>C00</v>
      </c>
      <c r="S258" s="77" t="str">
        <f>VLOOKUP($D258,'Component List'!E$2:F$30,2,FALSE)</f>
        <v>D</v>
      </c>
      <c r="T258" s="77">
        <f>VLOOKUP($E258,'Component List'!G$2:H$30,2,FALSE)</f>
        <v>100</v>
      </c>
      <c r="U258" s="77">
        <f>VLOOKUP($F258,'Component List'!I$2:J$30,2,FALSE)</f>
        <v>108</v>
      </c>
      <c r="V258" s="77">
        <f>VLOOKUP(G258,'Component List'!K$2:L$30,2,FALSE)</f>
        <v>101</v>
      </c>
      <c r="W258" s="77">
        <f>VLOOKUP(H258,'Component List'!M$2:N$31,2,FALSE)</f>
        <v>100</v>
      </c>
      <c r="X258" s="77">
        <f>VLOOKUP(I258,'Component List'!O$2:P$30,2,FALSE)</f>
        <v>100</v>
      </c>
      <c r="Y258" s="77" t="str">
        <f>VLOOKUP(J258,'Component List'!Q$2:R$30,2,FALSE)</f>
        <v>000</v>
      </c>
      <c r="Z258" s="77" t="e">
        <f>VLOOKUP(K258,'Component List'!S$2:T$30,2,FALSE)</f>
        <v>#N/A</v>
      </c>
      <c r="AA258" s="77" t="e">
        <f>VLOOKUP(L258,'Component List'!U$2:V$30,2,FALSE)</f>
        <v>#N/A</v>
      </c>
      <c r="AB258" s="77">
        <f>VLOOKUP(M258,'Component List'!AA$2:AB$30,2,FALSE)</f>
        <v>1</v>
      </c>
      <c r="AC258" s="77" t="str">
        <f>VLOOKUP(N258,'Component List'!Y$2:Z$30,2,FALSE)</f>
        <v>P</v>
      </c>
      <c r="AD258" s="159" t="e">
        <f>VLOOKUP(O258,'Component List'!W$3:X$30,2,FALSE)</f>
        <v>#N/A</v>
      </c>
    </row>
    <row r="259" spans="1:30" ht="30" customHeight="1" x14ac:dyDescent="0.3">
      <c r="A259" s="245"/>
      <c r="B259" s="169" t="s">
        <v>228</v>
      </c>
      <c r="C259" s="82" t="s">
        <v>21</v>
      </c>
      <c r="D259" s="80" t="s">
        <v>136</v>
      </c>
      <c r="E259" s="111" t="s">
        <v>170</v>
      </c>
      <c r="F259" s="100" t="s">
        <v>247</v>
      </c>
      <c r="G259" s="82" t="s">
        <v>183</v>
      </c>
      <c r="H259" s="82" t="s">
        <v>138</v>
      </c>
      <c r="I259" s="110" t="s">
        <v>198</v>
      </c>
      <c r="J259" s="110" t="s">
        <v>143</v>
      </c>
      <c r="K259" s="135" t="s">
        <v>366</v>
      </c>
      <c r="L259" s="135" t="s">
        <v>366</v>
      </c>
      <c r="M259" s="82">
        <v>1</v>
      </c>
      <c r="N259" s="82" t="s">
        <v>187</v>
      </c>
      <c r="O259" s="110" t="s">
        <v>367</v>
      </c>
      <c r="P259" s="123" t="e">
        <f t="shared" si="3"/>
        <v>#N/A</v>
      </c>
      <c r="Q259" s="119" t="str">
        <f>VLOOKUP($B259,'Component List'!$A$2:$B$30,2,FALSE)</f>
        <v>LD2</v>
      </c>
      <c r="R259" s="77" t="str">
        <f>VLOOKUP($C259,'Component List'!C$2:D$28,2,FALSE)</f>
        <v>C00</v>
      </c>
      <c r="S259" s="77" t="str">
        <f>VLOOKUP($D259,'Component List'!E$2:F$30,2,FALSE)</f>
        <v>D</v>
      </c>
      <c r="T259" s="77">
        <f>VLOOKUP($E259,'Component List'!G$2:H$30,2,FALSE)</f>
        <v>100</v>
      </c>
      <c r="U259" s="77">
        <f>VLOOKUP($F259,'Component List'!I$2:J$30,2,FALSE)</f>
        <v>108</v>
      </c>
      <c r="V259" s="77">
        <f>VLOOKUP(G259,'Component List'!K$2:L$30,2,FALSE)</f>
        <v>101</v>
      </c>
      <c r="W259" s="77">
        <f>VLOOKUP(H259,'Component List'!M$2:N$31,2,FALSE)</f>
        <v>100</v>
      </c>
      <c r="X259" s="77">
        <f>VLOOKUP(I259,'Component List'!O$2:P$30,2,FALSE)</f>
        <v>100</v>
      </c>
      <c r="Y259" s="77" t="str">
        <f>VLOOKUP(J259,'Component List'!Q$2:R$30,2,FALSE)</f>
        <v>000</v>
      </c>
      <c r="Z259" s="77" t="e">
        <f>VLOOKUP(K259,'Component List'!S$2:T$30,2,FALSE)</f>
        <v>#N/A</v>
      </c>
      <c r="AA259" s="77" t="e">
        <f>VLOOKUP(L259,'Component List'!U$2:V$30,2,FALSE)</f>
        <v>#N/A</v>
      </c>
      <c r="AB259" s="77">
        <f>VLOOKUP(M259,'Component List'!AA$2:AB$30,2,FALSE)</f>
        <v>1</v>
      </c>
      <c r="AC259" s="77" t="str">
        <f>VLOOKUP(N259,'Component List'!Y$2:Z$30,2,FALSE)</f>
        <v>C</v>
      </c>
      <c r="AD259" s="159" t="e">
        <f>VLOOKUP(O259,'Component List'!W$3:X$30,2,FALSE)</f>
        <v>#N/A</v>
      </c>
    </row>
    <row r="260" spans="1:30" ht="30" customHeight="1" x14ac:dyDescent="0.3">
      <c r="A260" s="245"/>
      <c r="B260" s="169" t="s">
        <v>228</v>
      </c>
      <c r="C260" s="82" t="s">
        <v>21</v>
      </c>
      <c r="D260" s="80" t="s">
        <v>136</v>
      </c>
      <c r="E260" s="111" t="s">
        <v>170</v>
      </c>
      <c r="F260" s="100" t="s">
        <v>247</v>
      </c>
      <c r="G260" s="82" t="s">
        <v>183</v>
      </c>
      <c r="H260" s="82" t="s">
        <v>138</v>
      </c>
      <c r="I260" s="110" t="s">
        <v>198</v>
      </c>
      <c r="J260" s="110" t="s">
        <v>143</v>
      </c>
      <c r="K260" s="135" t="s">
        <v>366</v>
      </c>
      <c r="L260" s="135" t="s">
        <v>366</v>
      </c>
      <c r="M260" s="82">
        <v>2</v>
      </c>
      <c r="N260" s="82" t="s">
        <v>175</v>
      </c>
      <c r="O260" s="110" t="s">
        <v>367</v>
      </c>
      <c r="P260" s="123" t="e">
        <f t="shared" si="3"/>
        <v>#N/A</v>
      </c>
      <c r="Q260" s="119" t="str">
        <f>VLOOKUP($B260,'Component List'!$A$2:$B$30,2,FALSE)</f>
        <v>LD2</v>
      </c>
      <c r="R260" s="77" t="str">
        <f>VLOOKUP($C260,'Component List'!C$2:D$28,2,FALSE)</f>
        <v>C00</v>
      </c>
      <c r="S260" s="77" t="str">
        <f>VLOOKUP($D260,'Component List'!E$2:F$30,2,FALSE)</f>
        <v>D</v>
      </c>
      <c r="T260" s="77">
        <f>VLOOKUP($E260,'Component List'!G$2:H$30,2,FALSE)</f>
        <v>100</v>
      </c>
      <c r="U260" s="77">
        <f>VLOOKUP($F260,'Component List'!I$2:J$30,2,FALSE)</f>
        <v>108</v>
      </c>
      <c r="V260" s="77">
        <f>VLOOKUP(G260,'Component List'!K$2:L$30,2,FALSE)</f>
        <v>101</v>
      </c>
      <c r="W260" s="77">
        <f>VLOOKUP(H260,'Component List'!M$2:N$31,2,FALSE)</f>
        <v>100</v>
      </c>
      <c r="X260" s="77">
        <f>VLOOKUP(I260,'Component List'!O$2:P$30,2,FALSE)</f>
        <v>100</v>
      </c>
      <c r="Y260" s="77" t="str">
        <f>VLOOKUP(J260,'Component List'!Q$2:R$30,2,FALSE)</f>
        <v>000</v>
      </c>
      <c r="Z260" s="77" t="e">
        <f>VLOOKUP(K260,'Component List'!S$2:T$30,2,FALSE)</f>
        <v>#N/A</v>
      </c>
      <c r="AA260" s="77" t="e">
        <f>VLOOKUP(L260,'Component List'!U$2:V$30,2,FALSE)</f>
        <v>#N/A</v>
      </c>
      <c r="AB260" s="77">
        <f>VLOOKUP(M260,'Component List'!AA$2:AB$30,2,FALSE)</f>
        <v>2</v>
      </c>
      <c r="AC260" s="77" t="str">
        <f>VLOOKUP(N260,'Component List'!Y$2:Z$30,2,FALSE)</f>
        <v>P</v>
      </c>
      <c r="AD260" s="159" t="e">
        <f>VLOOKUP(O260,'Component List'!W$3:X$30,2,FALSE)</f>
        <v>#N/A</v>
      </c>
    </row>
    <row r="261" spans="1:30" ht="30" customHeight="1" x14ac:dyDescent="0.3">
      <c r="A261" s="245"/>
      <c r="B261" s="169" t="s">
        <v>228</v>
      </c>
      <c r="C261" s="82" t="s">
        <v>21</v>
      </c>
      <c r="D261" s="80" t="s">
        <v>136</v>
      </c>
      <c r="E261" s="111" t="s">
        <v>170</v>
      </c>
      <c r="F261" s="100" t="s">
        <v>247</v>
      </c>
      <c r="G261" s="82" t="s">
        <v>183</v>
      </c>
      <c r="H261" s="82" t="s">
        <v>138</v>
      </c>
      <c r="I261" s="110" t="s">
        <v>198</v>
      </c>
      <c r="J261" s="110" t="s">
        <v>143</v>
      </c>
      <c r="K261" s="135" t="s">
        <v>366</v>
      </c>
      <c r="L261" s="135" t="s">
        <v>366</v>
      </c>
      <c r="M261" s="82">
        <v>2</v>
      </c>
      <c r="N261" s="82" t="s">
        <v>187</v>
      </c>
      <c r="O261" s="110" t="s">
        <v>367</v>
      </c>
      <c r="P261" s="123" t="e">
        <f t="shared" si="3"/>
        <v>#N/A</v>
      </c>
      <c r="Q261" s="119" t="str">
        <f>VLOOKUP($B261,'Component List'!$A$2:$B$30,2,FALSE)</f>
        <v>LD2</v>
      </c>
      <c r="R261" s="77" t="str">
        <f>VLOOKUP($C261,'Component List'!C$2:D$28,2,FALSE)</f>
        <v>C00</v>
      </c>
      <c r="S261" s="77" t="str">
        <f>VLOOKUP($D261,'Component List'!E$2:F$30,2,FALSE)</f>
        <v>D</v>
      </c>
      <c r="T261" s="77">
        <f>VLOOKUP($E261,'Component List'!G$2:H$30,2,FALSE)</f>
        <v>100</v>
      </c>
      <c r="U261" s="77">
        <f>VLOOKUP($F261,'Component List'!I$2:J$30,2,FALSE)</f>
        <v>108</v>
      </c>
      <c r="V261" s="77">
        <f>VLOOKUP(G261,'Component List'!K$2:L$30,2,FALSE)</f>
        <v>101</v>
      </c>
      <c r="W261" s="77">
        <f>VLOOKUP(H261,'Component List'!M$2:N$31,2,FALSE)</f>
        <v>100</v>
      </c>
      <c r="X261" s="77">
        <f>VLOOKUP(I261,'Component List'!O$2:P$30,2,FALSE)</f>
        <v>100</v>
      </c>
      <c r="Y261" s="77" t="str">
        <f>VLOOKUP(J261,'Component List'!Q$2:R$30,2,FALSE)</f>
        <v>000</v>
      </c>
      <c r="Z261" s="77" t="e">
        <f>VLOOKUP(K261,'Component List'!S$2:T$30,2,FALSE)</f>
        <v>#N/A</v>
      </c>
      <c r="AA261" s="77" t="e">
        <f>VLOOKUP(L261,'Component List'!U$2:V$30,2,FALSE)</f>
        <v>#N/A</v>
      </c>
      <c r="AB261" s="77">
        <f>VLOOKUP(M261,'Component List'!AA$2:AB$30,2,FALSE)</f>
        <v>2</v>
      </c>
      <c r="AC261" s="77" t="str">
        <f>VLOOKUP(N261,'Component List'!Y$2:Z$30,2,FALSE)</f>
        <v>C</v>
      </c>
      <c r="AD261" s="159" t="e">
        <f>VLOOKUP(O261,'Component List'!W$3:X$30,2,FALSE)</f>
        <v>#N/A</v>
      </c>
    </row>
    <row r="262" spans="1:30" ht="30" customHeight="1" x14ac:dyDescent="0.3">
      <c r="A262" s="245"/>
      <c r="B262" s="169" t="s">
        <v>228</v>
      </c>
      <c r="C262" s="82" t="s">
        <v>21</v>
      </c>
      <c r="D262" s="80" t="s">
        <v>136</v>
      </c>
      <c r="E262" s="111" t="s">
        <v>170</v>
      </c>
      <c r="F262" s="100" t="s">
        <v>247</v>
      </c>
      <c r="G262" s="82" t="s">
        <v>183</v>
      </c>
      <c r="H262" s="82" t="s">
        <v>138</v>
      </c>
      <c r="I262" s="110" t="s">
        <v>198</v>
      </c>
      <c r="J262" s="110" t="s">
        <v>143</v>
      </c>
      <c r="K262" s="135" t="s">
        <v>366</v>
      </c>
      <c r="L262" s="135" t="s">
        <v>366</v>
      </c>
      <c r="M262" s="82">
        <v>3</v>
      </c>
      <c r="N262" s="82" t="s">
        <v>175</v>
      </c>
      <c r="O262" s="110" t="s">
        <v>367</v>
      </c>
      <c r="P262" s="123" t="e">
        <f t="shared" si="3"/>
        <v>#N/A</v>
      </c>
      <c r="Q262" s="119" t="str">
        <f>VLOOKUP($B262,'Component List'!$A$2:$B$30,2,FALSE)</f>
        <v>LD2</v>
      </c>
      <c r="R262" s="77" t="str">
        <f>VLOOKUP($C262,'Component List'!C$2:D$28,2,FALSE)</f>
        <v>C00</v>
      </c>
      <c r="S262" s="77" t="str">
        <f>VLOOKUP($D262,'Component List'!E$2:F$30,2,FALSE)</f>
        <v>D</v>
      </c>
      <c r="T262" s="77">
        <f>VLOOKUP($E262,'Component List'!G$2:H$30,2,FALSE)</f>
        <v>100</v>
      </c>
      <c r="U262" s="77">
        <f>VLOOKUP($F262,'Component List'!I$2:J$30,2,FALSE)</f>
        <v>108</v>
      </c>
      <c r="V262" s="77">
        <f>VLOOKUP(G262,'Component List'!K$2:L$30,2,FALSE)</f>
        <v>101</v>
      </c>
      <c r="W262" s="77">
        <f>VLOOKUP(H262,'Component List'!M$2:N$31,2,FALSE)</f>
        <v>100</v>
      </c>
      <c r="X262" s="77">
        <f>VLOOKUP(I262,'Component List'!O$2:P$30,2,FALSE)</f>
        <v>100</v>
      </c>
      <c r="Y262" s="77" t="str">
        <f>VLOOKUP(J262,'Component List'!Q$2:R$30,2,FALSE)</f>
        <v>000</v>
      </c>
      <c r="Z262" s="77" t="e">
        <f>VLOOKUP(K262,'Component List'!S$2:T$30,2,FALSE)</f>
        <v>#N/A</v>
      </c>
      <c r="AA262" s="77" t="e">
        <f>VLOOKUP(L262,'Component List'!U$2:V$30,2,FALSE)</f>
        <v>#N/A</v>
      </c>
      <c r="AB262" s="77">
        <f>VLOOKUP(M262,'Component List'!AA$2:AB$30,2,FALSE)</f>
        <v>3</v>
      </c>
      <c r="AC262" s="77" t="str">
        <f>VLOOKUP(N262,'Component List'!Y$2:Z$30,2,FALSE)</f>
        <v>P</v>
      </c>
      <c r="AD262" s="159" t="e">
        <f>VLOOKUP(O262,'Component List'!W$3:X$30,2,FALSE)</f>
        <v>#N/A</v>
      </c>
    </row>
    <row r="263" spans="1:30" ht="30" customHeight="1" x14ac:dyDescent="0.3">
      <c r="A263" s="245"/>
      <c r="B263" s="169" t="s">
        <v>228</v>
      </c>
      <c r="C263" s="82" t="s">
        <v>21</v>
      </c>
      <c r="D263" s="80" t="s">
        <v>136</v>
      </c>
      <c r="E263" s="111" t="s">
        <v>170</v>
      </c>
      <c r="F263" s="100" t="s">
        <v>247</v>
      </c>
      <c r="G263" s="82" t="s">
        <v>183</v>
      </c>
      <c r="H263" s="82" t="s">
        <v>138</v>
      </c>
      <c r="I263" s="110" t="s">
        <v>198</v>
      </c>
      <c r="J263" s="110" t="s">
        <v>143</v>
      </c>
      <c r="K263" s="135" t="s">
        <v>366</v>
      </c>
      <c r="L263" s="135" t="s">
        <v>366</v>
      </c>
      <c r="M263" s="82">
        <v>3</v>
      </c>
      <c r="N263" s="82" t="s">
        <v>187</v>
      </c>
      <c r="O263" s="110" t="s">
        <v>367</v>
      </c>
      <c r="P263" s="123" t="e">
        <f t="shared" si="3"/>
        <v>#N/A</v>
      </c>
      <c r="Q263" s="119" t="str">
        <f>VLOOKUP($B263,'Component List'!$A$2:$B$30,2,FALSE)</f>
        <v>LD2</v>
      </c>
      <c r="R263" s="77" t="str">
        <f>VLOOKUP($C263,'Component List'!C$2:D$28,2,FALSE)</f>
        <v>C00</v>
      </c>
      <c r="S263" s="77" t="str">
        <f>VLOOKUP($D263,'Component List'!E$2:F$30,2,FALSE)</f>
        <v>D</v>
      </c>
      <c r="T263" s="77">
        <f>VLOOKUP($E263,'Component List'!G$2:H$30,2,FALSE)</f>
        <v>100</v>
      </c>
      <c r="U263" s="77">
        <f>VLOOKUP($F263,'Component List'!I$2:J$30,2,FALSE)</f>
        <v>108</v>
      </c>
      <c r="V263" s="77">
        <f>VLOOKUP(G263,'Component List'!K$2:L$30,2,FALSE)</f>
        <v>101</v>
      </c>
      <c r="W263" s="77">
        <f>VLOOKUP(H263,'Component List'!M$2:N$31,2,FALSE)</f>
        <v>100</v>
      </c>
      <c r="X263" s="77">
        <f>VLOOKUP(I263,'Component List'!O$2:P$30,2,FALSE)</f>
        <v>100</v>
      </c>
      <c r="Y263" s="77" t="str">
        <f>VLOOKUP(J263,'Component List'!Q$2:R$30,2,FALSE)</f>
        <v>000</v>
      </c>
      <c r="Z263" s="77" t="e">
        <f>VLOOKUP(K263,'Component List'!S$2:T$30,2,FALSE)</f>
        <v>#N/A</v>
      </c>
      <c r="AA263" s="77" t="e">
        <f>VLOOKUP(L263,'Component List'!U$2:V$30,2,FALSE)</f>
        <v>#N/A</v>
      </c>
      <c r="AB263" s="77">
        <f>VLOOKUP(M263,'Component List'!AA$2:AB$30,2,FALSE)</f>
        <v>3</v>
      </c>
      <c r="AC263" s="77" t="str">
        <f>VLOOKUP(N263,'Component List'!Y$2:Z$30,2,FALSE)</f>
        <v>C</v>
      </c>
      <c r="AD263" s="159" t="e">
        <f>VLOOKUP(O263,'Component List'!W$3:X$30,2,FALSE)</f>
        <v>#N/A</v>
      </c>
    </row>
    <row r="264" spans="1:30" ht="30" customHeight="1" x14ac:dyDescent="0.3">
      <c r="A264" s="245"/>
      <c r="B264" s="169" t="s">
        <v>235</v>
      </c>
      <c r="C264" s="100" t="s">
        <v>21</v>
      </c>
      <c r="D264" s="100" t="s">
        <v>136</v>
      </c>
      <c r="E264" s="111" t="s">
        <v>170</v>
      </c>
      <c r="F264" s="100" t="s">
        <v>254</v>
      </c>
      <c r="G264" s="100" t="s">
        <v>183</v>
      </c>
      <c r="H264" s="100" t="s">
        <v>184</v>
      </c>
      <c r="I264" s="118" t="s">
        <v>198</v>
      </c>
      <c r="J264" s="118" t="s">
        <v>143</v>
      </c>
      <c r="K264" s="140" t="s">
        <v>366</v>
      </c>
      <c r="L264" s="140" t="s">
        <v>366</v>
      </c>
      <c r="M264" s="100">
        <v>1</v>
      </c>
      <c r="N264" s="100" t="s">
        <v>175</v>
      </c>
      <c r="O264" s="118" t="s">
        <v>367</v>
      </c>
      <c r="P264" s="123" t="e">
        <f t="shared" si="3"/>
        <v>#N/A</v>
      </c>
      <c r="Q264" s="119" t="str">
        <f>VLOOKUP($B264,'Component List'!$A$2:$B$30,2,FALSE)</f>
        <v>LD3</v>
      </c>
      <c r="R264" s="77" t="str">
        <f>VLOOKUP($C264,'Component List'!C$2:D$28,2,FALSE)</f>
        <v>C00</v>
      </c>
      <c r="S264" s="77" t="str">
        <f>VLOOKUP($D264,'Component List'!E$2:F$30,2,FALSE)</f>
        <v>D</v>
      </c>
      <c r="T264" s="77">
        <f>VLOOKUP($E264,'Component List'!G$2:H$30,2,FALSE)</f>
        <v>100</v>
      </c>
      <c r="U264" s="77">
        <f>VLOOKUP($F264,'Component List'!I$2:J$30,2,FALSE)</f>
        <v>109</v>
      </c>
      <c r="V264" s="77">
        <f>VLOOKUP(G264,'Component List'!K$2:L$30,2,FALSE)</f>
        <v>101</v>
      </c>
      <c r="W264" s="77">
        <f>VLOOKUP(H264,'Component List'!M$2:N$31,2,FALSE)</f>
        <v>101</v>
      </c>
      <c r="X264" s="77">
        <f>VLOOKUP(I264,'Component List'!O$2:P$30,2,FALSE)</f>
        <v>100</v>
      </c>
      <c r="Y264" s="77" t="str">
        <f>VLOOKUP(J264,'Component List'!Q$2:R$30,2,FALSE)</f>
        <v>000</v>
      </c>
      <c r="Z264" s="77" t="e">
        <f>VLOOKUP(K264,'Component List'!S$2:T$30,2,FALSE)</f>
        <v>#N/A</v>
      </c>
      <c r="AA264" s="77" t="e">
        <f>VLOOKUP(L264,'Component List'!U$2:V$30,2,FALSE)</f>
        <v>#N/A</v>
      </c>
      <c r="AB264" s="77">
        <f>VLOOKUP(M264,'Component List'!AA$2:AB$30,2,FALSE)</f>
        <v>1</v>
      </c>
      <c r="AC264" s="77" t="str">
        <f>VLOOKUP(N264,'Component List'!Y$2:Z$30,2,FALSE)</f>
        <v>P</v>
      </c>
      <c r="AD264" s="159" t="e">
        <f>VLOOKUP(O264,'Component List'!W$3:X$30,2,FALSE)</f>
        <v>#N/A</v>
      </c>
    </row>
    <row r="265" spans="1:30" ht="30" customHeight="1" x14ac:dyDescent="0.3">
      <c r="A265" s="245"/>
      <c r="B265" s="101" t="s">
        <v>235</v>
      </c>
      <c r="C265" s="82" t="s">
        <v>21</v>
      </c>
      <c r="D265" s="82" t="s">
        <v>136</v>
      </c>
      <c r="E265" s="102" t="s">
        <v>170</v>
      </c>
      <c r="F265" s="82" t="s">
        <v>254</v>
      </c>
      <c r="G265" s="82" t="s">
        <v>183</v>
      </c>
      <c r="H265" s="82" t="s">
        <v>184</v>
      </c>
      <c r="I265" s="110" t="s">
        <v>198</v>
      </c>
      <c r="J265" s="110" t="s">
        <v>143</v>
      </c>
      <c r="K265" s="135" t="s">
        <v>366</v>
      </c>
      <c r="L265" s="135" t="s">
        <v>366</v>
      </c>
      <c r="M265" s="82">
        <v>1</v>
      </c>
      <c r="N265" s="82" t="s">
        <v>187</v>
      </c>
      <c r="O265" s="110" t="s">
        <v>367</v>
      </c>
      <c r="P265" s="123" t="e">
        <f t="shared" si="3"/>
        <v>#N/A</v>
      </c>
      <c r="Q265" s="119" t="str">
        <f>VLOOKUP($B265,'Component List'!$A$2:$B$30,2,FALSE)</f>
        <v>LD3</v>
      </c>
      <c r="R265" s="77" t="str">
        <f>VLOOKUP($C265,'Component List'!C$2:D$28,2,FALSE)</f>
        <v>C00</v>
      </c>
      <c r="S265" s="77" t="str">
        <f>VLOOKUP($D265,'Component List'!E$2:F$30,2,FALSE)</f>
        <v>D</v>
      </c>
      <c r="T265" s="77">
        <f>VLOOKUP($E265,'Component List'!G$2:H$30,2,FALSE)</f>
        <v>100</v>
      </c>
      <c r="U265" s="77">
        <f>VLOOKUP($F265,'Component List'!I$2:J$30,2,FALSE)</f>
        <v>109</v>
      </c>
      <c r="V265" s="77">
        <f>VLOOKUP(G265,'Component List'!K$2:L$30,2,FALSE)</f>
        <v>101</v>
      </c>
      <c r="W265" s="77">
        <f>VLOOKUP(H265,'Component List'!M$2:N$31,2,FALSE)</f>
        <v>101</v>
      </c>
      <c r="X265" s="77">
        <f>VLOOKUP(I265,'Component List'!O$2:P$30,2,FALSE)</f>
        <v>100</v>
      </c>
      <c r="Y265" s="77" t="str">
        <f>VLOOKUP(J265,'Component List'!Q$2:R$30,2,FALSE)</f>
        <v>000</v>
      </c>
      <c r="Z265" s="77" t="e">
        <f>VLOOKUP(K265,'Component List'!S$2:T$30,2,FALSE)</f>
        <v>#N/A</v>
      </c>
      <c r="AA265" s="77" t="e">
        <f>VLOOKUP(L265,'Component List'!U$2:V$30,2,FALSE)</f>
        <v>#N/A</v>
      </c>
      <c r="AB265" s="77">
        <f>VLOOKUP(M265,'Component List'!AA$2:AB$30,2,FALSE)</f>
        <v>1</v>
      </c>
      <c r="AC265" s="77" t="str">
        <f>VLOOKUP(N265,'Component List'!Y$2:Z$30,2,FALSE)</f>
        <v>C</v>
      </c>
      <c r="AD265" s="159" t="e">
        <f>VLOOKUP(O265,'Component List'!W$3:X$30,2,FALSE)</f>
        <v>#N/A</v>
      </c>
    </row>
    <row r="266" spans="1:30" ht="30" customHeight="1" x14ac:dyDescent="0.3">
      <c r="A266" s="245"/>
      <c r="B266" s="169" t="s">
        <v>235</v>
      </c>
      <c r="C266" s="82" t="s">
        <v>21</v>
      </c>
      <c r="D266" s="82" t="s">
        <v>136</v>
      </c>
      <c r="E266" s="102" t="s">
        <v>170</v>
      </c>
      <c r="F266" s="82" t="s">
        <v>254</v>
      </c>
      <c r="G266" s="82" t="s">
        <v>183</v>
      </c>
      <c r="H266" s="82" t="s">
        <v>184</v>
      </c>
      <c r="I266" s="110" t="s">
        <v>198</v>
      </c>
      <c r="J266" s="110" t="s">
        <v>143</v>
      </c>
      <c r="K266" s="135" t="s">
        <v>366</v>
      </c>
      <c r="L266" s="135" t="s">
        <v>366</v>
      </c>
      <c r="M266" s="82">
        <v>2</v>
      </c>
      <c r="N266" s="82" t="s">
        <v>175</v>
      </c>
      <c r="O266" s="110" t="s">
        <v>367</v>
      </c>
      <c r="P266" s="123" t="e">
        <f t="shared" si="3"/>
        <v>#N/A</v>
      </c>
      <c r="Q266" s="119" t="str">
        <f>VLOOKUP($B266,'Component List'!$A$2:$B$30,2,FALSE)</f>
        <v>LD3</v>
      </c>
      <c r="R266" s="77" t="str">
        <f>VLOOKUP($C266,'Component List'!C$2:D$28,2,FALSE)</f>
        <v>C00</v>
      </c>
      <c r="S266" s="77" t="str">
        <f>VLOOKUP($D266,'Component List'!E$2:F$30,2,FALSE)</f>
        <v>D</v>
      </c>
      <c r="T266" s="77">
        <f>VLOOKUP($E266,'Component List'!G$2:H$30,2,FALSE)</f>
        <v>100</v>
      </c>
      <c r="U266" s="77">
        <f>VLOOKUP($F266,'Component List'!I$2:J$30,2,FALSE)</f>
        <v>109</v>
      </c>
      <c r="V266" s="77">
        <f>VLOOKUP(G266,'Component List'!K$2:L$30,2,FALSE)</f>
        <v>101</v>
      </c>
      <c r="W266" s="77">
        <f>VLOOKUP(H266,'Component List'!M$2:N$31,2,FALSE)</f>
        <v>101</v>
      </c>
      <c r="X266" s="77">
        <f>VLOOKUP(I266,'Component List'!O$2:P$30,2,FALSE)</f>
        <v>100</v>
      </c>
      <c r="Y266" s="77" t="str">
        <f>VLOOKUP(J266,'Component List'!Q$2:R$30,2,FALSE)</f>
        <v>000</v>
      </c>
      <c r="Z266" s="77" t="e">
        <f>VLOOKUP(K266,'Component List'!S$2:T$30,2,FALSE)</f>
        <v>#N/A</v>
      </c>
      <c r="AA266" s="77" t="e">
        <f>VLOOKUP(L266,'Component List'!U$2:V$30,2,FALSE)</f>
        <v>#N/A</v>
      </c>
      <c r="AB266" s="77">
        <f>VLOOKUP(M266,'Component List'!AA$2:AB$30,2,FALSE)</f>
        <v>2</v>
      </c>
      <c r="AC266" s="77" t="str">
        <f>VLOOKUP(N266,'Component List'!Y$2:Z$30,2,FALSE)</f>
        <v>P</v>
      </c>
      <c r="AD266" s="159" t="e">
        <f>VLOOKUP(O266,'Component List'!W$3:X$30,2,FALSE)</f>
        <v>#N/A</v>
      </c>
    </row>
    <row r="267" spans="1:30" ht="30" customHeight="1" x14ac:dyDescent="0.3">
      <c r="A267" s="245"/>
      <c r="B267" s="101" t="s">
        <v>235</v>
      </c>
      <c r="C267" s="82" t="s">
        <v>21</v>
      </c>
      <c r="D267" s="82" t="s">
        <v>136</v>
      </c>
      <c r="E267" s="102" t="s">
        <v>170</v>
      </c>
      <c r="F267" s="82" t="s">
        <v>254</v>
      </c>
      <c r="G267" s="82" t="s">
        <v>183</v>
      </c>
      <c r="H267" s="82" t="s">
        <v>184</v>
      </c>
      <c r="I267" s="110" t="s">
        <v>198</v>
      </c>
      <c r="J267" s="110" t="s">
        <v>143</v>
      </c>
      <c r="K267" s="135" t="s">
        <v>366</v>
      </c>
      <c r="L267" s="135" t="s">
        <v>366</v>
      </c>
      <c r="M267" s="82">
        <v>2</v>
      </c>
      <c r="N267" s="82" t="s">
        <v>187</v>
      </c>
      <c r="O267" s="110" t="s">
        <v>367</v>
      </c>
      <c r="P267" s="123" t="e">
        <f t="shared" si="3"/>
        <v>#N/A</v>
      </c>
      <c r="Q267" s="119" t="str">
        <f>VLOOKUP($B267,'Component List'!$A$2:$B$30,2,FALSE)</f>
        <v>LD3</v>
      </c>
      <c r="R267" s="77" t="str">
        <f>VLOOKUP($C267,'Component List'!C$2:D$28,2,FALSE)</f>
        <v>C00</v>
      </c>
      <c r="S267" s="77" t="str">
        <f>VLOOKUP($D267,'Component List'!E$2:F$30,2,FALSE)</f>
        <v>D</v>
      </c>
      <c r="T267" s="77">
        <f>VLOOKUP($E267,'Component List'!G$2:H$30,2,FALSE)</f>
        <v>100</v>
      </c>
      <c r="U267" s="77">
        <f>VLOOKUP($F267,'Component List'!I$2:J$30,2,FALSE)</f>
        <v>109</v>
      </c>
      <c r="V267" s="77">
        <f>VLOOKUP(G267,'Component List'!K$2:L$30,2,FALSE)</f>
        <v>101</v>
      </c>
      <c r="W267" s="77">
        <f>VLOOKUP(H267,'Component List'!M$2:N$31,2,FALSE)</f>
        <v>101</v>
      </c>
      <c r="X267" s="77">
        <f>VLOOKUP(I267,'Component List'!O$2:P$30,2,FALSE)</f>
        <v>100</v>
      </c>
      <c r="Y267" s="77" t="str">
        <f>VLOOKUP(J267,'Component List'!Q$2:R$30,2,FALSE)</f>
        <v>000</v>
      </c>
      <c r="Z267" s="77" t="e">
        <f>VLOOKUP(K267,'Component List'!S$2:T$30,2,FALSE)</f>
        <v>#N/A</v>
      </c>
      <c r="AA267" s="77" t="e">
        <f>VLOOKUP(L267,'Component List'!U$2:V$30,2,FALSE)</f>
        <v>#N/A</v>
      </c>
      <c r="AB267" s="77">
        <f>VLOOKUP(M267,'Component List'!AA$2:AB$30,2,FALSE)</f>
        <v>2</v>
      </c>
      <c r="AC267" s="77" t="str">
        <f>VLOOKUP(N267,'Component List'!Y$2:Z$30,2,FALSE)</f>
        <v>C</v>
      </c>
      <c r="AD267" s="159" t="e">
        <f>VLOOKUP(O267,'Component List'!W$3:X$30,2,FALSE)</f>
        <v>#N/A</v>
      </c>
    </row>
    <row r="268" spans="1:30" ht="30" customHeight="1" x14ac:dyDescent="0.3">
      <c r="A268" s="245"/>
      <c r="B268" s="169" t="s">
        <v>235</v>
      </c>
      <c r="C268" s="82" t="s">
        <v>21</v>
      </c>
      <c r="D268" s="82" t="s">
        <v>136</v>
      </c>
      <c r="E268" s="102" t="s">
        <v>170</v>
      </c>
      <c r="F268" s="82" t="s">
        <v>254</v>
      </c>
      <c r="G268" s="82" t="s">
        <v>183</v>
      </c>
      <c r="H268" s="82" t="s">
        <v>184</v>
      </c>
      <c r="I268" s="110" t="s">
        <v>198</v>
      </c>
      <c r="J268" s="110" t="s">
        <v>143</v>
      </c>
      <c r="K268" s="135" t="s">
        <v>366</v>
      </c>
      <c r="L268" s="135" t="s">
        <v>366</v>
      </c>
      <c r="M268" s="82">
        <v>3</v>
      </c>
      <c r="N268" s="82" t="s">
        <v>175</v>
      </c>
      <c r="O268" s="110" t="s">
        <v>367</v>
      </c>
      <c r="P268" s="123" t="e">
        <f t="shared" si="3"/>
        <v>#N/A</v>
      </c>
      <c r="Q268" s="119" t="str">
        <f>VLOOKUP($B268,'Component List'!$A$2:$B$30,2,FALSE)</f>
        <v>LD3</v>
      </c>
      <c r="R268" s="77" t="str">
        <f>VLOOKUP($C268,'Component List'!C$2:D$28,2,FALSE)</f>
        <v>C00</v>
      </c>
      <c r="S268" s="77" t="str">
        <f>VLOOKUP($D268,'Component List'!E$2:F$30,2,FALSE)</f>
        <v>D</v>
      </c>
      <c r="T268" s="77">
        <f>VLOOKUP($E268,'Component List'!G$2:H$30,2,FALSE)</f>
        <v>100</v>
      </c>
      <c r="U268" s="77">
        <f>VLOOKUP($F268,'Component List'!I$2:J$30,2,FALSE)</f>
        <v>109</v>
      </c>
      <c r="V268" s="77">
        <f>VLOOKUP(G268,'Component List'!K$2:L$30,2,FALSE)</f>
        <v>101</v>
      </c>
      <c r="W268" s="77">
        <f>VLOOKUP(H268,'Component List'!M$2:N$31,2,FALSE)</f>
        <v>101</v>
      </c>
      <c r="X268" s="77">
        <f>VLOOKUP(I268,'Component List'!O$2:P$30,2,FALSE)</f>
        <v>100</v>
      </c>
      <c r="Y268" s="77" t="str">
        <f>VLOOKUP(J268,'Component List'!Q$2:R$30,2,FALSE)</f>
        <v>000</v>
      </c>
      <c r="Z268" s="77" t="e">
        <f>VLOOKUP(K268,'Component List'!S$2:T$30,2,FALSE)</f>
        <v>#N/A</v>
      </c>
      <c r="AA268" s="77" t="e">
        <f>VLOOKUP(L268,'Component List'!U$2:V$30,2,FALSE)</f>
        <v>#N/A</v>
      </c>
      <c r="AB268" s="77">
        <f>VLOOKUP(M268,'Component List'!AA$2:AB$30,2,FALSE)</f>
        <v>3</v>
      </c>
      <c r="AC268" s="77" t="str">
        <f>VLOOKUP(N268,'Component List'!Y$2:Z$30,2,FALSE)</f>
        <v>P</v>
      </c>
      <c r="AD268" s="159" t="e">
        <f>VLOOKUP(O268,'Component List'!W$3:X$30,2,FALSE)</f>
        <v>#N/A</v>
      </c>
    </row>
    <row r="269" spans="1:30" ht="30" customHeight="1" x14ac:dyDescent="0.3">
      <c r="A269" s="245"/>
      <c r="B269" s="101" t="s">
        <v>235</v>
      </c>
      <c r="C269" s="82" t="s">
        <v>21</v>
      </c>
      <c r="D269" s="82" t="s">
        <v>136</v>
      </c>
      <c r="E269" s="102" t="s">
        <v>170</v>
      </c>
      <c r="F269" s="82" t="s">
        <v>254</v>
      </c>
      <c r="G269" s="82" t="s">
        <v>183</v>
      </c>
      <c r="H269" s="82" t="s">
        <v>184</v>
      </c>
      <c r="I269" s="110" t="s">
        <v>198</v>
      </c>
      <c r="J269" s="110" t="s">
        <v>143</v>
      </c>
      <c r="K269" s="135" t="s">
        <v>366</v>
      </c>
      <c r="L269" s="135" t="s">
        <v>366</v>
      </c>
      <c r="M269" s="82">
        <v>3</v>
      </c>
      <c r="N269" s="82" t="s">
        <v>187</v>
      </c>
      <c r="O269" s="110" t="s">
        <v>367</v>
      </c>
      <c r="P269" s="123" t="e">
        <f t="shared" si="3"/>
        <v>#N/A</v>
      </c>
      <c r="Q269" s="119" t="str">
        <f>VLOOKUP($B269,'Component List'!$A$2:$B$30,2,FALSE)</f>
        <v>LD3</v>
      </c>
      <c r="R269" s="77" t="str">
        <f>VLOOKUP($C269,'Component List'!C$2:D$28,2,FALSE)</f>
        <v>C00</v>
      </c>
      <c r="S269" s="77" t="str">
        <f>VLOOKUP($D269,'Component List'!E$2:F$30,2,FALSE)</f>
        <v>D</v>
      </c>
      <c r="T269" s="77">
        <f>VLOOKUP($E269,'Component List'!G$2:H$30,2,FALSE)</f>
        <v>100</v>
      </c>
      <c r="U269" s="77">
        <f>VLOOKUP($F269,'Component List'!I$2:J$30,2,FALSE)</f>
        <v>109</v>
      </c>
      <c r="V269" s="77">
        <f>VLOOKUP(G269,'Component List'!K$2:L$30,2,FALSE)</f>
        <v>101</v>
      </c>
      <c r="W269" s="77">
        <f>VLOOKUP(H269,'Component List'!M$2:N$31,2,FALSE)</f>
        <v>101</v>
      </c>
      <c r="X269" s="77">
        <f>VLOOKUP(I269,'Component List'!O$2:P$30,2,FALSE)</f>
        <v>100</v>
      </c>
      <c r="Y269" s="77" t="str">
        <f>VLOOKUP(J269,'Component List'!Q$2:R$30,2,FALSE)</f>
        <v>000</v>
      </c>
      <c r="Z269" s="77" t="e">
        <f>VLOOKUP(K269,'Component List'!S$2:T$30,2,FALSE)</f>
        <v>#N/A</v>
      </c>
      <c r="AA269" s="77" t="e">
        <f>VLOOKUP(L269,'Component List'!U$2:V$30,2,FALSE)</f>
        <v>#N/A</v>
      </c>
      <c r="AB269" s="77">
        <f>VLOOKUP(M269,'Component List'!AA$2:AB$30,2,FALSE)</f>
        <v>3</v>
      </c>
      <c r="AC269" s="77" t="str">
        <f>VLOOKUP(N269,'Component List'!Y$2:Z$30,2,FALSE)</f>
        <v>C</v>
      </c>
      <c r="AD269" s="159" t="e">
        <f>VLOOKUP(O269,'Component List'!W$3:X$30,2,FALSE)</f>
        <v>#N/A</v>
      </c>
    </row>
    <row r="270" spans="1:30" ht="30" customHeight="1" x14ac:dyDescent="0.3">
      <c r="A270" s="245"/>
      <c r="B270" s="169" t="s">
        <v>235</v>
      </c>
      <c r="C270" s="100" t="s">
        <v>21</v>
      </c>
      <c r="D270" s="112" t="s">
        <v>136</v>
      </c>
      <c r="E270" s="111" t="s">
        <v>170</v>
      </c>
      <c r="F270" s="100" t="s">
        <v>247</v>
      </c>
      <c r="G270" s="82" t="s">
        <v>183</v>
      </c>
      <c r="H270" s="82" t="s">
        <v>138</v>
      </c>
      <c r="I270" s="110" t="s">
        <v>198</v>
      </c>
      <c r="J270" s="110" t="s">
        <v>143</v>
      </c>
      <c r="K270" s="135" t="s">
        <v>366</v>
      </c>
      <c r="L270" s="135" t="s">
        <v>366</v>
      </c>
      <c r="M270" s="82">
        <v>1</v>
      </c>
      <c r="N270" s="82" t="s">
        <v>175</v>
      </c>
      <c r="O270" s="110" t="s">
        <v>367</v>
      </c>
      <c r="P270" s="123" t="e">
        <f t="shared" si="3"/>
        <v>#N/A</v>
      </c>
      <c r="Q270" s="119" t="str">
        <f>VLOOKUP($B270,'Component List'!$A$2:$B$30,2,FALSE)</f>
        <v>LD3</v>
      </c>
      <c r="R270" s="77" t="str">
        <f>VLOOKUP($C270,'Component List'!C$2:D$28,2,FALSE)</f>
        <v>C00</v>
      </c>
      <c r="S270" s="77" t="str">
        <f>VLOOKUP($D270,'Component List'!E$2:F$30,2,FALSE)</f>
        <v>D</v>
      </c>
      <c r="T270" s="77">
        <f>VLOOKUP($E270,'Component List'!G$2:H$30,2,FALSE)</f>
        <v>100</v>
      </c>
      <c r="U270" s="77">
        <f>VLOOKUP($F270,'Component List'!I$2:J$30,2,FALSE)</f>
        <v>108</v>
      </c>
      <c r="V270" s="77">
        <f>VLOOKUP(G270,'Component List'!K$2:L$30,2,FALSE)</f>
        <v>101</v>
      </c>
      <c r="W270" s="77">
        <f>VLOOKUP(H270,'Component List'!M$2:N$31,2,FALSE)</f>
        <v>100</v>
      </c>
      <c r="X270" s="77">
        <f>VLOOKUP(I270,'Component List'!O$2:P$30,2,FALSE)</f>
        <v>100</v>
      </c>
      <c r="Y270" s="77" t="str">
        <f>VLOOKUP(J270,'Component List'!Q$2:R$30,2,FALSE)</f>
        <v>000</v>
      </c>
      <c r="Z270" s="77" t="e">
        <f>VLOOKUP(K270,'Component List'!S$2:T$30,2,FALSE)</f>
        <v>#N/A</v>
      </c>
      <c r="AA270" s="77" t="e">
        <f>VLOOKUP(L270,'Component List'!U$2:V$30,2,FALSE)</f>
        <v>#N/A</v>
      </c>
      <c r="AB270" s="77">
        <f>VLOOKUP(M270,'Component List'!AA$2:AB$30,2,FALSE)</f>
        <v>1</v>
      </c>
      <c r="AC270" s="77" t="str">
        <f>VLOOKUP(N270,'Component List'!Y$2:Z$30,2,FALSE)</f>
        <v>P</v>
      </c>
      <c r="AD270" s="159" t="e">
        <f>VLOOKUP(O270,'Component List'!W$3:X$30,2,FALSE)</f>
        <v>#N/A</v>
      </c>
    </row>
    <row r="271" spans="1:30" ht="30" customHeight="1" x14ac:dyDescent="0.3">
      <c r="A271" s="245"/>
      <c r="B271" s="101" t="s">
        <v>235</v>
      </c>
      <c r="C271" s="82" t="s">
        <v>21</v>
      </c>
      <c r="D271" s="80" t="s">
        <v>136</v>
      </c>
      <c r="E271" s="111" t="s">
        <v>170</v>
      </c>
      <c r="F271" s="100" t="s">
        <v>247</v>
      </c>
      <c r="G271" s="82" t="s">
        <v>183</v>
      </c>
      <c r="H271" s="82" t="s">
        <v>138</v>
      </c>
      <c r="I271" s="110" t="s">
        <v>198</v>
      </c>
      <c r="J271" s="110" t="s">
        <v>143</v>
      </c>
      <c r="K271" s="135" t="s">
        <v>366</v>
      </c>
      <c r="L271" s="135" t="s">
        <v>366</v>
      </c>
      <c r="M271" s="82">
        <v>1</v>
      </c>
      <c r="N271" s="82" t="s">
        <v>187</v>
      </c>
      <c r="O271" s="110" t="s">
        <v>367</v>
      </c>
      <c r="P271" s="123" t="e">
        <f t="shared" si="3"/>
        <v>#N/A</v>
      </c>
      <c r="Q271" s="119" t="str">
        <f>VLOOKUP($B271,'Component List'!$A$2:$B$30,2,FALSE)</f>
        <v>LD3</v>
      </c>
      <c r="R271" s="77" t="str">
        <f>VLOOKUP($C271,'Component List'!C$2:D$28,2,FALSE)</f>
        <v>C00</v>
      </c>
      <c r="S271" s="77" t="str">
        <f>VLOOKUP($D271,'Component List'!E$2:F$30,2,FALSE)</f>
        <v>D</v>
      </c>
      <c r="T271" s="77">
        <f>VLOOKUP($E271,'Component List'!G$2:H$30,2,FALSE)</f>
        <v>100</v>
      </c>
      <c r="U271" s="77">
        <f>VLOOKUP($F271,'Component List'!I$2:J$30,2,FALSE)</f>
        <v>108</v>
      </c>
      <c r="V271" s="77">
        <f>VLOOKUP(G271,'Component List'!K$2:L$30,2,FALSE)</f>
        <v>101</v>
      </c>
      <c r="W271" s="77">
        <f>VLOOKUP(H271,'Component List'!M$2:N$31,2,FALSE)</f>
        <v>100</v>
      </c>
      <c r="X271" s="77">
        <f>VLOOKUP(I271,'Component List'!O$2:P$30,2,FALSE)</f>
        <v>100</v>
      </c>
      <c r="Y271" s="77" t="str">
        <f>VLOOKUP(J271,'Component List'!Q$2:R$30,2,FALSE)</f>
        <v>000</v>
      </c>
      <c r="Z271" s="77" t="e">
        <f>VLOOKUP(K271,'Component List'!S$2:T$30,2,FALSE)</f>
        <v>#N/A</v>
      </c>
      <c r="AA271" s="77" t="e">
        <f>VLOOKUP(L271,'Component List'!U$2:V$30,2,FALSE)</f>
        <v>#N/A</v>
      </c>
      <c r="AB271" s="77">
        <f>VLOOKUP(M271,'Component List'!AA$2:AB$30,2,FALSE)</f>
        <v>1</v>
      </c>
      <c r="AC271" s="77" t="str">
        <f>VLOOKUP(N271,'Component List'!Y$2:Z$30,2,FALSE)</f>
        <v>C</v>
      </c>
      <c r="AD271" s="159" t="e">
        <f>VLOOKUP(O271,'Component List'!W$3:X$30,2,FALSE)</f>
        <v>#N/A</v>
      </c>
    </row>
    <row r="272" spans="1:30" ht="30" customHeight="1" x14ac:dyDescent="0.3">
      <c r="A272" s="245"/>
      <c r="B272" s="169" t="s">
        <v>235</v>
      </c>
      <c r="C272" s="82" t="s">
        <v>21</v>
      </c>
      <c r="D272" s="80" t="s">
        <v>136</v>
      </c>
      <c r="E272" s="111" t="s">
        <v>170</v>
      </c>
      <c r="F272" s="100" t="s">
        <v>247</v>
      </c>
      <c r="G272" s="82" t="s">
        <v>183</v>
      </c>
      <c r="H272" s="82" t="s">
        <v>138</v>
      </c>
      <c r="I272" s="110" t="s">
        <v>198</v>
      </c>
      <c r="J272" s="110" t="s">
        <v>143</v>
      </c>
      <c r="K272" s="135" t="s">
        <v>366</v>
      </c>
      <c r="L272" s="135" t="s">
        <v>366</v>
      </c>
      <c r="M272" s="82">
        <v>2</v>
      </c>
      <c r="N272" s="82" t="s">
        <v>175</v>
      </c>
      <c r="O272" s="110" t="s">
        <v>367</v>
      </c>
      <c r="P272" s="123" t="e">
        <f t="shared" si="3"/>
        <v>#N/A</v>
      </c>
      <c r="Q272" s="119" t="str">
        <f>VLOOKUP($B272,'Component List'!$A$2:$B$30,2,FALSE)</f>
        <v>LD3</v>
      </c>
      <c r="R272" s="77" t="str">
        <f>VLOOKUP($C272,'Component List'!C$2:D$28,2,FALSE)</f>
        <v>C00</v>
      </c>
      <c r="S272" s="77" t="str">
        <f>VLOOKUP($D272,'Component List'!E$2:F$30,2,FALSE)</f>
        <v>D</v>
      </c>
      <c r="T272" s="77">
        <f>VLOOKUP($E272,'Component List'!G$2:H$30,2,FALSE)</f>
        <v>100</v>
      </c>
      <c r="U272" s="77">
        <f>VLOOKUP($F272,'Component List'!I$2:J$30,2,FALSE)</f>
        <v>108</v>
      </c>
      <c r="V272" s="77">
        <f>VLOOKUP(G272,'Component List'!K$2:L$30,2,FALSE)</f>
        <v>101</v>
      </c>
      <c r="W272" s="77">
        <f>VLOOKUP(H272,'Component List'!M$2:N$31,2,FALSE)</f>
        <v>100</v>
      </c>
      <c r="X272" s="77">
        <f>VLOOKUP(I272,'Component List'!O$2:P$30,2,FALSE)</f>
        <v>100</v>
      </c>
      <c r="Y272" s="77" t="str">
        <f>VLOOKUP(J272,'Component List'!Q$2:R$30,2,FALSE)</f>
        <v>000</v>
      </c>
      <c r="Z272" s="77" t="e">
        <f>VLOOKUP(K272,'Component List'!S$2:T$30,2,FALSE)</f>
        <v>#N/A</v>
      </c>
      <c r="AA272" s="77" t="e">
        <f>VLOOKUP(L272,'Component List'!U$2:V$30,2,FALSE)</f>
        <v>#N/A</v>
      </c>
      <c r="AB272" s="77">
        <f>VLOOKUP(M272,'Component List'!AA$2:AB$30,2,FALSE)</f>
        <v>2</v>
      </c>
      <c r="AC272" s="77" t="str">
        <f>VLOOKUP(N272,'Component List'!Y$2:Z$30,2,FALSE)</f>
        <v>P</v>
      </c>
      <c r="AD272" s="159" t="e">
        <f>VLOOKUP(O272,'Component List'!W$3:X$30,2,FALSE)</f>
        <v>#N/A</v>
      </c>
    </row>
    <row r="273" spans="1:30" ht="30" customHeight="1" x14ac:dyDescent="0.3">
      <c r="A273" s="245"/>
      <c r="B273" s="101" t="s">
        <v>235</v>
      </c>
      <c r="C273" s="82" t="s">
        <v>21</v>
      </c>
      <c r="D273" s="80" t="s">
        <v>136</v>
      </c>
      <c r="E273" s="111" t="s">
        <v>170</v>
      </c>
      <c r="F273" s="100" t="s">
        <v>247</v>
      </c>
      <c r="G273" s="82" t="s">
        <v>183</v>
      </c>
      <c r="H273" s="82" t="s">
        <v>138</v>
      </c>
      <c r="I273" s="110" t="s">
        <v>198</v>
      </c>
      <c r="J273" s="110" t="s">
        <v>143</v>
      </c>
      <c r="K273" s="135" t="s">
        <v>366</v>
      </c>
      <c r="L273" s="135" t="s">
        <v>366</v>
      </c>
      <c r="M273" s="82">
        <v>2</v>
      </c>
      <c r="N273" s="82" t="s">
        <v>187</v>
      </c>
      <c r="O273" s="110" t="s">
        <v>367</v>
      </c>
      <c r="P273" s="123" t="e">
        <f t="shared" si="3"/>
        <v>#N/A</v>
      </c>
      <c r="Q273" s="119" t="str">
        <f>VLOOKUP($B273,'Component List'!$A$2:$B$30,2,FALSE)</f>
        <v>LD3</v>
      </c>
      <c r="R273" s="77" t="str">
        <f>VLOOKUP($C273,'Component List'!C$2:D$28,2,FALSE)</f>
        <v>C00</v>
      </c>
      <c r="S273" s="77" t="str">
        <f>VLOOKUP($D273,'Component List'!E$2:F$30,2,FALSE)</f>
        <v>D</v>
      </c>
      <c r="T273" s="77">
        <f>VLOOKUP($E273,'Component List'!G$2:H$30,2,FALSE)</f>
        <v>100</v>
      </c>
      <c r="U273" s="77">
        <f>VLOOKUP($F273,'Component List'!I$2:J$30,2,FALSE)</f>
        <v>108</v>
      </c>
      <c r="V273" s="77">
        <f>VLOOKUP(G273,'Component List'!K$2:L$30,2,FALSE)</f>
        <v>101</v>
      </c>
      <c r="W273" s="77">
        <f>VLOOKUP(H273,'Component List'!M$2:N$31,2,FALSE)</f>
        <v>100</v>
      </c>
      <c r="X273" s="77">
        <f>VLOOKUP(I273,'Component List'!O$2:P$30,2,FALSE)</f>
        <v>100</v>
      </c>
      <c r="Y273" s="77" t="str">
        <f>VLOOKUP(J273,'Component List'!Q$2:R$30,2,FALSE)</f>
        <v>000</v>
      </c>
      <c r="Z273" s="77" t="e">
        <f>VLOOKUP(K273,'Component List'!S$2:T$30,2,FALSE)</f>
        <v>#N/A</v>
      </c>
      <c r="AA273" s="77" t="e">
        <f>VLOOKUP(L273,'Component List'!U$2:V$30,2,FALSE)</f>
        <v>#N/A</v>
      </c>
      <c r="AB273" s="77">
        <f>VLOOKUP(M273,'Component List'!AA$2:AB$30,2,FALSE)</f>
        <v>2</v>
      </c>
      <c r="AC273" s="77" t="str">
        <f>VLOOKUP(N273,'Component List'!Y$2:Z$30,2,FALSE)</f>
        <v>C</v>
      </c>
      <c r="AD273" s="159" t="e">
        <f>VLOOKUP(O273,'Component List'!W$3:X$30,2,FALSE)</f>
        <v>#N/A</v>
      </c>
    </row>
    <row r="274" spans="1:30" ht="30" customHeight="1" x14ac:dyDescent="0.3">
      <c r="A274" s="245"/>
      <c r="B274" s="169" t="s">
        <v>235</v>
      </c>
      <c r="C274" s="82" t="s">
        <v>21</v>
      </c>
      <c r="D274" s="80" t="s">
        <v>136</v>
      </c>
      <c r="E274" s="111" t="s">
        <v>170</v>
      </c>
      <c r="F274" s="100" t="s">
        <v>247</v>
      </c>
      <c r="G274" s="82" t="s">
        <v>183</v>
      </c>
      <c r="H274" s="82" t="s">
        <v>138</v>
      </c>
      <c r="I274" s="110" t="s">
        <v>198</v>
      </c>
      <c r="J274" s="110" t="s">
        <v>143</v>
      </c>
      <c r="K274" s="135" t="s">
        <v>366</v>
      </c>
      <c r="L274" s="135" t="s">
        <v>366</v>
      </c>
      <c r="M274" s="82">
        <v>3</v>
      </c>
      <c r="N274" s="82" t="s">
        <v>175</v>
      </c>
      <c r="O274" s="110" t="s">
        <v>367</v>
      </c>
      <c r="P274" s="123" t="e">
        <f t="shared" si="3"/>
        <v>#N/A</v>
      </c>
      <c r="Q274" s="119" t="str">
        <f>VLOOKUP($B274,'Component List'!$A$2:$B$30,2,FALSE)</f>
        <v>LD3</v>
      </c>
      <c r="R274" s="77" t="str">
        <f>VLOOKUP($C274,'Component List'!C$2:D$28,2,FALSE)</f>
        <v>C00</v>
      </c>
      <c r="S274" s="77" t="str">
        <f>VLOOKUP($D274,'Component List'!E$2:F$30,2,FALSE)</f>
        <v>D</v>
      </c>
      <c r="T274" s="77">
        <f>VLOOKUP($E274,'Component List'!G$2:H$30,2,FALSE)</f>
        <v>100</v>
      </c>
      <c r="U274" s="77">
        <f>VLOOKUP($F274,'Component List'!I$2:J$30,2,FALSE)</f>
        <v>108</v>
      </c>
      <c r="V274" s="77">
        <f>VLOOKUP(G274,'Component List'!K$2:L$30,2,FALSE)</f>
        <v>101</v>
      </c>
      <c r="W274" s="77">
        <f>VLOOKUP(H274,'Component List'!M$2:N$31,2,FALSE)</f>
        <v>100</v>
      </c>
      <c r="X274" s="77">
        <f>VLOOKUP(I274,'Component List'!O$2:P$30,2,FALSE)</f>
        <v>100</v>
      </c>
      <c r="Y274" s="77" t="str">
        <f>VLOOKUP(J274,'Component List'!Q$2:R$30,2,FALSE)</f>
        <v>000</v>
      </c>
      <c r="Z274" s="77" t="e">
        <f>VLOOKUP(K274,'Component List'!S$2:T$30,2,FALSE)</f>
        <v>#N/A</v>
      </c>
      <c r="AA274" s="77" t="e">
        <f>VLOOKUP(L274,'Component List'!U$2:V$30,2,FALSE)</f>
        <v>#N/A</v>
      </c>
      <c r="AB274" s="77">
        <f>VLOOKUP(M274,'Component List'!AA$2:AB$30,2,FALSE)</f>
        <v>3</v>
      </c>
      <c r="AC274" s="77" t="str">
        <f>VLOOKUP(N274,'Component List'!Y$2:Z$30,2,FALSE)</f>
        <v>P</v>
      </c>
      <c r="AD274" s="159" t="e">
        <f>VLOOKUP(O274,'Component List'!W$3:X$30,2,FALSE)</f>
        <v>#N/A</v>
      </c>
    </row>
    <row r="275" spans="1:30" ht="30" customHeight="1" x14ac:dyDescent="0.3">
      <c r="A275" s="245"/>
      <c r="B275" s="101" t="s">
        <v>235</v>
      </c>
      <c r="C275" s="82" t="s">
        <v>21</v>
      </c>
      <c r="D275" s="80" t="s">
        <v>136</v>
      </c>
      <c r="E275" s="111" t="s">
        <v>170</v>
      </c>
      <c r="F275" s="100" t="s">
        <v>247</v>
      </c>
      <c r="G275" s="82" t="s">
        <v>183</v>
      </c>
      <c r="H275" s="82" t="s">
        <v>138</v>
      </c>
      <c r="I275" s="110" t="s">
        <v>198</v>
      </c>
      <c r="J275" s="110" t="s">
        <v>143</v>
      </c>
      <c r="K275" s="135" t="s">
        <v>366</v>
      </c>
      <c r="L275" s="135" t="s">
        <v>366</v>
      </c>
      <c r="M275" s="82">
        <v>3</v>
      </c>
      <c r="N275" s="82" t="s">
        <v>187</v>
      </c>
      <c r="O275" s="110" t="s">
        <v>367</v>
      </c>
      <c r="P275" s="123" t="e">
        <f t="shared" si="3"/>
        <v>#N/A</v>
      </c>
      <c r="Q275" s="119" t="str">
        <f>VLOOKUP($B275,'Component List'!$A$2:$B$30,2,FALSE)</f>
        <v>LD3</v>
      </c>
      <c r="R275" s="77" t="str">
        <f>VLOOKUP($C275,'Component List'!C$2:D$28,2,FALSE)</f>
        <v>C00</v>
      </c>
      <c r="S275" s="77" t="str">
        <f>VLOOKUP($D275,'Component List'!E$2:F$30,2,FALSE)</f>
        <v>D</v>
      </c>
      <c r="T275" s="77">
        <f>VLOOKUP($E275,'Component List'!G$2:H$30,2,FALSE)</f>
        <v>100</v>
      </c>
      <c r="U275" s="77">
        <f>VLOOKUP($F275,'Component List'!I$2:J$30,2,FALSE)</f>
        <v>108</v>
      </c>
      <c r="V275" s="77">
        <f>VLOOKUP(G275,'Component List'!K$2:L$30,2,FALSE)</f>
        <v>101</v>
      </c>
      <c r="W275" s="77">
        <f>VLOOKUP(H275,'Component List'!M$2:N$31,2,FALSE)</f>
        <v>100</v>
      </c>
      <c r="X275" s="77">
        <f>VLOOKUP(I275,'Component List'!O$2:P$30,2,FALSE)</f>
        <v>100</v>
      </c>
      <c r="Y275" s="77" t="str">
        <f>VLOOKUP(J275,'Component List'!Q$2:R$30,2,FALSE)</f>
        <v>000</v>
      </c>
      <c r="Z275" s="77" t="e">
        <f>VLOOKUP(K275,'Component List'!S$2:T$30,2,FALSE)</f>
        <v>#N/A</v>
      </c>
      <c r="AA275" s="77" t="e">
        <f>VLOOKUP(L275,'Component List'!U$2:V$30,2,FALSE)</f>
        <v>#N/A</v>
      </c>
      <c r="AB275" s="77">
        <f>VLOOKUP(M275,'Component List'!AA$2:AB$30,2,FALSE)</f>
        <v>3</v>
      </c>
      <c r="AC275" s="77" t="str">
        <f>VLOOKUP(N275,'Component List'!Y$2:Z$30,2,FALSE)</f>
        <v>C</v>
      </c>
      <c r="AD275" s="159" t="e">
        <f>VLOOKUP(O275,'Component List'!W$3:X$30,2,FALSE)</f>
        <v>#N/A</v>
      </c>
    </row>
    <row r="276" spans="1:30" ht="30" customHeight="1" x14ac:dyDescent="0.3">
      <c r="A276" s="245"/>
      <c r="B276" s="101" t="s">
        <v>228</v>
      </c>
      <c r="C276" s="82" t="s">
        <v>230</v>
      </c>
      <c r="D276" s="80" t="s">
        <v>136</v>
      </c>
      <c r="E276" s="102" t="s">
        <v>246</v>
      </c>
      <c r="F276" s="82" t="s">
        <v>40</v>
      </c>
      <c r="G276" s="82" t="s">
        <v>196</v>
      </c>
      <c r="H276" s="82" t="s">
        <v>270</v>
      </c>
      <c r="I276" s="82" t="s">
        <v>185</v>
      </c>
      <c r="J276" s="82" t="s">
        <v>199</v>
      </c>
      <c r="K276" s="110" t="s">
        <v>366</v>
      </c>
      <c r="L276" s="110" t="s">
        <v>366</v>
      </c>
      <c r="M276" s="82">
        <v>1</v>
      </c>
      <c r="N276" s="82" t="s">
        <v>175</v>
      </c>
      <c r="O276" s="117" t="s">
        <v>367</v>
      </c>
      <c r="P276" s="123" t="e">
        <f t="shared" si="3"/>
        <v>#N/A</v>
      </c>
      <c r="Q276" s="119" t="str">
        <f>VLOOKUP($B276,'Component List'!$A$2:$B$30,2,FALSE)</f>
        <v>LD2</v>
      </c>
      <c r="R276" s="77" t="str">
        <f>VLOOKUP($C276,'Component List'!C$2:D$28,2,FALSE)</f>
        <v>SB0</v>
      </c>
      <c r="S276" s="77" t="str">
        <f>VLOOKUP($D276,'Component List'!E$2:F$30,2,FALSE)</f>
        <v>D</v>
      </c>
      <c r="T276" s="77">
        <f>VLOOKUP($E276,'Component List'!G$2:H$30,2,FALSE)</f>
        <v>301</v>
      </c>
      <c r="U276" s="77">
        <f>VLOOKUP($F276,'Component List'!I$2:J$30,2,FALSE)</f>
        <v>202</v>
      </c>
      <c r="V276" s="77">
        <f>VLOOKUP(G276,'Component List'!K$2:L$30,2,FALSE)</f>
        <v>102</v>
      </c>
      <c r="W276" s="77">
        <f>VLOOKUP(H276,'Component List'!M$2:N$31,2,FALSE)</f>
        <v>205</v>
      </c>
      <c r="X276" s="77">
        <f>VLOOKUP(I276,'Component List'!O$2:P$30,2,FALSE)</f>
        <v>200</v>
      </c>
      <c r="Y276" s="77">
        <f>VLOOKUP(J276,'Component List'!Q$2:R$30,2,FALSE)</f>
        <v>201</v>
      </c>
      <c r="Z276" s="77" t="e">
        <f>VLOOKUP(K276,'Component List'!S$2:T$30,2,FALSE)</f>
        <v>#N/A</v>
      </c>
      <c r="AA276" s="77" t="e">
        <f>VLOOKUP(L276,'Component List'!U$2:V$30,2,FALSE)</f>
        <v>#N/A</v>
      </c>
      <c r="AB276" s="77">
        <f>VLOOKUP(M276,'Component List'!AA$2:AB$30,2,FALSE)</f>
        <v>1</v>
      </c>
      <c r="AC276" s="77" t="str">
        <f>VLOOKUP(N276,'Component List'!Y$2:Z$30,2,FALSE)</f>
        <v>P</v>
      </c>
      <c r="AD276" s="159" t="e">
        <f>VLOOKUP(O276,'Component List'!W$3:X$30,2,FALSE)</f>
        <v>#N/A</v>
      </c>
    </row>
    <row r="277" spans="1:30" ht="30" customHeight="1" x14ac:dyDescent="0.3">
      <c r="A277" s="245"/>
      <c r="B277" s="101" t="s">
        <v>228</v>
      </c>
      <c r="C277" s="82" t="s">
        <v>230</v>
      </c>
      <c r="D277" s="80" t="s">
        <v>136</v>
      </c>
      <c r="E277" s="102" t="s">
        <v>246</v>
      </c>
      <c r="F277" s="82" t="s">
        <v>40</v>
      </c>
      <c r="G277" s="82" t="s">
        <v>196</v>
      </c>
      <c r="H277" s="82" t="s">
        <v>270</v>
      </c>
      <c r="I277" s="82" t="s">
        <v>185</v>
      </c>
      <c r="J277" s="82" t="s">
        <v>199</v>
      </c>
      <c r="K277" s="110" t="s">
        <v>366</v>
      </c>
      <c r="L277" s="110" t="s">
        <v>366</v>
      </c>
      <c r="M277" s="82">
        <v>1</v>
      </c>
      <c r="N277" s="82" t="s">
        <v>187</v>
      </c>
      <c r="O277" s="117" t="s">
        <v>367</v>
      </c>
      <c r="P277" s="123" t="e">
        <f t="shared" si="3"/>
        <v>#N/A</v>
      </c>
      <c r="Q277" s="119" t="str">
        <f>VLOOKUP($B277,'Component List'!$A$2:$B$30,2,FALSE)</f>
        <v>LD2</v>
      </c>
      <c r="R277" s="77" t="str">
        <f>VLOOKUP($C277,'Component List'!C$2:D$28,2,FALSE)</f>
        <v>SB0</v>
      </c>
      <c r="S277" s="77" t="str">
        <f>VLOOKUP($D277,'Component List'!E$2:F$30,2,FALSE)</f>
        <v>D</v>
      </c>
      <c r="T277" s="77">
        <f>VLOOKUP($E277,'Component List'!G$2:H$30,2,FALSE)</f>
        <v>301</v>
      </c>
      <c r="U277" s="77">
        <f>VLOOKUP($F277,'Component List'!I$2:J$30,2,FALSE)</f>
        <v>202</v>
      </c>
      <c r="V277" s="77">
        <f>VLOOKUP(G277,'Component List'!K$2:L$30,2,FALSE)</f>
        <v>102</v>
      </c>
      <c r="W277" s="77">
        <f>VLOOKUP(H277,'Component List'!M$2:N$31,2,FALSE)</f>
        <v>205</v>
      </c>
      <c r="X277" s="77">
        <f>VLOOKUP(I277,'Component List'!O$2:P$30,2,FALSE)</f>
        <v>200</v>
      </c>
      <c r="Y277" s="77">
        <f>VLOOKUP(J277,'Component List'!Q$2:R$30,2,FALSE)</f>
        <v>201</v>
      </c>
      <c r="Z277" s="77" t="e">
        <f>VLOOKUP(K277,'Component List'!S$2:T$30,2,FALSE)</f>
        <v>#N/A</v>
      </c>
      <c r="AA277" s="77" t="e">
        <f>VLOOKUP(L277,'Component List'!U$2:V$30,2,FALSE)</f>
        <v>#N/A</v>
      </c>
      <c r="AB277" s="77">
        <f>VLOOKUP(M277,'Component List'!AA$2:AB$30,2,FALSE)</f>
        <v>1</v>
      </c>
      <c r="AC277" s="77" t="str">
        <f>VLOOKUP(N277,'Component List'!Y$2:Z$30,2,FALSE)</f>
        <v>C</v>
      </c>
      <c r="AD277" s="159" t="e">
        <f>VLOOKUP(O277,'Component List'!W$3:X$30,2,FALSE)</f>
        <v>#N/A</v>
      </c>
    </row>
    <row r="278" spans="1:30" ht="30" customHeight="1" x14ac:dyDescent="0.3">
      <c r="A278" s="245"/>
      <c r="B278" s="101" t="s">
        <v>228</v>
      </c>
      <c r="C278" s="82" t="s">
        <v>230</v>
      </c>
      <c r="D278" s="80" t="s">
        <v>136</v>
      </c>
      <c r="E278" s="102" t="s">
        <v>246</v>
      </c>
      <c r="F278" s="82" t="s">
        <v>40</v>
      </c>
      <c r="G278" s="82" t="s">
        <v>196</v>
      </c>
      <c r="H278" s="82" t="s">
        <v>270</v>
      </c>
      <c r="I278" s="82" t="s">
        <v>185</v>
      </c>
      <c r="J278" s="82" t="s">
        <v>199</v>
      </c>
      <c r="K278" s="110" t="s">
        <v>366</v>
      </c>
      <c r="L278" s="110" t="s">
        <v>366</v>
      </c>
      <c r="M278" s="82">
        <v>2</v>
      </c>
      <c r="N278" s="82" t="s">
        <v>175</v>
      </c>
      <c r="O278" s="117" t="s">
        <v>367</v>
      </c>
      <c r="P278" s="123" t="e">
        <f t="shared" si="3"/>
        <v>#N/A</v>
      </c>
      <c r="Q278" s="119" t="str">
        <f>VLOOKUP($B278,'Component List'!$A$2:$B$30,2,FALSE)</f>
        <v>LD2</v>
      </c>
      <c r="R278" s="77" t="str">
        <f>VLOOKUP($C278,'Component List'!C$2:D$28,2,FALSE)</f>
        <v>SB0</v>
      </c>
      <c r="S278" s="77" t="str">
        <f>VLOOKUP($D278,'Component List'!E$2:F$30,2,FALSE)</f>
        <v>D</v>
      </c>
      <c r="T278" s="77">
        <f>VLOOKUP($E278,'Component List'!G$2:H$30,2,FALSE)</f>
        <v>301</v>
      </c>
      <c r="U278" s="77">
        <f>VLOOKUP($F278,'Component List'!I$2:J$30,2,FALSE)</f>
        <v>202</v>
      </c>
      <c r="V278" s="77">
        <f>VLOOKUP(G278,'Component List'!K$2:L$30,2,FALSE)</f>
        <v>102</v>
      </c>
      <c r="W278" s="77">
        <f>VLOOKUP(H278,'Component List'!M$2:N$31,2,FALSE)</f>
        <v>205</v>
      </c>
      <c r="X278" s="77">
        <f>VLOOKUP(I278,'Component List'!O$2:P$30,2,FALSE)</f>
        <v>200</v>
      </c>
      <c r="Y278" s="77">
        <f>VLOOKUP(J278,'Component List'!Q$2:R$30,2,FALSE)</f>
        <v>201</v>
      </c>
      <c r="Z278" s="77" t="e">
        <f>VLOOKUP(K278,'Component List'!S$2:T$30,2,FALSE)</f>
        <v>#N/A</v>
      </c>
      <c r="AA278" s="77" t="e">
        <f>VLOOKUP(L278,'Component List'!U$2:V$30,2,FALSE)</f>
        <v>#N/A</v>
      </c>
      <c r="AB278" s="77">
        <f>VLOOKUP(M278,'Component List'!AA$2:AB$30,2,FALSE)</f>
        <v>2</v>
      </c>
      <c r="AC278" s="77" t="str">
        <f>VLOOKUP(N278,'Component List'!Y$2:Z$30,2,FALSE)</f>
        <v>P</v>
      </c>
      <c r="AD278" s="159" t="e">
        <f>VLOOKUP(O278,'Component List'!W$3:X$30,2,FALSE)</f>
        <v>#N/A</v>
      </c>
    </row>
    <row r="279" spans="1:30" ht="30" customHeight="1" x14ac:dyDescent="0.3">
      <c r="A279" s="245"/>
      <c r="B279" s="101" t="s">
        <v>228</v>
      </c>
      <c r="C279" s="82" t="s">
        <v>230</v>
      </c>
      <c r="D279" s="80" t="s">
        <v>136</v>
      </c>
      <c r="E279" s="102" t="s">
        <v>246</v>
      </c>
      <c r="F279" s="82" t="s">
        <v>40</v>
      </c>
      <c r="G279" s="82" t="s">
        <v>196</v>
      </c>
      <c r="H279" s="82" t="s">
        <v>270</v>
      </c>
      <c r="I279" s="82" t="s">
        <v>185</v>
      </c>
      <c r="J279" s="82" t="s">
        <v>199</v>
      </c>
      <c r="K279" s="110" t="s">
        <v>366</v>
      </c>
      <c r="L279" s="110" t="s">
        <v>366</v>
      </c>
      <c r="M279" s="82">
        <v>2</v>
      </c>
      <c r="N279" s="82" t="s">
        <v>187</v>
      </c>
      <c r="O279" s="117" t="s">
        <v>367</v>
      </c>
      <c r="P279" s="123" t="e">
        <f t="shared" si="3"/>
        <v>#N/A</v>
      </c>
      <c r="Q279" s="119" t="str">
        <f>VLOOKUP($B279,'Component List'!$A$2:$B$30,2,FALSE)</f>
        <v>LD2</v>
      </c>
      <c r="R279" s="77" t="str">
        <f>VLOOKUP($C279,'Component List'!C$2:D$28,2,FALSE)</f>
        <v>SB0</v>
      </c>
      <c r="S279" s="77" t="str">
        <f>VLOOKUP($D279,'Component List'!E$2:F$30,2,FALSE)</f>
        <v>D</v>
      </c>
      <c r="T279" s="77">
        <f>VLOOKUP($E279,'Component List'!G$2:H$30,2,FALSE)</f>
        <v>301</v>
      </c>
      <c r="U279" s="77">
        <f>VLOOKUP($F279,'Component List'!I$2:J$30,2,FALSE)</f>
        <v>202</v>
      </c>
      <c r="V279" s="77">
        <f>VLOOKUP(G279,'Component List'!K$2:L$30,2,FALSE)</f>
        <v>102</v>
      </c>
      <c r="W279" s="77">
        <f>VLOOKUP(H279,'Component List'!M$2:N$31,2,FALSE)</f>
        <v>205</v>
      </c>
      <c r="X279" s="77">
        <f>VLOOKUP(I279,'Component List'!O$2:P$30,2,FALSE)</f>
        <v>200</v>
      </c>
      <c r="Y279" s="77">
        <f>VLOOKUP(J279,'Component List'!Q$2:R$30,2,FALSE)</f>
        <v>201</v>
      </c>
      <c r="Z279" s="77" t="e">
        <f>VLOOKUP(K279,'Component List'!S$2:T$30,2,FALSE)</f>
        <v>#N/A</v>
      </c>
      <c r="AA279" s="77" t="e">
        <f>VLOOKUP(L279,'Component List'!U$2:V$30,2,FALSE)</f>
        <v>#N/A</v>
      </c>
      <c r="AB279" s="77">
        <f>VLOOKUP(M279,'Component List'!AA$2:AB$30,2,FALSE)</f>
        <v>2</v>
      </c>
      <c r="AC279" s="77" t="str">
        <f>VLOOKUP(N279,'Component List'!Y$2:Z$30,2,FALSE)</f>
        <v>C</v>
      </c>
      <c r="AD279" s="159" t="e">
        <f>VLOOKUP(O279,'Component List'!W$3:X$30,2,FALSE)</f>
        <v>#N/A</v>
      </c>
    </row>
    <row r="280" spans="1:30" ht="30" customHeight="1" x14ac:dyDescent="0.3">
      <c r="A280" s="245"/>
      <c r="B280" s="101" t="s">
        <v>228</v>
      </c>
      <c r="C280" s="82" t="s">
        <v>230</v>
      </c>
      <c r="D280" s="80" t="s">
        <v>136</v>
      </c>
      <c r="E280" s="102" t="s">
        <v>246</v>
      </c>
      <c r="F280" s="82" t="s">
        <v>40</v>
      </c>
      <c r="G280" s="82" t="s">
        <v>196</v>
      </c>
      <c r="H280" s="82" t="s">
        <v>270</v>
      </c>
      <c r="I280" s="82" t="s">
        <v>185</v>
      </c>
      <c r="J280" s="82" t="s">
        <v>199</v>
      </c>
      <c r="K280" s="110" t="s">
        <v>366</v>
      </c>
      <c r="L280" s="110" t="s">
        <v>366</v>
      </c>
      <c r="M280" s="82">
        <v>3</v>
      </c>
      <c r="N280" s="82" t="s">
        <v>175</v>
      </c>
      <c r="O280" s="117" t="s">
        <v>367</v>
      </c>
      <c r="P280" s="123" t="e">
        <f t="shared" si="3"/>
        <v>#N/A</v>
      </c>
      <c r="Q280" s="119" t="str">
        <f>VLOOKUP($B280,'Component List'!$A$2:$B$30,2,FALSE)</f>
        <v>LD2</v>
      </c>
      <c r="R280" s="77" t="str">
        <f>VLOOKUP($C280,'Component List'!C$2:D$28,2,FALSE)</f>
        <v>SB0</v>
      </c>
      <c r="S280" s="77" t="str">
        <f>VLOOKUP($D280,'Component List'!E$2:F$30,2,FALSE)</f>
        <v>D</v>
      </c>
      <c r="T280" s="77">
        <f>VLOOKUP($E280,'Component List'!G$2:H$30,2,FALSE)</f>
        <v>301</v>
      </c>
      <c r="U280" s="77">
        <f>VLOOKUP($F280,'Component List'!I$2:J$30,2,FALSE)</f>
        <v>202</v>
      </c>
      <c r="V280" s="77">
        <f>VLOOKUP(G280,'Component List'!K$2:L$30,2,FALSE)</f>
        <v>102</v>
      </c>
      <c r="W280" s="77">
        <f>VLOOKUP(H280,'Component List'!M$2:N$31,2,FALSE)</f>
        <v>205</v>
      </c>
      <c r="X280" s="77">
        <f>VLOOKUP(I280,'Component List'!O$2:P$30,2,FALSE)</f>
        <v>200</v>
      </c>
      <c r="Y280" s="77">
        <f>VLOOKUP(J280,'Component List'!Q$2:R$30,2,FALSE)</f>
        <v>201</v>
      </c>
      <c r="Z280" s="77" t="e">
        <f>VLOOKUP(K280,'Component List'!S$2:T$30,2,FALSE)</f>
        <v>#N/A</v>
      </c>
      <c r="AA280" s="77" t="e">
        <f>VLOOKUP(L280,'Component List'!U$2:V$30,2,FALSE)</f>
        <v>#N/A</v>
      </c>
      <c r="AB280" s="77">
        <f>VLOOKUP(M280,'Component List'!AA$2:AB$30,2,FALSE)</f>
        <v>3</v>
      </c>
      <c r="AC280" s="77" t="str">
        <f>VLOOKUP(N280,'Component List'!Y$2:Z$30,2,FALSE)</f>
        <v>P</v>
      </c>
      <c r="AD280" s="159" t="e">
        <f>VLOOKUP(O280,'Component List'!W$3:X$30,2,FALSE)</f>
        <v>#N/A</v>
      </c>
    </row>
    <row r="281" spans="1:30" ht="30" customHeight="1" x14ac:dyDescent="0.3">
      <c r="A281" s="245"/>
      <c r="B281" s="101" t="s">
        <v>228</v>
      </c>
      <c r="C281" s="82" t="s">
        <v>230</v>
      </c>
      <c r="D281" s="80" t="s">
        <v>136</v>
      </c>
      <c r="E281" s="102" t="s">
        <v>246</v>
      </c>
      <c r="F281" s="82" t="s">
        <v>40</v>
      </c>
      <c r="G281" s="82" t="s">
        <v>196</v>
      </c>
      <c r="H281" s="82" t="s">
        <v>270</v>
      </c>
      <c r="I281" s="82" t="s">
        <v>185</v>
      </c>
      <c r="J281" s="82" t="s">
        <v>199</v>
      </c>
      <c r="K281" s="110" t="s">
        <v>366</v>
      </c>
      <c r="L281" s="110" t="s">
        <v>366</v>
      </c>
      <c r="M281" s="82">
        <v>3</v>
      </c>
      <c r="N281" s="82" t="s">
        <v>187</v>
      </c>
      <c r="O281" s="117" t="s">
        <v>367</v>
      </c>
      <c r="P281" s="123" t="e">
        <f t="shared" si="3"/>
        <v>#N/A</v>
      </c>
      <c r="Q281" s="119" t="str">
        <f>VLOOKUP($B281,'Component List'!$A$2:$B$30,2,FALSE)</f>
        <v>LD2</v>
      </c>
      <c r="R281" s="77" t="str">
        <f>VLOOKUP($C281,'Component List'!C$2:D$28,2,FALSE)</f>
        <v>SB0</v>
      </c>
      <c r="S281" s="77" t="str">
        <f>VLOOKUP($D281,'Component List'!E$2:F$30,2,FALSE)</f>
        <v>D</v>
      </c>
      <c r="T281" s="77">
        <f>VLOOKUP($E281,'Component List'!G$2:H$30,2,FALSE)</f>
        <v>301</v>
      </c>
      <c r="U281" s="77">
        <f>VLOOKUP($F281,'Component List'!I$2:J$30,2,FALSE)</f>
        <v>202</v>
      </c>
      <c r="V281" s="77">
        <f>VLOOKUP(G281,'Component List'!K$2:L$30,2,FALSE)</f>
        <v>102</v>
      </c>
      <c r="W281" s="77">
        <f>VLOOKUP(H281,'Component List'!M$2:N$31,2,FALSE)</f>
        <v>205</v>
      </c>
      <c r="X281" s="77">
        <f>VLOOKUP(I281,'Component List'!O$2:P$30,2,FALSE)</f>
        <v>200</v>
      </c>
      <c r="Y281" s="77">
        <f>VLOOKUP(J281,'Component List'!Q$2:R$30,2,FALSE)</f>
        <v>201</v>
      </c>
      <c r="Z281" s="77" t="e">
        <f>VLOOKUP(K281,'Component List'!S$2:T$30,2,FALSE)</f>
        <v>#N/A</v>
      </c>
      <c r="AA281" s="77" t="e">
        <f>VLOOKUP(L281,'Component List'!U$2:V$30,2,FALSE)</f>
        <v>#N/A</v>
      </c>
      <c r="AB281" s="77">
        <f>VLOOKUP(M281,'Component List'!AA$2:AB$30,2,FALSE)</f>
        <v>3</v>
      </c>
      <c r="AC281" s="77" t="str">
        <f>VLOOKUP(N281,'Component List'!Y$2:Z$30,2,FALSE)</f>
        <v>C</v>
      </c>
      <c r="AD281" s="159" t="e">
        <f>VLOOKUP(O281,'Component List'!W$3:X$30,2,FALSE)</f>
        <v>#N/A</v>
      </c>
    </row>
    <row r="282" spans="1:30" ht="30" customHeight="1" x14ac:dyDescent="0.3">
      <c r="A282" s="245"/>
      <c r="B282" s="101" t="s">
        <v>228</v>
      </c>
      <c r="C282" s="82" t="s">
        <v>230</v>
      </c>
      <c r="D282" s="80" t="s">
        <v>136</v>
      </c>
      <c r="E282" s="102" t="s">
        <v>246</v>
      </c>
      <c r="F282" s="82" t="s">
        <v>240</v>
      </c>
      <c r="G282" s="82" t="s">
        <v>196</v>
      </c>
      <c r="H282" s="82" t="s">
        <v>255</v>
      </c>
      <c r="I282" s="110" t="s">
        <v>198</v>
      </c>
      <c r="J282" s="110" t="s">
        <v>143</v>
      </c>
      <c r="K282" s="110" t="s">
        <v>366</v>
      </c>
      <c r="L282" s="110" t="s">
        <v>366</v>
      </c>
      <c r="M282" s="82">
        <v>1</v>
      </c>
      <c r="N282" s="82" t="s">
        <v>175</v>
      </c>
      <c r="O282" s="117" t="s">
        <v>367</v>
      </c>
      <c r="P282" s="123" t="e">
        <f t="shared" si="3"/>
        <v>#N/A</v>
      </c>
      <c r="Q282" s="119" t="str">
        <f>VLOOKUP($B282,'Component List'!$A$2:$B$30,2,FALSE)</f>
        <v>LD2</v>
      </c>
      <c r="R282" s="77" t="str">
        <f>VLOOKUP($C282,'Component List'!C$2:D$28,2,FALSE)</f>
        <v>SB0</v>
      </c>
      <c r="S282" s="77" t="str">
        <f>VLOOKUP($D282,'Component List'!E$2:F$30,2,FALSE)</f>
        <v>D</v>
      </c>
      <c r="T282" s="77">
        <f>VLOOKUP($E282,'Component List'!G$2:H$30,2,FALSE)</f>
        <v>301</v>
      </c>
      <c r="U282" s="77">
        <f>VLOOKUP($F282,'Component List'!I$2:J$30,2,FALSE)</f>
        <v>107</v>
      </c>
      <c r="V282" s="77">
        <f>VLOOKUP(G282,'Component List'!K$2:L$30,2,FALSE)</f>
        <v>102</v>
      </c>
      <c r="W282" s="77">
        <f>VLOOKUP(H282,'Component List'!M$2:N$31,2,FALSE)</f>
        <v>203</v>
      </c>
      <c r="X282" s="77">
        <f>VLOOKUP(I282,'Component List'!O$2:P$30,2,FALSE)</f>
        <v>100</v>
      </c>
      <c r="Y282" s="77" t="str">
        <f>VLOOKUP(J282,'Component List'!Q$2:R$30,2,FALSE)</f>
        <v>000</v>
      </c>
      <c r="Z282" s="77" t="e">
        <f>VLOOKUP(K282,'Component List'!S$2:T$30,2,FALSE)</f>
        <v>#N/A</v>
      </c>
      <c r="AA282" s="77" t="e">
        <f>VLOOKUP(L282,'Component List'!U$2:V$30,2,FALSE)</f>
        <v>#N/A</v>
      </c>
      <c r="AB282" s="77">
        <f>VLOOKUP(M282,'Component List'!AA$2:AB$30,2,FALSE)</f>
        <v>1</v>
      </c>
      <c r="AC282" s="77" t="str">
        <f>VLOOKUP(N282,'Component List'!Y$2:Z$30,2,FALSE)</f>
        <v>P</v>
      </c>
      <c r="AD282" s="159" t="e">
        <f>VLOOKUP(O282,'Component List'!W$3:X$30,2,FALSE)</f>
        <v>#N/A</v>
      </c>
    </row>
    <row r="283" spans="1:30" ht="30" customHeight="1" x14ac:dyDescent="0.3">
      <c r="A283" s="245"/>
      <c r="B283" s="101" t="s">
        <v>228</v>
      </c>
      <c r="C283" s="82" t="s">
        <v>230</v>
      </c>
      <c r="D283" s="80" t="s">
        <v>136</v>
      </c>
      <c r="E283" s="102" t="s">
        <v>246</v>
      </c>
      <c r="F283" s="82" t="s">
        <v>240</v>
      </c>
      <c r="G283" s="82" t="s">
        <v>196</v>
      </c>
      <c r="H283" s="82" t="s">
        <v>255</v>
      </c>
      <c r="I283" s="110" t="s">
        <v>198</v>
      </c>
      <c r="J283" s="110" t="s">
        <v>143</v>
      </c>
      <c r="K283" s="110" t="s">
        <v>366</v>
      </c>
      <c r="L283" s="110" t="s">
        <v>366</v>
      </c>
      <c r="M283" s="82">
        <v>1</v>
      </c>
      <c r="N283" s="82" t="s">
        <v>187</v>
      </c>
      <c r="O283" s="117" t="s">
        <v>367</v>
      </c>
      <c r="P283" s="123" t="e">
        <f t="shared" si="3"/>
        <v>#N/A</v>
      </c>
      <c r="Q283" s="119" t="str">
        <f>VLOOKUP($B283,'Component List'!$A$2:$B$30,2,FALSE)</f>
        <v>LD2</v>
      </c>
      <c r="R283" s="77" t="str">
        <f>VLOOKUP($C283,'Component List'!C$2:D$28,2,FALSE)</f>
        <v>SB0</v>
      </c>
      <c r="S283" s="77" t="str">
        <f>VLOOKUP($D283,'Component List'!E$2:F$30,2,FALSE)</f>
        <v>D</v>
      </c>
      <c r="T283" s="77">
        <f>VLOOKUP($E283,'Component List'!G$2:H$30,2,FALSE)</f>
        <v>301</v>
      </c>
      <c r="U283" s="77">
        <f>VLOOKUP($F283,'Component List'!I$2:J$30,2,FALSE)</f>
        <v>107</v>
      </c>
      <c r="V283" s="77">
        <f>VLOOKUP(G283,'Component List'!K$2:L$30,2,FALSE)</f>
        <v>102</v>
      </c>
      <c r="W283" s="77">
        <f>VLOOKUP(H283,'Component List'!M$2:N$31,2,FALSE)</f>
        <v>203</v>
      </c>
      <c r="X283" s="77">
        <f>VLOOKUP(I283,'Component List'!O$2:P$30,2,FALSE)</f>
        <v>100</v>
      </c>
      <c r="Y283" s="77" t="str">
        <f>VLOOKUP(J283,'Component List'!Q$2:R$30,2,FALSE)</f>
        <v>000</v>
      </c>
      <c r="Z283" s="77" t="e">
        <f>VLOOKUP(K283,'Component List'!S$2:T$30,2,FALSE)</f>
        <v>#N/A</v>
      </c>
      <c r="AA283" s="77" t="e">
        <f>VLOOKUP(L283,'Component List'!U$2:V$30,2,FALSE)</f>
        <v>#N/A</v>
      </c>
      <c r="AB283" s="77">
        <f>VLOOKUP(M283,'Component List'!AA$2:AB$30,2,FALSE)</f>
        <v>1</v>
      </c>
      <c r="AC283" s="77" t="str">
        <f>VLOOKUP(N283,'Component List'!Y$2:Z$30,2,FALSE)</f>
        <v>C</v>
      </c>
      <c r="AD283" s="159" t="e">
        <f>VLOOKUP(O283,'Component List'!W$3:X$30,2,FALSE)</f>
        <v>#N/A</v>
      </c>
    </row>
    <row r="284" spans="1:30" ht="30" customHeight="1" x14ac:dyDescent="0.3">
      <c r="A284" s="245"/>
      <c r="B284" s="101" t="s">
        <v>228</v>
      </c>
      <c r="C284" s="82" t="s">
        <v>230</v>
      </c>
      <c r="D284" s="80" t="s">
        <v>136</v>
      </c>
      <c r="E284" s="102" t="s">
        <v>246</v>
      </c>
      <c r="F284" s="82" t="s">
        <v>240</v>
      </c>
      <c r="G284" s="82" t="s">
        <v>196</v>
      </c>
      <c r="H284" s="82" t="s">
        <v>255</v>
      </c>
      <c r="I284" s="110" t="s">
        <v>198</v>
      </c>
      <c r="J284" s="110" t="s">
        <v>143</v>
      </c>
      <c r="K284" s="110" t="s">
        <v>366</v>
      </c>
      <c r="L284" s="110" t="s">
        <v>366</v>
      </c>
      <c r="M284" s="82">
        <v>2</v>
      </c>
      <c r="N284" s="82" t="s">
        <v>175</v>
      </c>
      <c r="O284" s="117" t="s">
        <v>367</v>
      </c>
      <c r="P284" s="123" t="e">
        <f t="shared" si="3"/>
        <v>#N/A</v>
      </c>
      <c r="Q284" s="119" t="str">
        <f>VLOOKUP($B284,'Component List'!$A$2:$B$30,2,FALSE)</f>
        <v>LD2</v>
      </c>
      <c r="R284" s="77" t="str">
        <f>VLOOKUP($C284,'Component List'!C$2:D$28,2,FALSE)</f>
        <v>SB0</v>
      </c>
      <c r="S284" s="77" t="str">
        <f>VLOOKUP($D284,'Component List'!E$2:F$30,2,FALSE)</f>
        <v>D</v>
      </c>
      <c r="T284" s="77">
        <f>VLOOKUP($E284,'Component List'!G$2:H$30,2,FALSE)</f>
        <v>301</v>
      </c>
      <c r="U284" s="77">
        <f>VLOOKUP($F284,'Component List'!I$2:J$30,2,FALSE)</f>
        <v>107</v>
      </c>
      <c r="V284" s="77">
        <f>VLOOKUP(G284,'Component List'!K$2:L$30,2,FALSE)</f>
        <v>102</v>
      </c>
      <c r="W284" s="77">
        <f>VLOOKUP(H284,'Component List'!M$2:N$31,2,FALSE)</f>
        <v>203</v>
      </c>
      <c r="X284" s="77">
        <f>VLOOKUP(I284,'Component List'!O$2:P$30,2,FALSE)</f>
        <v>100</v>
      </c>
      <c r="Y284" s="77" t="str">
        <f>VLOOKUP(J284,'Component List'!Q$2:R$30,2,FALSE)</f>
        <v>000</v>
      </c>
      <c r="Z284" s="77" t="e">
        <f>VLOOKUP(K284,'Component List'!S$2:T$30,2,FALSE)</f>
        <v>#N/A</v>
      </c>
      <c r="AA284" s="77" t="e">
        <f>VLOOKUP(L284,'Component List'!U$2:V$30,2,FALSE)</f>
        <v>#N/A</v>
      </c>
      <c r="AB284" s="77">
        <f>VLOOKUP(M284,'Component List'!AA$2:AB$30,2,FALSE)</f>
        <v>2</v>
      </c>
      <c r="AC284" s="77" t="str">
        <f>VLOOKUP(N284,'Component List'!Y$2:Z$30,2,FALSE)</f>
        <v>P</v>
      </c>
      <c r="AD284" s="159" t="e">
        <f>VLOOKUP(O284,'Component List'!W$3:X$30,2,FALSE)</f>
        <v>#N/A</v>
      </c>
    </row>
    <row r="285" spans="1:30" ht="30" customHeight="1" x14ac:dyDescent="0.3">
      <c r="A285" s="245"/>
      <c r="B285" s="101" t="s">
        <v>228</v>
      </c>
      <c r="C285" s="82" t="s">
        <v>230</v>
      </c>
      <c r="D285" s="80" t="s">
        <v>136</v>
      </c>
      <c r="E285" s="102" t="s">
        <v>246</v>
      </c>
      <c r="F285" s="82" t="s">
        <v>240</v>
      </c>
      <c r="G285" s="82" t="s">
        <v>196</v>
      </c>
      <c r="H285" s="82" t="s">
        <v>255</v>
      </c>
      <c r="I285" s="110" t="s">
        <v>198</v>
      </c>
      <c r="J285" s="110" t="s">
        <v>143</v>
      </c>
      <c r="K285" s="110" t="s">
        <v>366</v>
      </c>
      <c r="L285" s="110" t="s">
        <v>366</v>
      </c>
      <c r="M285" s="82">
        <v>2</v>
      </c>
      <c r="N285" s="82" t="s">
        <v>187</v>
      </c>
      <c r="O285" s="117" t="s">
        <v>367</v>
      </c>
      <c r="P285" s="123" t="e">
        <f t="shared" si="3"/>
        <v>#N/A</v>
      </c>
      <c r="Q285" s="119" t="str">
        <f>VLOOKUP($B285,'Component List'!$A$2:$B$30,2,FALSE)</f>
        <v>LD2</v>
      </c>
      <c r="R285" s="77" t="str">
        <f>VLOOKUP($C285,'Component List'!C$2:D$28,2,FALSE)</f>
        <v>SB0</v>
      </c>
      <c r="S285" s="77" t="str">
        <f>VLOOKUP($D285,'Component List'!E$2:F$30,2,FALSE)</f>
        <v>D</v>
      </c>
      <c r="T285" s="77">
        <f>VLOOKUP($E285,'Component List'!G$2:H$30,2,FALSE)</f>
        <v>301</v>
      </c>
      <c r="U285" s="77">
        <f>VLOOKUP($F285,'Component List'!I$2:J$30,2,FALSE)</f>
        <v>107</v>
      </c>
      <c r="V285" s="77">
        <f>VLOOKUP(G285,'Component List'!K$2:L$30,2,FALSE)</f>
        <v>102</v>
      </c>
      <c r="W285" s="77">
        <f>VLOOKUP(H285,'Component List'!M$2:N$31,2,FALSE)</f>
        <v>203</v>
      </c>
      <c r="X285" s="77">
        <f>VLOOKUP(I285,'Component List'!O$2:P$30,2,FALSE)</f>
        <v>100</v>
      </c>
      <c r="Y285" s="77" t="str">
        <f>VLOOKUP(J285,'Component List'!Q$2:R$30,2,FALSE)</f>
        <v>000</v>
      </c>
      <c r="Z285" s="77" t="e">
        <f>VLOOKUP(K285,'Component List'!S$2:T$30,2,FALSE)</f>
        <v>#N/A</v>
      </c>
      <c r="AA285" s="77" t="e">
        <f>VLOOKUP(L285,'Component List'!U$2:V$30,2,FALSE)</f>
        <v>#N/A</v>
      </c>
      <c r="AB285" s="77">
        <f>VLOOKUP(M285,'Component List'!AA$2:AB$30,2,FALSE)</f>
        <v>2</v>
      </c>
      <c r="AC285" s="77" t="str">
        <f>VLOOKUP(N285,'Component List'!Y$2:Z$30,2,FALSE)</f>
        <v>C</v>
      </c>
      <c r="AD285" s="159" t="e">
        <f>VLOOKUP(O285,'Component List'!W$3:X$30,2,FALSE)</f>
        <v>#N/A</v>
      </c>
    </row>
    <row r="286" spans="1:30" ht="30" customHeight="1" x14ac:dyDescent="0.3">
      <c r="A286" s="245"/>
      <c r="B286" s="101" t="s">
        <v>228</v>
      </c>
      <c r="C286" s="82" t="s">
        <v>230</v>
      </c>
      <c r="D286" s="80" t="s">
        <v>136</v>
      </c>
      <c r="E286" s="102" t="s">
        <v>246</v>
      </c>
      <c r="F286" s="82" t="s">
        <v>240</v>
      </c>
      <c r="G286" s="82" t="s">
        <v>196</v>
      </c>
      <c r="H286" s="82" t="s">
        <v>255</v>
      </c>
      <c r="I286" s="110" t="s">
        <v>198</v>
      </c>
      <c r="J286" s="110" t="s">
        <v>143</v>
      </c>
      <c r="K286" s="110" t="s">
        <v>366</v>
      </c>
      <c r="L286" s="110" t="s">
        <v>366</v>
      </c>
      <c r="M286" s="82">
        <v>3</v>
      </c>
      <c r="N286" s="82" t="s">
        <v>175</v>
      </c>
      <c r="O286" s="117" t="s">
        <v>367</v>
      </c>
      <c r="P286" s="123" t="e">
        <f t="shared" si="3"/>
        <v>#N/A</v>
      </c>
      <c r="Q286" s="119" t="str">
        <f>VLOOKUP($B286,'Component List'!$A$2:$B$30,2,FALSE)</f>
        <v>LD2</v>
      </c>
      <c r="R286" s="77" t="str">
        <f>VLOOKUP($C286,'Component List'!C$2:D$28,2,FALSE)</f>
        <v>SB0</v>
      </c>
      <c r="S286" s="77" t="str">
        <f>VLOOKUP($D286,'Component List'!E$2:F$30,2,FALSE)</f>
        <v>D</v>
      </c>
      <c r="T286" s="77">
        <f>VLOOKUP($E286,'Component List'!G$2:H$30,2,FALSE)</f>
        <v>301</v>
      </c>
      <c r="U286" s="77">
        <f>VLOOKUP($F286,'Component List'!I$2:J$30,2,FALSE)</f>
        <v>107</v>
      </c>
      <c r="V286" s="77">
        <f>VLOOKUP(G286,'Component List'!K$2:L$30,2,FALSE)</f>
        <v>102</v>
      </c>
      <c r="W286" s="77">
        <f>VLOOKUP(H286,'Component List'!M$2:N$31,2,FALSE)</f>
        <v>203</v>
      </c>
      <c r="X286" s="77">
        <f>VLOOKUP(I286,'Component List'!O$2:P$30,2,FALSE)</f>
        <v>100</v>
      </c>
      <c r="Y286" s="77" t="str">
        <f>VLOOKUP(J286,'Component List'!Q$2:R$30,2,FALSE)</f>
        <v>000</v>
      </c>
      <c r="Z286" s="77" t="e">
        <f>VLOOKUP(K286,'Component List'!S$2:T$30,2,FALSE)</f>
        <v>#N/A</v>
      </c>
      <c r="AA286" s="77" t="e">
        <f>VLOOKUP(L286,'Component List'!U$2:V$30,2,FALSE)</f>
        <v>#N/A</v>
      </c>
      <c r="AB286" s="77">
        <f>VLOOKUP(M286,'Component List'!AA$2:AB$30,2,FALSE)</f>
        <v>3</v>
      </c>
      <c r="AC286" s="77" t="str">
        <f>VLOOKUP(N286,'Component List'!Y$2:Z$30,2,FALSE)</f>
        <v>P</v>
      </c>
      <c r="AD286" s="159" t="e">
        <f>VLOOKUP(O286,'Component List'!W$3:X$30,2,FALSE)</f>
        <v>#N/A</v>
      </c>
    </row>
    <row r="287" spans="1:30" ht="30" customHeight="1" x14ac:dyDescent="0.3">
      <c r="A287" s="245"/>
      <c r="B287" s="101" t="s">
        <v>228</v>
      </c>
      <c r="C287" s="82" t="s">
        <v>230</v>
      </c>
      <c r="D287" s="80" t="s">
        <v>136</v>
      </c>
      <c r="E287" s="102" t="s">
        <v>246</v>
      </c>
      <c r="F287" s="82" t="s">
        <v>240</v>
      </c>
      <c r="G287" s="82" t="s">
        <v>196</v>
      </c>
      <c r="H287" s="82" t="s">
        <v>255</v>
      </c>
      <c r="I287" s="110" t="s">
        <v>198</v>
      </c>
      <c r="J287" s="110" t="s">
        <v>143</v>
      </c>
      <c r="K287" s="110" t="s">
        <v>366</v>
      </c>
      <c r="L287" s="110" t="s">
        <v>366</v>
      </c>
      <c r="M287" s="82">
        <v>3</v>
      </c>
      <c r="N287" s="82" t="s">
        <v>187</v>
      </c>
      <c r="O287" s="117" t="s">
        <v>367</v>
      </c>
      <c r="P287" s="123" t="e">
        <f t="shared" si="3"/>
        <v>#N/A</v>
      </c>
      <c r="Q287" s="119" t="str">
        <f>VLOOKUP($B287,'Component List'!$A$2:$B$30,2,FALSE)</f>
        <v>LD2</v>
      </c>
      <c r="R287" s="77" t="str">
        <f>VLOOKUP($C287,'Component List'!C$2:D$28,2,FALSE)</f>
        <v>SB0</v>
      </c>
      <c r="S287" s="77" t="str">
        <f>VLOOKUP($D287,'Component List'!E$2:F$30,2,FALSE)</f>
        <v>D</v>
      </c>
      <c r="T287" s="77">
        <f>VLOOKUP($E287,'Component List'!G$2:H$30,2,FALSE)</f>
        <v>301</v>
      </c>
      <c r="U287" s="77">
        <f>VLOOKUP($F287,'Component List'!I$2:J$30,2,FALSE)</f>
        <v>107</v>
      </c>
      <c r="V287" s="77">
        <f>VLOOKUP(G287,'Component List'!K$2:L$30,2,FALSE)</f>
        <v>102</v>
      </c>
      <c r="W287" s="77">
        <f>VLOOKUP(H287,'Component List'!M$2:N$31,2,FALSE)</f>
        <v>203</v>
      </c>
      <c r="X287" s="77">
        <f>VLOOKUP(I287,'Component List'!O$2:P$30,2,FALSE)</f>
        <v>100</v>
      </c>
      <c r="Y287" s="77" t="str">
        <f>VLOOKUP(J287,'Component List'!Q$2:R$30,2,FALSE)</f>
        <v>000</v>
      </c>
      <c r="Z287" s="77" t="e">
        <f>VLOOKUP(K287,'Component List'!S$2:T$30,2,FALSE)</f>
        <v>#N/A</v>
      </c>
      <c r="AA287" s="77" t="e">
        <f>VLOOKUP(L287,'Component List'!U$2:V$30,2,FALSE)</f>
        <v>#N/A</v>
      </c>
      <c r="AB287" s="77">
        <f>VLOOKUP(M287,'Component List'!AA$2:AB$30,2,FALSE)</f>
        <v>3</v>
      </c>
      <c r="AC287" s="77" t="str">
        <f>VLOOKUP(N287,'Component List'!Y$2:Z$30,2,FALSE)</f>
        <v>C</v>
      </c>
      <c r="AD287" s="159" t="e">
        <f>VLOOKUP(O287,'Component List'!W$3:X$30,2,FALSE)</f>
        <v>#N/A</v>
      </c>
    </row>
    <row r="288" spans="1:30" ht="30" customHeight="1" x14ac:dyDescent="0.3">
      <c r="A288" s="245"/>
      <c r="B288" s="101" t="s">
        <v>235</v>
      </c>
      <c r="C288" s="82" t="s">
        <v>230</v>
      </c>
      <c r="D288" s="80" t="s">
        <v>136</v>
      </c>
      <c r="E288" s="102" t="s">
        <v>246</v>
      </c>
      <c r="F288" s="82" t="s">
        <v>40</v>
      </c>
      <c r="G288" s="82" t="s">
        <v>196</v>
      </c>
      <c r="H288" s="82" t="s">
        <v>270</v>
      </c>
      <c r="I288" s="82" t="s">
        <v>185</v>
      </c>
      <c r="J288" s="82" t="s">
        <v>199</v>
      </c>
      <c r="K288" s="110" t="s">
        <v>366</v>
      </c>
      <c r="L288" s="110" t="s">
        <v>366</v>
      </c>
      <c r="M288" s="82">
        <v>1</v>
      </c>
      <c r="N288" s="82" t="s">
        <v>175</v>
      </c>
      <c r="O288" s="117" t="s">
        <v>367</v>
      </c>
      <c r="P288" s="123" t="e">
        <f t="shared" si="3"/>
        <v>#N/A</v>
      </c>
      <c r="Q288" s="119" t="str">
        <f>VLOOKUP($B288,'Component List'!$A$2:$B$30,2,FALSE)</f>
        <v>LD3</v>
      </c>
      <c r="R288" s="77" t="str">
        <f>VLOOKUP($C288,'Component List'!C$2:D$28,2,FALSE)</f>
        <v>SB0</v>
      </c>
      <c r="S288" s="77" t="str">
        <f>VLOOKUP($D288,'Component List'!E$2:F$30,2,FALSE)</f>
        <v>D</v>
      </c>
      <c r="T288" s="77">
        <f>VLOOKUP($E288,'Component List'!G$2:H$30,2,FALSE)</f>
        <v>301</v>
      </c>
      <c r="U288" s="77">
        <f>VLOOKUP($F288,'Component List'!I$2:J$30,2,FALSE)</f>
        <v>202</v>
      </c>
      <c r="V288" s="77">
        <f>VLOOKUP(G288,'Component List'!K$2:L$30,2,FALSE)</f>
        <v>102</v>
      </c>
      <c r="W288" s="77">
        <f>VLOOKUP(H288,'Component List'!M$2:N$31,2,FALSE)</f>
        <v>205</v>
      </c>
      <c r="X288" s="77">
        <f>VLOOKUP(I288,'Component List'!O$2:P$30,2,FALSE)</f>
        <v>200</v>
      </c>
      <c r="Y288" s="77">
        <f>VLOOKUP(J288,'Component List'!Q$2:R$30,2,FALSE)</f>
        <v>201</v>
      </c>
      <c r="Z288" s="77" t="e">
        <f>VLOOKUP(K288,'Component List'!S$2:T$30,2,FALSE)</f>
        <v>#N/A</v>
      </c>
      <c r="AA288" s="77" t="e">
        <f>VLOOKUP(L288,'Component List'!U$2:V$30,2,FALSE)</f>
        <v>#N/A</v>
      </c>
      <c r="AB288" s="77">
        <f>VLOOKUP(M288,'Component List'!AA$2:AB$30,2,FALSE)</f>
        <v>1</v>
      </c>
      <c r="AC288" s="77" t="str">
        <f>VLOOKUP(N288,'Component List'!Y$2:Z$30,2,FALSE)</f>
        <v>P</v>
      </c>
      <c r="AD288" s="159" t="e">
        <f>VLOOKUP(O288,'Component List'!W$3:X$30,2,FALSE)</f>
        <v>#N/A</v>
      </c>
    </row>
    <row r="289" spans="1:30" ht="30" customHeight="1" x14ac:dyDescent="0.3">
      <c r="A289" s="245"/>
      <c r="B289" s="101" t="s">
        <v>235</v>
      </c>
      <c r="C289" s="82" t="s">
        <v>230</v>
      </c>
      <c r="D289" s="80" t="s">
        <v>136</v>
      </c>
      <c r="E289" s="102" t="s">
        <v>246</v>
      </c>
      <c r="F289" s="82" t="s">
        <v>40</v>
      </c>
      <c r="G289" s="82" t="s">
        <v>196</v>
      </c>
      <c r="H289" s="82" t="s">
        <v>270</v>
      </c>
      <c r="I289" s="82" t="s">
        <v>185</v>
      </c>
      <c r="J289" s="82" t="s">
        <v>199</v>
      </c>
      <c r="K289" s="110" t="s">
        <v>366</v>
      </c>
      <c r="L289" s="110" t="s">
        <v>366</v>
      </c>
      <c r="M289" s="82">
        <v>1</v>
      </c>
      <c r="N289" s="82" t="s">
        <v>187</v>
      </c>
      <c r="O289" s="117" t="s">
        <v>367</v>
      </c>
      <c r="P289" s="123" t="e">
        <f t="shared" si="3"/>
        <v>#N/A</v>
      </c>
      <c r="Q289" s="119" t="str">
        <f>VLOOKUP($B289,'Component List'!$A$2:$B$30,2,FALSE)</f>
        <v>LD3</v>
      </c>
      <c r="R289" s="77" t="str">
        <f>VLOOKUP($C289,'Component List'!C$2:D$28,2,FALSE)</f>
        <v>SB0</v>
      </c>
      <c r="S289" s="77" t="str">
        <f>VLOOKUP($D289,'Component List'!E$2:F$30,2,FALSE)</f>
        <v>D</v>
      </c>
      <c r="T289" s="77">
        <f>VLOOKUP($E289,'Component List'!G$2:H$30,2,FALSE)</f>
        <v>301</v>
      </c>
      <c r="U289" s="77">
        <f>VLOOKUP($F289,'Component List'!I$2:J$30,2,FALSE)</f>
        <v>202</v>
      </c>
      <c r="V289" s="77">
        <f>VLOOKUP(G289,'Component List'!K$2:L$30,2,FALSE)</f>
        <v>102</v>
      </c>
      <c r="W289" s="77">
        <f>VLOOKUP(H289,'Component List'!M$2:N$31,2,FALSE)</f>
        <v>205</v>
      </c>
      <c r="X289" s="77">
        <f>VLOOKUP(I289,'Component List'!O$2:P$30,2,FALSE)</f>
        <v>200</v>
      </c>
      <c r="Y289" s="77">
        <f>VLOOKUP(J289,'Component List'!Q$2:R$30,2,FALSE)</f>
        <v>201</v>
      </c>
      <c r="Z289" s="77" t="e">
        <f>VLOOKUP(K289,'Component List'!S$2:T$30,2,FALSE)</f>
        <v>#N/A</v>
      </c>
      <c r="AA289" s="77" t="e">
        <f>VLOOKUP(L289,'Component List'!U$2:V$30,2,FALSE)</f>
        <v>#N/A</v>
      </c>
      <c r="AB289" s="77">
        <f>VLOOKUP(M289,'Component List'!AA$2:AB$30,2,FALSE)</f>
        <v>1</v>
      </c>
      <c r="AC289" s="77" t="str">
        <f>VLOOKUP(N289,'Component List'!Y$2:Z$30,2,FALSE)</f>
        <v>C</v>
      </c>
      <c r="AD289" s="159" t="e">
        <f>VLOOKUP(O289,'Component List'!W$3:X$30,2,FALSE)</f>
        <v>#N/A</v>
      </c>
    </row>
    <row r="290" spans="1:30" ht="30" customHeight="1" x14ac:dyDescent="0.3">
      <c r="A290" s="245"/>
      <c r="B290" s="101" t="s">
        <v>235</v>
      </c>
      <c r="C290" s="82" t="s">
        <v>230</v>
      </c>
      <c r="D290" s="80" t="s">
        <v>136</v>
      </c>
      <c r="E290" s="102" t="s">
        <v>246</v>
      </c>
      <c r="F290" s="82" t="s">
        <v>40</v>
      </c>
      <c r="G290" s="82" t="s">
        <v>196</v>
      </c>
      <c r="H290" s="82" t="s">
        <v>270</v>
      </c>
      <c r="I290" s="82" t="s">
        <v>185</v>
      </c>
      <c r="J290" s="82" t="s">
        <v>199</v>
      </c>
      <c r="K290" s="110" t="s">
        <v>366</v>
      </c>
      <c r="L290" s="110" t="s">
        <v>366</v>
      </c>
      <c r="M290" s="82">
        <v>2</v>
      </c>
      <c r="N290" s="82" t="s">
        <v>175</v>
      </c>
      <c r="O290" s="117" t="s">
        <v>367</v>
      </c>
      <c r="P290" s="123" t="e">
        <f t="shared" si="3"/>
        <v>#N/A</v>
      </c>
      <c r="Q290" s="119" t="str">
        <f>VLOOKUP($B290,'Component List'!$A$2:$B$30,2,FALSE)</f>
        <v>LD3</v>
      </c>
      <c r="R290" s="77" t="str">
        <f>VLOOKUP($C290,'Component List'!C$2:D$28,2,FALSE)</f>
        <v>SB0</v>
      </c>
      <c r="S290" s="77" t="str">
        <f>VLOOKUP($D290,'Component List'!E$2:F$30,2,FALSE)</f>
        <v>D</v>
      </c>
      <c r="T290" s="77">
        <f>VLOOKUP($E290,'Component List'!G$2:H$30,2,FALSE)</f>
        <v>301</v>
      </c>
      <c r="U290" s="77">
        <f>VLOOKUP($F290,'Component List'!I$2:J$30,2,FALSE)</f>
        <v>202</v>
      </c>
      <c r="V290" s="77">
        <f>VLOOKUP(G290,'Component List'!K$2:L$30,2,FALSE)</f>
        <v>102</v>
      </c>
      <c r="W290" s="77">
        <f>VLOOKUP(H290,'Component List'!M$2:N$31,2,FALSE)</f>
        <v>205</v>
      </c>
      <c r="X290" s="77">
        <f>VLOOKUP(I290,'Component List'!O$2:P$30,2,FALSE)</f>
        <v>200</v>
      </c>
      <c r="Y290" s="77">
        <f>VLOOKUP(J290,'Component List'!Q$2:R$30,2,FALSE)</f>
        <v>201</v>
      </c>
      <c r="Z290" s="77" t="e">
        <f>VLOOKUP(K290,'Component List'!S$2:T$30,2,FALSE)</f>
        <v>#N/A</v>
      </c>
      <c r="AA290" s="77" t="e">
        <f>VLOOKUP(L290,'Component List'!U$2:V$30,2,FALSE)</f>
        <v>#N/A</v>
      </c>
      <c r="AB290" s="77">
        <f>VLOOKUP(M290,'Component List'!AA$2:AB$30,2,FALSE)</f>
        <v>2</v>
      </c>
      <c r="AC290" s="77" t="str">
        <f>VLOOKUP(N290,'Component List'!Y$2:Z$30,2,FALSE)</f>
        <v>P</v>
      </c>
      <c r="AD290" s="159" t="e">
        <f>VLOOKUP(O290,'Component List'!W$3:X$30,2,FALSE)</f>
        <v>#N/A</v>
      </c>
    </row>
    <row r="291" spans="1:30" ht="30" customHeight="1" x14ac:dyDescent="0.3">
      <c r="A291" s="245"/>
      <c r="B291" s="101" t="s">
        <v>235</v>
      </c>
      <c r="C291" s="82" t="s">
        <v>230</v>
      </c>
      <c r="D291" s="80" t="s">
        <v>136</v>
      </c>
      <c r="E291" s="102" t="s">
        <v>246</v>
      </c>
      <c r="F291" s="82" t="s">
        <v>40</v>
      </c>
      <c r="G291" s="82" t="s">
        <v>196</v>
      </c>
      <c r="H291" s="82" t="s">
        <v>270</v>
      </c>
      <c r="I291" s="82" t="s">
        <v>185</v>
      </c>
      <c r="J291" s="82" t="s">
        <v>199</v>
      </c>
      <c r="K291" s="110" t="s">
        <v>366</v>
      </c>
      <c r="L291" s="110" t="s">
        <v>366</v>
      </c>
      <c r="M291" s="82">
        <v>2</v>
      </c>
      <c r="N291" s="82" t="s">
        <v>187</v>
      </c>
      <c r="O291" s="117" t="s">
        <v>367</v>
      </c>
      <c r="P291" s="123" t="e">
        <f t="shared" si="3"/>
        <v>#N/A</v>
      </c>
      <c r="Q291" s="119" t="str">
        <f>VLOOKUP($B291,'Component List'!$A$2:$B$30,2,FALSE)</f>
        <v>LD3</v>
      </c>
      <c r="R291" s="77" t="str">
        <f>VLOOKUP($C291,'Component List'!C$2:D$28,2,FALSE)</f>
        <v>SB0</v>
      </c>
      <c r="S291" s="77" t="str">
        <f>VLOOKUP($D291,'Component List'!E$2:F$30,2,FALSE)</f>
        <v>D</v>
      </c>
      <c r="T291" s="77">
        <f>VLOOKUP($E291,'Component List'!G$2:H$30,2,FALSE)</f>
        <v>301</v>
      </c>
      <c r="U291" s="77">
        <f>VLOOKUP($F291,'Component List'!I$2:J$30,2,FALSE)</f>
        <v>202</v>
      </c>
      <c r="V291" s="77">
        <f>VLOOKUP(G291,'Component List'!K$2:L$30,2,FALSE)</f>
        <v>102</v>
      </c>
      <c r="W291" s="77">
        <f>VLOOKUP(H291,'Component List'!M$2:N$31,2,FALSE)</f>
        <v>205</v>
      </c>
      <c r="X291" s="77">
        <f>VLOOKUP(I291,'Component List'!O$2:P$30,2,FALSE)</f>
        <v>200</v>
      </c>
      <c r="Y291" s="77">
        <f>VLOOKUP(J291,'Component List'!Q$2:R$30,2,FALSE)</f>
        <v>201</v>
      </c>
      <c r="Z291" s="77" t="e">
        <f>VLOOKUP(K291,'Component List'!S$2:T$30,2,FALSE)</f>
        <v>#N/A</v>
      </c>
      <c r="AA291" s="77" t="e">
        <f>VLOOKUP(L291,'Component List'!U$2:V$30,2,FALSE)</f>
        <v>#N/A</v>
      </c>
      <c r="AB291" s="77">
        <f>VLOOKUP(M291,'Component List'!AA$2:AB$30,2,FALSE)</f>
        <v>2</v>
      </c>
      <c r="AC291" s="77" t="str">
        <f>VLOOKUP(N291,'Component List'!Y$2:Z$30,2,FALSE)</f>
        <v>C</v>
      </c>
      <c r="AD291" s="159" t="e">
        <f>VLOOKUP(O291,'Component List'!W$3:X$30,2,FALSE)</f>
        <v>#N/A</v>
      </c>
    </row>
    <row r="292" spans="1:30" ht="30" customHeight="1" x14ac:dyDescent="0.3">
      <c r="A292" s="245"/>
      <c r="B292" s="101" t="s">
        <v>235</v>
      </c>
      <c r="C292" s="82" t="s">
        <v>230</v>
      </c>
      <c r="D292" s="80" t="s">
        <v>136</v>
      </c>
      <c r="E292" s="102" t="s">
        <v>246</v>
      </c>
      <c r="F292" s="82" t="s">
        <v>40</v>
      </c>
      <c r="G292" s="82" t="s">
        <v>196</v>
      </c>
      <c r="H292" s="82" t="s">
        <v>270</v>
      </c>
      <c r="I292" s="82" t="s">
        <v>185</v>
      </c>
      <c r="J292" s="82" t="s">
        <v>199</v>
      </c>
      <c r="K292" s="110" t="s">
        <v>366</v>
      </c>
      <c r="L292" s="110" t="s">
        <v>366</v>
      </c>
      <c r="M292" s="82">
        <v>3</v>
      </c>
      <c r="N292" s="82" t="s">
        <v>175</v>
      </c>
      <c r="O292" s="117" t="s">
        <v>367</v>
      </c>
      <c r="P292" s="123" t="e">
        <f t="shared" si="3"/>
        <v>#N/A</v>
      </c>
      <c r="Q292" s="119" t="str">
        <f>VLOOKUP($B292,'Component List'!$A$2:$B$30,2,FALSE)</f>
        <v>LD3</v>
      </c>
      <c r="R292" s="77" t="str">
        <f>VLOOKUP($C292,'Component List'!C$2:D$28,2,FALSE)</f>
        <v>SB0</v>
      </c>
      <c r="S292" s="77" t="str">
        <f>VLOOKUP($D292,'Component List'!E$2:F$30,2,FALSE)</f>
        <v>D</v>
      </c>
      <c r="T292" s="77">
        <f>VLOOKUP($E292,'Component List'!G$2:H$30,2,FALSE)</f>
        <v>301</v>
      </c>
      <c r="U292" s="77">
        <f>VLOOKUP($F292,'Component List'!I$2:J$30,2,FALSE)</f>
        <v>202</v>
      </c>
      <c r="V292" s="77">
        <f>VLOOKUP(G292,'Component List'!K$2:L$30,2,FALSE)</f>
        <v>102</v>
      </c>
      <c r="W292" s="77">
        <f>VLOOKUP(H292,'Component List'!M$2:N$31,2,FALSE)</f>
        <v>205</v>
      </c>
      <c r="X292" s="77">
        <f>VLOOKUP(I292,'Component List'!O$2:P$30,2,FALSE)</f>
        <v>200</v>
      </c>
      <c r="Y292" s="77">
        <f>VLOOKUP(J292,'Component List'!Q$2:R$30,2,FALSE)</f>
        <v>201</v>
      </c>
      <c r="Z292" s="77" t="e">
        <f>VLOOKUP(K292,'Component List'!S$2:T$30,2,FALSE)</f>
        <v>#N/A</v>
      </c>
      <c r="AA292" s="77" t="e">
        <f>VLOOKUP(L292,'Component List'!U$2:V$30,2,FALSE)</f>
        <v>#N/A</v>
      </c>
      <c r="AB292" s="77">
        <f>VLOOKUP(M292,'Component List'!AA$2:AB$30,2,FALSE)</f>
        <v>3</v>
      </c>
      <c r="AC292" s="77" t="str">
        <f>VLOOKUP(N292,'Component List'!Y$2:Z$30,2,FALSE)</f>
        <v>P</v>
      </c>
      <c r="AD292" s="159" t="e">
        <f>VLOOKUP(O292,'Component List'!W$3:X$30,2,FALSE)</f>
        <v>#N/A</v>
      </c>
    </row>
    <row r="293" spans="1:30" ht="30" customHeight="1" x14ac:dyDescent="0.3">
      <c r="A293" s="245"/>
      <c r="B293" s="101" t="s">
        <v>235</v>
      </c>
      <c r="C293" s="82" t="s">
        <v>230</v>
      </c>
      <c r="D293" s="80" t="s">
        <v>136</v>
      </c>
      <c r="E293" s="102" t="s">
        <v>246</v>
      </c>
      <c r="F293" s="82" t="s">
        <v>40</v>
      </c>
      <c r="G293" s="82" t="s">
        <v>196</v>
      </c>
      <c r="H293" s="82" t="s">
        <v>270</v>
      </c>
      <c r="I293" s="82" t="s">
        <v>185</v>
      </c>
      <c r="J293" s="82" t="s">
        <v>199</v>
      </c>
      <c r="K293" s="110" t="s">
        <v>366</v>
      </c>
      <c r="L293" s="110" t="s">
        <v>366</v>
      </c>
      <c r="M293" s="82">
        <v>3</v>
      </c>
      <c r="N293" s="82" t="s">
        <v>187</v>
      </c>
      <c r="O293" s="117" t="s">
        <v>367</v>
      </c>
      <c r="P293" s="123" t="e">
        <f t="shared" si="3"/>
        <v>#N/A</v>
      </c>
      <c r="Q293" s="119" t="str">
        <f>VLOOKUP($B293,'Component List'!$A$2:$B$30,2,FALSE)</f>
        <v>LD3</v>
      </c>
      <c r="R293" s="77" t="str">
        <f>VLOOKUP($C293,'Component List'!C$2:D$28,2,FALSE)</f>
        <v>SB0</v>
      </c>
      <c r="S293" s="77" t="str">
        <f>VLOOKUP($D293,'Component List'!E$2:F$30,2,FALSE)</f>
        <v>D</v>
      </c>
      <c r="T293" s="77">
        <f>VLOOKUP($E293,'Component List'!G$2:H$30,2,FALSE)</f>
        <v>301</v>
      </c>
      <c r="U293" s="77">
        <f>VLOOKUP($F293,'Component List'!I$2:J$30,2,FALSE)</f>
        <v>202</v>
      </c>
      <c r="V293" s="77">
        <f>VLOOKUP(G293,'Component List'!K$2:L$30,2,FALSE)</f>
        <v>102</v>
      </c>
      <c r="W293" s="77">
        <f>VLOOKUP(H293,'Component List'!M$2:N$31,2,FALSE)</f>
        <v>205</v>
      </c>
      <c r="X293" s="77">
        <f>VLOOKUP(I293,'Component List'!O$2:P$30,2,FALSE)</f>
        <v>200</v>
      </c>
      <c r="Y293" s="77">
        <f>VLOOKUP(J293,'Component List'!Q$2:R$30,2,FALSE)</f>
        <v>201</v>
      </c>
      <c r="Z293" s="77" t="e">
        <f>VLOOKUP(K293,'Component List'!S$2:T$30,2,FALSE)</f>
        <v>#N/A</v>
      </c>
      <c r="AA293" s="77" t="e">
        <f>VLOOKUP(L293,'Component List'!U$2:V$30,2,FALSE)</f>
        <v>#N/A</v>
      </c>
      <c r="AB293" s="77">
        <f>VLOOKUP(M293,'Component List'!AA$2:AB$30,2,FALSE)</f>
        <v>3</v>
      </c>
      <c r="AC293" s="77" t="str">
        <f>VLOOKUP(N293,'Component List'!Y$2:Z$30,2,FALSE)</f>
        <v>C</v>
      </c>
      <c r="AD293" s="159" t="e">
        <f>VLOOKUP(O293,'Component List'!W$3:X$30,2,FALSE)</f>
        <v>#N/A</v>
      </c>
    </row>
    <row r="294" spans="1:30" ht="30" customHeight="1" x14ac:dyDescent="0.3">
      <c r="A294" s="245"/>
      <c r="B294" s="101" t="s">
        <v>235</v>
      </c>
      <c r="C294" s="82" t="s">
        <v>230</v>
      </c>
      <c r="D294" s="80" t="s">
        <v>136</v>
      </c>
      <c r="E294" s="102" t="s">
        <v>246</v>
      </c>
      <c r="F294" s="82" t="s">
        <v>240</v>
      </c>
      <c r="G294" s="82" t="s">
        <v>196</v>
      </c>
      <c r="H294" s="82" t="s">
        <v>255</v>
      </c>
      <c r="I294" s="110" t="s">
        <v>198</v>
      </c>
      <c r="J294" s="110" t="s">
        <v>143</v>
      </c>
      <c r="K294" s="110" t="s">
        <v>366</v>
      </c>
      <c r="L294" s="110" t="s">
        <v>366</v>
      </c>
      <c r="M294" s="82">
        <v>1</v>
      </c>
      <c r="N294" s="82" t="s">
        <v>175</v>
      </c>
      <c r="O294" s="117" t="s">
        <v>367</v>
      </c>
      <c r="P294" s="123" t="e">
        <f t="shared" si="3"/>
        <v>#N/A</v>
      </c>
      <c r="Q294" s="119" t="str">
        <f>VLOOKUP($B294,'Component List'!$A$2:$B$30,2,FALSE)</f>
        <v>LD3</v>
      </c>
      <c r="R294" s="77" t="str">
        <f>VLOOKUP($C294,'Component List'!C$2:D$28,2,FALSE)</f>
        <v>SB0</v>
      </c>
      <c r="S294" s="77" t="str">
        <f>VLOOKUP($D294,'Component List'!E$2:F$30,2,FALSE)</f>
        <v>D</v>
      </c>
      <c r="T294" s="77">
        <f>VLOOKUP($E294,'Component List'!G$2:H$30,2,FALSE)</f>
        <v>301</v>
      </c>
      <c r="U294" s="77">
        <f>VLOOKUP($F294,'Component List'!I$2:J$30,2,FALSE)</f>
        <v>107</v>
      </c>
      <c r="V294" s="77">
        <f>VLOOKUP(G294,'Component List'!K$2:L$30,2,FALSE)</f>
        <v>102</v>
      </c>
      <c r="W294" s="77">
        <f>VLOOKUP(H294,'Component List'!M$2:N$31,2,FALSE)</f>
        <v>203</v>
      </c>
      <c r="X294" s="77">
        <f>VLOOKUP(I294,'Component List'!O$2:P$30,2,FALSE)</f>
        <v>100</v>
      </c>
      <c r="Y294" s="77" t="str">
        <f>VLOOKUP(J294,'Component List'!Q$2:R$30,2,FALSE)</f>
        <v>000</v>
      </c>
      <c r="Z294" s="77" t="e">
        <f>VLOOKUP(K294,'Component List'!S$2:T$30,2,FALSE)</f>
        <v>#N/A</v>
      </c>
      <c r="AA294" s="77" t="e">
        <f>VLOOKUP(L294,'Component List'!U$2:V$30,2,FALSE)</f>
        <v>#N/A</v>
      </c>
      <c r="AB294" s="77">
        <f>VLOOKUP(M294,'Component List'!AA$2:AB$30,2,FALSE)</f>
        <v>1</v>
      </c>
      <c r="AC294" s="77" t="str">
        <f>VLOOKUP(N294,'Component List'!Y$2:Z$30,2,FALSE)</f>
        <v>P</v>
      </c>
      <c r="AD294" s="159" t="e">
        <f>VLOOKUP(O294,'Component List'!W$3:X$30,2,FALSE)</f>
        <v>#N/A</v>
      </c>
    </row>
    <row r="295" spans="1:30" ht="30" customHeight="1" x14ac:dyDescent="0.3">
      <c r="A295" s="245"/>
      <c r="B295" s="101" t="s">
        <v>235</v>
      </c>
      <c r="C295" s="82" t="s">
        <v>230</v>
      </c>
      <c r="D295" s="80" t="s">
        <v>136</v>
      </c>
      <c r="E295" s="102" t="s">
        <v>246</v>
      </c>
      <c r="F295" s="82" t="s">
        <v>240</v>
      </c>
      <c r="G295" s="82" t="s">
        <v>196</v>
      </c>
      <c r="H295" s="82" t="s">
        <v>255</v>
      </c>
      <c r="I295" s="110" t="s">
        <v>198</v>
      </c>
      <c r="J295" s="110" t="s">
        <v>143</v>
      </c>
      <c r="K295" s="110" t="s">
        <v>366</v>
      </c>
      <c r="L295" s="110" t="s">
        <v>366</v>
      </c>
      <c r="M295" s="82">
        <v>1</v>
      </c>
      <c r="N295" s="82" t="s">
        <v>187</v>
      </c>
      <c r="O295" s="117" t="s">
        <v>367</v>
      </c>
      <c r="P295" s="123" t="e">
        <f t="shared" si="3"/>
        <v>#N/A</v>
      </c>
      <c r="Q295" s="119" t="str">
        <f>VLOOKUP($B295,'Component List'!$A$2:$B$30,2,FALSE)</f>
        <v>LD3</v>
      </c>
      <c r="R295" s="77" t="str">
        <f>VLOOKUP($C295,'Component List'!C$2:D$28,2,FALSE)</f>
        <v>SB0</v>
      </c>
      <c r="S295" s="77" t="str">
        <f>VLOOKUP($D295,'Component List'!E$2:F$30,2,FALSE)</f>
        <v>D</v>
      </c>
      <c r="T295" s="77">
        <f>VLOOKUP($E295,'Component List'!G$2:H$30,2,FALSE)</f>
        <v>301</v>
      </c>
      <c r="U295" s="77">
        <f>VLOOKUP($F295,'Component List'!I$2:J$30,2,FALSE)</f>
        <v>107</v>
      </c>
      <c r="V295" s="77">
        <f>VLOOKUP(G295,'Component List'!K$2:L$30,2,FALSE)</f>
        <v>102</v>
      </c>
      <c r="W295" s="77">
        <f>VLOOKUP(H295,'Component List'!M$2:N$31,2,FALSE)</f>
        <v>203</v>
      </c>
      <c r="X295" s="77">
        <f>VLOOKUP(I295,'Component List'!O$2:P$30,2,FALSE)</f>
        <v>100</v>
      </c>
      <c r="Y295" s="77" t="str">
        <f>VLOOKUP(J295,'Component List'!Q$2:R$30,2,FALSE)</f>
        <v>000</v>
      </c>
      <c r="Z295" s="77" t="e">
        <f>VLOOKUP(K295,'Component List'!S$2:T$30,2,FALSE)</f>
        <v>#N/A</v>
      </c>
      <c r="AA295" s="77" t="e">
        <f>VLOOKUP(L295,'Component List'!U$2:V$30,2,FALSE)</f>
        <v>#N/A</v>
      </c>
      <c r="AB295" s="77">
        <f>VLOOKUP(M295,'Component List'!AA$2:AB$30,2,FALSE)</f>
        <v>1</v>
      </c>
      <c r="AC295" s="77" t="str">
        <f>VLOOKUP(N295,'Component List'!Y$2:Z$30,2,FALSE)</f>
        <v>C</v>
      </c>
      <c r="AD295" s="159" t="e">
        <f>VLOOKUP(O295,'Component List'!W$3:X$30,2,FALSE)</f>
        <v>#N/A</v>
      </c>
    </row>
    <row r="296" spans="1:30" ht="30" customHeight="1" x14ac:dyDescent="0.3">
      <c r="A296" s="245"/>
      <c r="B296" s="101" t="s">
        <v>235</v>
      </c>
      <c r="C296" s="82" t="s">
        <v>230</v>
      </c>
      <c r="D296" s="80" t="s">
        <v>136</v>
      </c>
      <c r="E296" s="102" t="s">
        <v>246</v>
      </c>
      <c r="F296" s="82" t="s">
        <v>240</v>
      </c>
      <c r="G296" s="82" t="s">
        <v>196</v>
      </c>
      <c r="H296" s="82" t="s">
        <v>255</v>
      </c>
      <c r="I296" s="110" t="s">
        <v>198</v>
      </c>
      <c r="J296" s="110" t="s">
        <v>143</v>
      </c>
      <c r="K296" s="110" t="s">
        <v>366</v>
      </c>
      <c r="L296" s="110" t="s">
        <v>366</v>
      </c>
      <c r="M296" s="82">
        <v>2</v>
      </c>
      <c r="N296" s="82" t="s">
        <v>175</v>
      </c>
      <c r="O296" s="117" t="s">
        <v>367</v>
      </c>
      <c r="P296" s="123" t="e">
        <f t="shared" si="3"/>
        <v>#N/A</v>
      </c>
      <c r="Q296" s="119" t="str">
        <f>VLOOKUP($B296,'Component List'!$A$2:$B$30,2,FALSE)</f>
        <v>LD3</v>
      </c>
      <c r="R296" s="77" t="str">
        <f>VLOOKUP($C296,'Component List'!C$2:D$28,2,FALSE)</f>
        <v>SB0</v>
      </c>
      <c r="S296" s="77" t="str">
        <f>VLOOKUP($D296,'Component List'!E$2:F$30,2,FALSE)</f>
        <v>D</v>
      </c>
      <c r="T296" s="77">
        <f>VLOOKUP($E296,'Component List'!G$2:H$30,2,FALSE)</f>
        <v>301</v>
      </c>
      <c r="U296" s="77">
        <f>VLOOKUP($F296,'Component List'!I$2:J$30,2,FALSE)</f>
        <v>107</v>
      </c>
      <c r="V296" s="77">
        <f>VLOOKUP(G296,'Component List'!K$2:L$30,2,FALSE)</f>
        <v>102</v>
      </c>
      <c r="W296" s="77">
        <f>VLOOKUP(H296,'Component List'!M$2:N$31,2,FALSE)</f>
        <v>203</v>
      </c>
      <c r="X296" s="77">
        <f>VLOOKUP(I296,'Component List'!O$2:P$30,2,FALSE)</f>
        <v>100</v>
      </c>
      <c r="Y296" s="77" t="str">
        <f>VLOOKUP(J296,'Component List'!Q$2:R$30,2,FALSE)</f>
        <v>000</v>
      </c>
      <c r="Z296" s="77" t="e">
        <f>VLOOKUP(K296,'Component List'!S$2:T$30,2,FALSE)</f>
        <v>#N/A</v>
      </c>
      <c r="AA296" s="77" t="e">
        <f>VLOOKUP(L296,'Component List'!U$2:V$30,2,FALSE)</f>
        <v>#N/A</v>
      </c>
      <c r="AB296" s="77">
        <f>VLOOKUP(M296,'Component List'!AA$2:AB$30,2,FALSE)</f>
        <v>2</v>
      </c>
      <c r="AC296" s="77" t="str">
        <f>VLOOKUP(N296,'Component List'!Y$2:Z$30,2,FALSE)</f>
        <v>P</v>
      </c>
      <c r="AD296" s="159" t="e">
        <f>VLOOKUP(O296,'Component List'!W$3:X$30,2,FALSE)</f>
        <v>#N/A</v>
      </c>
    </row>
    <row r="297" spans="1:30" ht="30" customHeight="1" x14ac:dyDescent="0.3">
      <c r="A297" s="245"/>
      <c r="B297" s="101" t="s">
        <v>235</v>
      </c>
      <c r="C297" s="82" t="s">
        <v>230</v>
      </c>
      <c r="D297" s="80" t="s">
        <v>136</v>
      </c>
      <c r="E297" s="102" t="s">
        <v>246</v>
      </c>
      <c r="F297" s="82" t="s">
        <v>240</v>
      </c>
      <c r="G297" s="82" t="s">
        <v>196</v>
      </c>
      <c r="H297" s="82" t="s">
        <v>255</v>
      </c>
      <c r="I297" s="110" t="s">
        <v>198</v>
      </c>
      <c r="J297" s="110" t="s">
        <v>143</v>
      </c>
      <c r="K297" s="110" t="s">
        <v>366</v>
      </c>
      <c r="L297" s="110" t="s">
        <v>366</v>
      </c>
      <c r="M297" s="82">
        <v>2</v>
      </c>
      <c r="N297" s="82" t="s">
        <v>187</v>
      </c>
      <c r="O297" s="117" t="s">
        <v>367</v>
      </c>
      <c r="P297" s="123" t="e">
        <f t="shared" si="3"/>
        <v>#N/A</v>
      </c>
      <c r="Q297" s="119" t="str">
        <f>VLOOKUP($B297,'Component List'!$A$2:$B$30,2,FALSE)</f>
        <v>LD3</v>
      </c>
      <c r="R297" s="77" t="str">
        <f>VLOOKUP($C297,'Component List'!C$2:D$28,2,FALSE)</f>
        <v>SB0</v>
      </c>
      <c r="S297" s="77" t="str">
        <f>VLOOKUP($D297,'Component List'!E$2:F$30,2,FALSE)</f>
        <v>D</v>
      </c>
      <c r="T297" s="77">
        <f>VLOOKUP($E297,'Component List'!G$2:H$30,2,FALSE)</f>
        <v>301</v>
      </c>
      <c r="U297" s="77">
        <f>VLOOKUP($F297,'Component List'!I$2:J$30,2,FALSE)</f>
        <v>107</v>
      </c>
      <c r="V297" s="77">
        <f>VLOOKUP(G297,'Component List'!K$2:L$30,2,FALSE)</f>
        <v>102</v>
      </c>
      <c r="W297" s="77">
        <f>VLOOKUP(H297,'Component List'!M$2:N$31,2,FALSE)</f>
        <v>203</v>
      </c>
      <c r="X297" s="77">
        <f>VLOOKUP(I297,'Component List'!O$2:P$30,2,FALSE)</f>
        <v>100</v>
      </c>
      <c r="Y297" s="77" t="str">
        <f>VLOOKUP(J297,'Component List'!Q$2:R$30,2,FALSE)</f>
        <v>000</v>
      </c>
      <c r="Z297" s="77" t="e">
        <f>VLOOKUP(K297,'Component List'!S$2:T$30,2,FALSE)</f>
        <v>#N/A</v>
      </c>
      <c r="AA297" s="77" t="e">
        <f>VLOOKUP(L297,'Component List'!U$2:V$30,2,FALSE)</f>
        <v>#N/A</v>
      </c>
      <c r="AB297" s="77">
        <f>VLOOKUP(M297,'Component List'!AA$2:AB$30,2,FALSE)</f>
        <v>2</v>
      </c>
      <c r="AC297" s="77" t="str">
        <f>VLOOKUP(N297,'Component List'!Y$2:Z$30,2,FALSE)</f>
        <v>C</v>
      </c>
      <c r="AD297" s="159" t="e">
        <f>VLOOKUP(O297,'Component List'!W$3:X$30,2,FALSE)</f>
        <v>#N/A</v>
      </c>
    </row>
    <row r="298" spans="1:30" ht="30" customHeight="1" x14ac:dyDescent="0.3">
      <c r="A298" s="245"/>
      <c r="B298" s="101" t="s">
        <v>235</v>
      </c>
      <c r="C298" s="82" t="s">
        <v>230</v>
      </c>
      <c r="D298" s="80" t="s">
        <v>136</v>
      </c>
      <c r="E298" s="102" t="s">
        <v>246</v>
      </c>
      <c r="F298" s="82" t="s">
        <v>240</v>
      </c>
      <c r="G298" s="82" t="s">
        <v>196</v>
      </c>
      <c r="H298" s="82" t="s">
        <v>255</v>
      </c>
      <c r="I298" s="110" t="s">
        <v>198</v>
      </c>
      <c r="J298" s="110" t="s">
        <v>143</v>
      </c>
      <c r="K298" s="110" t="s">
        <v>366</v>
      </c>
      <c r="L298" s="110" t="s">
        <v>366</v>
      </c>
      <c r="M298" s="82">
        <v>3</v>
      </c>
      <c r="N298" s="82" t="s">
        <v>175</v>
      </c>
      <c r="O298" s="117" t="s">
        <v>367</v>
      </c>
      <c r="P298" s="123" t="e">
        <f t="shared" si="3"/>
        <v>#N/A</v>
      </c>
      <c r="Q298" s="119" t="str">
        <f>VLOOKUP($B298,'Component List'!$A$2:$B$30,2,FALSE)</f>
        <v>LD3</v>
      </c>
      <c r="R298" s="77" t="str">
        <f>VLOOKUP($C298,'Component List'!C$2:D$28,2,FALSE)</f>
        <v>SB0</v>
      </c>
      <c r="S298" s="77" t="str">
        <f>VLOOKUP($D298,'Component List'!E$2:F$30,2,FALSE)</f>
        <v>D</v>
      </c>
      <c r="T298" s="77">
        <f>VLOOKUP($E298,'Component List'!G$2:H$30,2,FALSE)</f>
        <v>301</v>
      </c>
      <c r="U298" s="77">
        <f>VLOOKUP($F298,'Component List'!I$2:J$30,2,FALSE)</f>
        <v>107</v>
      </c>
      <c r="V298" s="77">
        <f>VLOOKUP(G298,'Component List'!K$2:L$30,2,FALSE)</f>
        <v>102</v>
      </c>
      <c r="W298" s="77">
        <f>VLOOKUP(H298,'Component List'!M$2:N$31,2,FALSE)</f>
        <v>203</v>
      </c>
      <c r="X298" s="77">
        <f>VLOOKUP(I298,'Component List'!O$2:P$30,2,FALSE)</f>
        <v>100</v>
      </c>
      <c r="Y298" s="77" t="str">
        <f>VLOOKUP(J298,'Component List'!Q$2:R$30,2,FALSE)</f>
        <v>000</v>
      </c>
      <c r="Z298" s="77" t="e">
        <f>VLOOKUP(K298,'Component List'!S$2:T$30,2,FALSE)</f>
        <v>#N/A</v>
      </c>
      <c r="AA298" s="77" t="e">
        <f>VLOOKUP(L298,'Component List'!U$2:V$30,2,FALSE)</f>
        <v>#N/A</v>
      </c>
      <c r="AB298" s="77">
        <f>VLOOKUP(M298,'Component List'!AA$2:AB$30,2,FALSE)</f>
        <v>3</v>
      </c>
      <c r="AC298" s="77" t="str">
        <f>VLOOKUP(N298,'Component List'!Y$2:Z$30,2,FALSE)</f>
        <v>P</v>
      </c>
      <c r="AD298" s="159" t="e">
        <f>VLOOKUP(O298,'Component List'!W$3:X$30,2,FALSE)</f>
        <v>#N/A</v>
      </c>
    </row>
    <row r="299" spans="1:30" ht="30" customHeight="1" x14ac:dyDescent="0.3">
      <c r="A299" s="245"/>
      <c r="B299" s="101" t="s">
        <v>235</v>
      </c>
      <c r="C299" s="82" t="s">
        <v>230</v>
      </c>
      <c r="D299" s="80" t="s">
        <v>136</v>
      </c>
      <c r="E299" s="102" t="s">
        <v>246</v>
      </c>
      <c r="F299" s="82" t="s">
        <v>240</v>
      </c>
      <c r="G299" s="82" t="s">
        <v>196</v>
      </c>
      <c r="H299" s="82" t="s">
        <v>255</v>
      </c>
      <c r="I299" s="110" t="s">
        <v>198</v>
      </c>
      <c r="J299" s="110" t="s">
        <v>143</v>
      </c>
      <c r="K299" s="110" t="s">
        <v>366</v>
      </c>
      <c r="L299" s="110" t="s">
        <v>366</v>
      </c>
      <c r="M299" s="82">
        <v>3</v>
      </c>
      <c r="N299" s="82" t="s">
        <v>187</v>
      </c>
      <c r="O299" s="117" t="s">
        <v>367</v>
      </c>
      <c r="P299" s="123" t="e">
        <f t="shared" si="3"/>
        <v>#N/A</v>
      </c>
      <c r="Q299" s="119" t="str">
        <f>VLOOKUP($B299,'Component List'!$A$2:$B$30,2,FALSE)</f>
        <v>LD3</v>
      </c>
      <c r="R299" s="77" t="str">
        <f>VLOOKUP($C299,'Component List'!C$2:D$28,2,FALSE)</f>
        <v>SB0</v>
      </c>
      <c r="S299" s="77" t="str">
        <f>VLOOKUP($D299,'Component List'!E$2:F$30,2,FALSE)</f>
        <v>D</v>
      </c>
      <c r="T299" s="77">
        <f>VLOOKUP($E299,'Component List'!G$2:H$30,2,FALSE)</f>
        <v>301</v>
      </c>
      <c r="U299" s="77">
        <f>VLOOKUP($F299,'Component List'!I$2:J$30,2,FALSE)</f>
        <v>107</v>
      </c>
      <c r="V299" s="77">
        <f>VLOOKUP(G299,'Component List'!K$2:L$30,2,FALSE)</f>
        <v>102</v>
      </c>
      <c r="W299" s="77">
        <f>VLOOKUP(H299,'Component List'!M$2:N$31,2,FALSE)</f>
        <v>203</v>
      </c>
      <c r="X299" s="77">
        <f>VLOOKUP(I299,'Component List'!O$2:P$30,2,FALSE)</f>
        <v>100</v>
      </c>
      <c r="Y299" s="77" t="str">
        <f>VLOOKUP(J299,'Component List'!Q$2:R$30,2,FALSE)</f>
        <v>000</v>
      </c>
      <c r="Z299" s="77" t="e">
        <f>VLOOKUP(K299,'Component List'!S$2:T$30,2,FALSE)</f>
        <v>#N/A</v>
      </c>
      <c r="AA299" s="77" t="e">
        <f>VLOOKUP(L299,'Component List'!U$2:V$30,2,FALSE)</f>
        <v>#N/A</v>
      </c>
      <c r="AB299" s="77">
        <f>VLOOKUP(M299,'Component List'!AA$2:AB$30,2,FALSE)</f>
        <v>3</v>
      </c>
      <c r="AC299" s="77" t="str">
        <f>VLOOKUP(N299,'Component List'!Y$2:Z$30,2,FALSE)</f>
        <v>C</v>
      </c>
      <c r="AD299" s="159" t="e">
        <f>VLOOKUP(O299,'Component List'!W$3:X$30,2,FALSE)</f>
        <v>#N/A</v>
      </c>
    </row>
    <row r="300" spans="1:30" ht="30" customHeight="1" x14ac:dyDescent="0.3">
      <c r="A300" s="245"/>
      <c r="B300" s="101" t="s">
        <v>228</v>
      </c>
      <c r="C300" s="82" t="s">
        <v>230</v>
      </c>
      <c r="D300" s="80" t="s">
        <v>136</v>
      </c>
      <c r="E300" s="111" t="s">
        <v>170</v>
      </c>
      <c r="F300" s="82" t="s">
        <v>262</v>
      </c>
      <c r="G300" s="82" t="s">
        <v>196</v>
      </c>
      <c r="H300" s="82" t="s">
        <v>218</v>
      </c>
      <c r="I300" s="110" t="s">
        <v>198</v>
      </c>
      <c r="J300" s="110" t="s">
        <v>143</v>
      </c>
      <c r="K300" s="110" t="s">
        <v>366</v>
      </c>
      <c r="L300" s="110" t="s">
        <v>366</v>
      </c>
      <c r="M300" s="82">
        <v>1</v>
      </c>
      <c r="N300" s="82" t="s">
        <v>175</v>
      </c>
      <c r="O300" s="117" t="s">
        <v>367</v>
      </c>
      <c r="P300" s="123" t="e">
        <f t="shared" si="3"/>
        <v>#N/A</v>
      </c>
      <c r="Q300" s="119" t="str">
        <f>VLOOKUP($B300,'Component List'!$A$2:$B$30,2,FALSE)</f>
        <v>LD2</v>
      </c>
      <c r="R300" s="77" t="str">
        <f>VLOOKUP($C300,'Component List'!C$2:D$28,2,FALSE)</f>
        <v>SB0</v>
      </c>
      <c r="S300" s="77" t="str">
        <f>VLOOKUP($D300,'Component List'!E$2:F$30,2,FALSE)</f>
        <v>D</v>
      </c>
      <c r="T300" s="77">
        <f>VLOOKUP($E300,'Component List'!G$2:H$30,2,FALSE)</f>
        <v>100</v>
      </c>
      <c r="U300" s="77">
        <f>VLOOKUP($F300,'Component List'!I$2:J$30,2,FALSE)</f>
        <v>110</v>
      </c>
      <c r="V300" s="77">
        <f>VLOOKUP(G300,'Component List'!K$2:L$30,2,FALSE)</f>
        <v>102</v>
      </c>
      <c r="W300" s="77">
        <f>VLOOKUP(H300,'Component List'!M$2:N$31,2,FALSE)</f>
        <v>104</v>
      </c>
      <c r="X300" s="77">
        <f>VLOOKUP(I300,'Component List'!O$2:P$30,2,FALSE)</f>
        <v>100</v>
      </c>
      <c r="Y300" s="77" t="str">
        <f>VLOOKUP(J300,'Component List'!Q$2:R$30,2,FALSE)</f>
        <v>000</v>
      </c>
      <c r="Z300" s="77" t="e">
        <f>VLOOKUP(K300,'Component List'!S$2:T$30,2,FALSE)</f>
        <v>#N/A</v>
      </c>
      <c r="AA300" s="77" t="e">
        <f>VLOOKUP(L300,'Component List'!U$2:V$30,2,FALSE)</f>
        <v>#N/A</v>
      </c>
      <c r="AB300" s="77">
        <f>VLOOKUP(M300,'Component List'!AA$2:AB$30,2,FALSE)</f>
        <v>1</v>
      </c>
      <c r="AC300" s="77" t="str">
        <f>VLOOKUP(N300,'Component List'!Y$2:Z$30,2,FALSE)</f>
        <v>P</v>
      </c>
      <c r="AD300" s="159" t="e">
        <f>VLOOKUP(O300,'Component List'!W$3:X$30,2,FALSE)</f>
        <v>#N/A</v>
      </c>
    </row>
    <row r="301" spans="1:30" ht="30" customHeight="1" x14ac:dyDescent="0.3">
      <c r="A301" s="245"/>
      <c r="B301" s="101" t="s">
        <v>228</v>
      </c>
      <c r="C301" s="82" t="s">
        <v>230</v>
      </c>
      <c r="D301" s="80" t="s">
        <v>136</v>
      </c>
      <c r="E301" s="111" t="s">
        <v>170</v>
      </c>
      <c r="F301" s="82" t="s">
        <v>262</v>
      </c>
      <c r="G301" s="82" t="s">
        <v>196</v>
      </c>
      <c r="H301" s="82" t="s">
        <v>218</v>
      </c>
      <c r="I301" s="110" t="s">
        <v>198</v>
      </c>
      <c r="J301" s="110" t="s">
        <v>143</v>
      </c>
      <c r="K301" s="110" t="s">
        <v>366</v>
      </c>
      <c r="L301" s="110" t="s">
        <v>366</v>
      </c>
      <c r="M301" s="82">
        <v>1</v>
      </c>
      <c r="N301" s="82" t="s">
        <v>187</v>
      </c>
      <c r="O301" s="117" t="s">
        <v>367</v>
      </c>
      <c r="P301" s="123" t="e">
        <f t="shared" si="3"/>
        <v>#N/A</v>
      </c>
      <c r="Q301" s="119" t="str">
        <f>VLOOKUP($B301,'Component List'!$A$2:$B$30,2,FALSE)</f>
        <v>LD2</v>
      </c>
      <c r="R301" s="77" t="str">
        <f>VLOOKUP($C301,'Component List'!C$2:D$28,2,FALSE)</f>
        <v>SB0</v>
      </c>
      <c r="S301" s="77" t="str">
        <f>VLOOKUP($D301,'Component List'!E$2:F$30,2,FALSE)</f>
        <v>D</v>
      </c>
      <c r="T301" s="77">
        <f>VLOOKUP($E301,'Component List'!G$2:H$30,2,FALSE)</f>
        <v>100</v>
      </c>
      <c r="U301" s="77">
        <f>VLOOKUP($F301,'Component List'!I$2:J$30,2,FALSE)</f>
        <v>110</v>
      </c>
      <c r="V301" s="77">
        <f>VLOOKUP(G301,'Component List'!K$2:L$30,2,FALSE)</f>
        <v>102</v>
      </c>
      <c r="W301" s="77">
        <f>VLOOKUP(H301,'Component List'!M$2:N$31,2,FALSE)</f>
        <v>104</v>
      </c>
      <c r="X301" s="77">
        <f>VLOOKUP(I301,'Component List'!O$2:P$30,2,FALSE)</f>
        <v>100</v>
      </c>
      <c r="Y301" s="77" t="str">
        <f>VLOOKUP(J301,'Component List'!Q$2:R$30,2,FALSE)</f>
        <v>000</v>
      </c>
      <c r="Z301" s="77" t="e">
        <f>VLOOKUP(K301,'Component List'!S$2:T$30,2,FALSE)</f>
        <v>#N/A</v>
      </c>
      <c r="AA301" s="77" t="e">
        <f>VLOOKUP(L301,'Component List'!U$2:V$30,2,FALSE)</f>
        <v>#N/A</v>
      </c>
      <c r="AB301" s="77">
        <f>VLOOKUP(M301,'Component List'!AA$2:AB$30,2,FALSE)</f>
        <v>1</v>
      </c>
      <c r="AC301" s="77" t="str">
        <f>VLOOKUP(N301,'Component List'!Y$2:Z$30,2,FALSE)</f>
        <v>C</v>
      </c>
      <c r="AD301" s="159" t="e">
        <f>VLOOKUP(O301,'Component List'!W$3:X$30,2,FALSE)</f>
        <v>#N/A</v>
      </c>
    </row>
    <row r="302" spans="1:30" ht="30" customHeight="1" x14ac:dyDescent="0.3">
      <c r="A302" s="245"/>
      <c r="B302" s="101" t="s">
        <v>228</v>
      </c>
      <c r="C302" s="82" t="s">
        <v>230</v>
      </c>
      <c r="D302" s="80" t="s">
        <v>136</v>
      </c>
      <c r="E302" s="111" t="s">
        <v>170</v>
      </c>
      <c r="F302" s="82" t="s">
        <v>262</v>
      </c>
      <c r="G302" s="82" t="s">
        <v>196</v>
      </c>
      <c r="H302" s="82" t="s">
        <v>218</v>
      </c>
      <c r="I302" s="110" t="s">
        <v>198</v>
      </c>
      <c r="J302" s="110" t="s">
        <v>143</v>
      </c>
      <c r="K302" s="110" t="s">
        <v>366</v>
      </c>
      <c r="L302" s="110" t="s">
        <v>366</v>
      </c>
      <c r="M302" s="82">
        <v>2</v>
      </c>
      <c r="N302" s="82" t="s">
        <v>175</v>
      </c>
      <c r="O302" s="117" t="s">
        <v>367</v>
      </c>
      <c r="P302" s="123" t="e">
        <f t="shared" si="3"/>
        <v>#N/A</v>
      </c>
      <c r="Q302" s="119" t="str">
        <f>VLOOKUP($B302,'Component List'!$A$2:$B$30,2,FALSE)</f>
        <v>LD2</v>
      </c>
      <c r="R302" s="77" t="str">
        <f>VLOOKUP($C302,'Component List'!C$2:D$28,2,FALSE)</f>
        <v>SB0</v>
      </c>
      <c r="S302" s="77" t="str">
        <f>VLOOKUP($D302,'Component List'!E$2:F$30,2,FALSE)</f>
        <v>D</v>
      </c>
      <c r="T302" s="77">
        <f>VLOOKUP($E302,'Component List'!G$2:H$30,2,FALSE)</f>
        <v>100</v>
      </c>
      <c r="U302" s="77">
        <f>VLOOKUP($F302,'Component List'!I$2:J$30,2,FALSE)</f>
        <v>110</v>
      </c>
      <c r="V302" s="77">
        <f>VLOOKUP(G302,'Component List'!K$2:L$30,2,FALSE)</f>
        <v>102</v>
      </c>
      <c r="W302" s="77">
        <f>VLOOKUP(H302,'Component List'!M$2:N$31,2,FALSE)</f>
        <v>104</v>
      </c>
      <c r="X302" s="77">
        <f>VLOOKUP(I302,'Component List'!O$2:P$30,2,FALSE)</f>
        <v>100</v>
      </c>
      <c r="Y302" s="77" t="str">
        <f>VLOOKUP(J302,'Component List'!Q$2:R$30,2,FALSE)</f>
        <v>000</v>
      </c>
      <c r="Z302" s="77" t="e">
        <f>VLOOKUP(K302,'Component List'!S$2:T$30,2,FALSE)</f>
        <v>#N/A</v>
      </c>
      <c r="AA302" s="77" t="e">
        <f>VLOOKUP(L302,'Component List'!U$2:V$30,2,FALSE)</f>
        <v>#N/A</v>
      </c>
      <c r="AB302" s="77">
        <f>VLOOKUP(M302,'Component List'!AA$2:AB$30,2,FALSE)</f>
        <v>2</v>
      </c>
      <c r="AC302" s="77" t="str">
        <f>VLOOKUP(N302,'Component List'!Y$2:Z$30,2,FALSE)</f>
        <v>P</v>
      </c>
      <c r="AD302" s="159" t="e">
        <f>VLOOKUP(O302,'Component List'!W$3:X$30,2,FALSE)</f>
        <v>#N/A</v>
      </c>
    </row>
    <row r="303" spans="1:30" ht="30" customHeight="1" x14ac:dyDescent="0.3">
      <c r="A303" s="245"/>
      <c r="B303" s="101" t="s">
        <v>228</v>
      </c>
      <c r="C303" s="82" t="s">
        <v>230</v>
      </c>
      <c r="D303" s="80" t="s">
        <v>136</v>
      </c>
      <c r="E303" s="111" t="s">
        <v>170</v>
      </c>
      <c r="F303" s="82" t="s">
        <v>262</v>
      </c>
      <c r="G303" s="82" t="s">
        <v>196</v>
      </c>
      <c r="H303" s="82" t="s">
        <v>218</v>
      </c>
      <c r="I303" s="110" t="s">
        <v>198</v>
      </c>
      <c r="J303" s="110" t="s">
        <v>143</v>
      </c>
      <c r="K303" s="110" t="s">
        <v>366</v>
      </c>
      <c r="L303" s="110" t="s">
        <v>366</v>
      </c>
      <c r="M303" s="82">
        <v>2</v>
      </c>
      <c r="N303" s="82" t="s">
        <v>187</v>
      </c>
      <c r="O303" s="117" t="s">
        <v>367</v>
      </c>
      <c r="P303" s="123" t="e">
        <f t="shared" si="3"/>
        <v>#N/A</v>
      </c>
      <c r="Q303" s="119" t="str">
        <f>VLOOKUP($B303,'Component List'!$A$2:$B$30,2,FALSE)</f>
        <v>LD2</v>
      </c>
      <c r="R303" s="77" t="str">
        <f>VLOOKUP($C303,'Component List'!C$2:D$28,2,FALSE)</f>
        <v>SB0</v>
      </c>
      <c r="S303" s="77" t="str">
        <f>VLOOKUP($D303,'Component List'!E$2:F$30,2,FALSE)</f>
        <v>D</v>
      </c>
      <c r="T303" s="77">
        <f>VLOOKUP($E303,'Component List'!G$2:H$30,2,FALSE)</f>
        <v>100</v>
      </c>
      <c r="U303" s="77">
        <f>VLOOKUP($F303,'Component List'!I$2:J$30,2,FALSE)</f>
        <v>110</v>
      </c>
      <c r="V303" s="77">
        <f>VLOOKUP(G303,'Component List'!K$2:L$30,2,FALSE)</f>
        <v>102</v>
      </c>
      <c r="W303" s="77">
        <f>VLOOKUP(H303,'Component List'!M$2:N$31,2,FALSE)</f>
        <v>104</v>
      </c>
      <c r="X303" s="77">
        <f>VLOOKUP(I303,'Component List'!O$2:P$30,2,FALSE)</f>
        <v>100</v>
      </c>
      <c r="Y303" s="77" t="str">
        <f>VLOOKUP(J303,'Component List'!Q$2:R$30,2,FALSE)</f>
        <v>000</v>
      </c>
      <c r="Z303" s="77" t="e">
        <f>VLOOKUP(K303,'Component List'!S$2:T$30,2,FALSE)</f>
        <v>#N/A</v>
      </c>
      <c r="AA303" s="77" t="e">
        <f>VLOOKUP(L303,'Component List'!U$2:V$30,2,FALSE)</f>
        <v>#N/A</v>
      </c>
      <c r="AB303" s="77">
        <f>VLOOKUP(M303,'Component List'!AA$2:AB$30,2,FALSE)</f>
        <v>2</v>
      </c>
      <c r="AC303" s="77" t="str">
        <f>VLOOKUP(N303,'Component List'!Y$2:Z$30,2,FALSE)</f>
        <v>C</v>
      </c>
      <c r="AD303" s="159" t="e">
        <f>VLOOKUP(O303,'Component List'!W$3:X$30,2,FALSE)</f>
        <v>#N/A</v>
      </c>
    </row>
    <row r="304" spans="1:30" ht="30" customHeight="1" x14ac:dyDescent="0.3">
      <c r="A304" s="245"/>
      <c r="B304" s="101" t="s">
        <v>228</v>
      </c>
      <c r="C304" s="82" t="s">
        <v>230</v>
      </c>
      <c r="D304" s="80" t="s">
        <v>136</v>
      </c>
      <c r="E304" s="111" t="s">
        <v>170</v>
      </c>
      <c r="F304" s="82" t="s">
        <v>262</v>
      </c>
      <c r="G304" s="82" t="s">
        <v>196</v>
      </c>
      <c r="H304" s="82" t="s">
        <v>218</v>
      </c>
      <c r="I304" s="110" t="s">
        <v>198</v>
      </c>
      <c r="J304" s="110" t="s">
        <v>143</v>
      </c>
      <c r="K304" s="110" t="s">
        <v>366</v>
      </c>
      <c r="L304" s="110" t="s">
        <v>366</v>
      </c>
      <c r="M304" s="82">
        <v>3</v>
      </c>
      <c r="N304" s="82" t="s">
        <v>175</v>
      </c>
      <c r="O304" s="117" t="s">
        <v>367</v>
      </c>
      <c r="P304" s="123" t="e">
        <f t="shared" si="3"/>
        <v>#N/A</v>
      </c>
      <c r="Q304" s="119" t="str">
        <f>VLOOKUP($B304,'Component List'!$A$2:$B$30,2,FALSE)</f>
        <v>LD2</v>
      </c>
      <c r="R304" s="77" t="str">
        <f>VLOOKUP($C304,'Component List'!C$2:D$28,2,FALSE)</f>
        <v>SB0</v>
      </c>
      <c r="S304" s="77" t="str">
        <f>VLOOKUP($D304,'Component List'!E$2:F$30,2,FALSE)</f>
        <v>D</v>
      </c>
      <c r="T304" s="77">
        <f>VLOOKUP($E304,'Component List'!G$2:H$30,2,FALSE)</f>
        <v>100</v>
      </c>
      <c r="U304" s="77">
        <f>VLOOKUP($F304,'Component List'!I$2:J$30,2,FALSE)</f>
        <v>110</v>
      </c>
      <c r="V304" s="77">
        <f>VLOOKUP(G304,'Component List'!K$2:L$30,2,FALSE)</f>
        <v>102</v>
      </c>
      <c r="W304" s="77">
        <f>VLOOKUP(H304,'Component List'!M$2:N$31,2,FALSE)</f>
        <v>104</v>
      </c>
      <c r="X304" s="77">
        <f>VLOOKUP(I304,'Component List'!O$2:P$30,2,FALSE)</f>
        <v>100</v>
      </c>
      <c r="Y304" s="77" t="str">
        <f>VLOOKUP(J304,'Component List'!Q$2:R$30,2,FALSE)</f>
        <v>000</v>
      </c>
      <c r="Z304" s="77" t="e">
        <f>VLOOKUP(K304,'Component List'!S$2:T$30,2,FALSE)</f>
        <v>#N/A</v>
      </c>
      <c r="AA304" s="77" t="e">
        <f>VLOOKUP(L304,'Component List'!U$2:V$30,2,FALSE)</f>
        <v>#N/A</v>
      </c>
      <c r="AB304" s="77">
        <f>VLOOKUP(M304,'Component List'!AA$2:AB$30,2,FALSE)</f>
        <v>3</v>
      </c>
      <c r="AC304" s="77" t="str">
        <f>VLOOKUP(N304,'Component List'!Y$2:Z$30,2,FALSE)</f>
        <v>P</v>
      </c>
      <c r="AD304" s="159" t="e">
        <f>VLOOKUP(O304,'Component List'!W$3:X$30,2,FALSE)</f>
        <v>#N/A</v>
      </c>
    </row>
    <row r="305" spans="1:30" ht="30" customHeight="1" thickBot="1" x14ac:dyDescent="0.35">
      <c r="A305" s="246"/>
      <c r="B305" s="129" t="s">
        <v>228</v>
      </c>
      <c r="C305" s="94" t="s">
        <v>230</v>
      </c>
      <c r="D305" s="94" t="s">
        <v>136</v>
      </c>
      <c r="E305" s="108" t="s">
        <v>170</v>
      </c>
      <c r="F305" s="94" t="s">
        <v>262</v>
      </c>
      <c r="G305" s="94" t="s">
        <v>196</v>
      </c>
      <c r="H305" s="94" t="s">
        <v>218</v>
      </c>
      <c r="I305" s="105" t="s">
        <v>198</v>
      </c>
      <c r="J305" s="105" t="s">
        <v>143</v>
      </c>
      <c r="K305" s="105" t="s">
        <v>366</v>
      </c>
      <c r="L305" s="105" t="s">
        <v>366</v>
      </c>
      <c r="M305" s="94">
        <v>3</v>
      </c>
      <c r="N305" s="94" t="s">
        <v>187</v>
      </c>
      <c r="O305" s="128" t="s">
        <v>367</v>
      </c>
      <c r="P305" s="124" t="e">
        <f t="shared" si="3"/>
        <v>#N/A</v>
      </c>
      <c r="Q305" s="119" t="str">
        <f>VLOOKUP($B305,'Component List'!$A$2:$B$30,2,FALSE)</f>
        <v>LD2</v>
      </c>
      <c r="R305" s="77" t="str">
        <f>VLOOKUP($C305,'Component List'!C$2:D$28,2,FALSE)</f>
        <v>SB0</v>
      </c>
      <c r="S305" s="77" t="str">
        <f>VLOOKUP($D305,'Component List'!E$2:F$30,2,FALSE)</f>
        <v>D</v>
      </c>
      <c r="T305" s="77">
        <f>VLOOKUP($E305,'Component List'!G$2:H$30,2,FALSE)</f>
        <v>100</v>
      </c>
      <c r="U305" s="77">
        <f>VLOOKUP($F305,'Component List'!I$2:J$30,2,FALSE)</f>
        <v>110</v>
      </c>
      <c r="V305" s="77">
        <f>VLOOKUP(G305,'Component List'!K$2:L$30,2,FALSE)</f>
        <v>102</v>
      </c>
      <c r="W305" s="77">
        <f>VLOOKUP(H305,'Component List'!M$2:N$31,2,FALSE)</f>
        <v>104</v>
      </c>
      <c r="X305" s="77">
        <f>VLOOKUP(I305,'Component List'!O$2:P$30,2,FALSE)</f>
        <v>100</v>
      </c>
      <c r="Y305" s="77" t="str">
        <f>VLOOKUP(J305,'Component List'!Q$2:R$30,2,FALSE)</f>
        <v>000</v>
      </c>
      <c r="Z305" s="77" t="e">
        <f>VLOOKUP(K305,'Component List'!S$2:T$30,2,FALSE)</f>
        <v>#N/A</v>
      </c>
      <c r="AA305" s="77" t="e">
        <f>VLOOKUP(L305,'Component List'!U$2:V$30,2,FALSE)</f>
        <v>#N/A</v>
      </c>
      <c r="AB305" s="77">
        <f>VLOOKUP(M305,'Component List'!AA$2:AB$30,2,FALSE)</f>
        <v>3</v>
      </c>
      <c r="AC305" s="77" t="str">
        <f>VLOOKUP(N305,'Component List'!Y$2:Z$30,2,FALSE)</f>
        <v>C</v>
      </c>
      <c r="AD305" s="159" t="e">
        <f>VLOOKUP(O305,'Component List'!W$3:X$30,2,FALSE)</f>
        <v>#N/A</v>
      </c>
    </row>
    <row r="306" spans="1:30" ht="30" customHeight="1" x14ac:dyDescent="0.3">
      <c r="A306" s="241" t="s">
        <v>243</v>
      </c>
      <c r="B306" s="171" t="s">
        <v>243</v>
      </c>
      <c r="C306" s="88" t="s">
        <v>237</v>
      </c>
      <c r="D306" s="89" t="s">
        <v>136</v>
      </c>
      <c r="E306" s="125" t="s">
        <v>239</v>
      </c>
      <c r="F306" s="88" t="s">
        <v>43</v>
      </c>
      <c r="G306" s="88" t="s">
        <v>55</v>
      </c>
      <c r="H306" s="88" t="s">
        <v>282</v>
      </c>
      <c r="I306" s="121" t="s">
        <v>143</v>
      </c>
      <c r="J306" s="121" t="s">
        <v>143</v>
      </c>
      <c r="K306" s="121" t="s">
        <v>371</v>
      </c>
      <c r="L306" s="121" t="s">
        <v>371</v>
      </c>
      <c r="M306" s="82">
        <v>1</v>
      </c>
      <c r="N306" s="82" t="s">
        <v>175</v>
      </c>
      <c r="O306" s="117" t="s">
        <v>367</v>
      </c>
      <c r="P306" s="122" t="e">
        <f t="shared" si="3"/>
        <v>#N/A</v>
      </c>
      <c r="Q306" s="119" t="str">
        <f>VLOOKUP($B306,'Component List'!$A$2:$B$30,2,FALSE)</f>
        <v>MD7</v>
      </c>
      <c r="R306" s="77" t="str">
        <f>VLOOKUP($C306,'Component List'!C$2:D$28,2,FALSE)</f>
        <v>PLS</v>
      </c>
      <c r="S306" s="77" t="str">
        <f>VLOOKUP($D306,'Component List'!E$2:F$30,2,FALSE)</f>
        <v>D</v>
      </c>
      <c r="T306" s="77">
        <f>VLOOKUP($E306,'Component List'!G$2:H$30,2,FALSE)</f>
        <v>300</v>
      </c>
      <c r="U306" s="77">
        <f>VLOOKUP($F306,'Component List'!I$2:J$30,2,FALSE)</f>
        <v>203</v>
      </c>
      <c r="V306" s="77">
        <f>VLOOKUP(G306,'Component List'!K$2:L$30,2,FALSE)</f>
        <v>200</v>
      </c>
      <c r="W306" s="77">
        <f>VLOOKUP(H306,'Component List'!M$2:N$31,2,FALSE)</f>
        <v>401</v>
      </c>
      <c r="X306" s="77" t="str">
        <f>VLOOKUP(I306,'Component List'!O$2:P$30,2,FALSE)</f>
        <v>000</v>
      </c>
      <c r="Y306" s="77" t="str">
        <f>VLOOKUP(J306,'Component List'!Q$2:R$30,2,FALSE)</f>
        <v>000</v>
      </c>
      <c r="Z306" s="77" t="e">
        <f>VLOOKUP(K306,'Component List'!S$2:T$30,2,FALSE)</f>
        <v>#N/A</v>
      </c>
      <c r="AA306" s="77" t="e">
        <f>VLOOKUP(L306,'Component List'!U$2:V$30,2,FALSE)</f>
        <v>#N/A</v>
      </c>
      <c r="AB306" s="77">
        <f>VLOOKUP(M306,'Component List'!AA$2:AB$30,2,FALSE)</f>
        <v>1</v>
      </c>
      <c r="AC306" s="77" t="str">
        <f>VLOOKUP(N306,'Component List'!Y$2:Z$30,2,FALSE)</f>
        <v>P</v>
      </c>
      <c r="AD306" s="159" t="e">
        <f>VLOOKUP(O306,'Component List'!W$3:X$30,2,FALSE)</f>
        <v>#N/A</v>
      </c>
    </row>
    <row r="307" spans="1:30" ht="30" customHeight="1" x14ac:dyDescent="0.3">
      <c r="A307" s="242"/>
      <c r="B307" s="107" t="s">
        <v>243</v>
      </c>
      <c r="C307" s="82" t="s">
        <v>237</v>
      </c>
      <c r="D307" s="80" t="s">
        <v>136</v>
      </c>
      <c r="E307" s="102" t="s">
        <v>239</v>
      </c>
      <c r="F307" s="82" t="s">
        <v>43</v>
      </c>
      <c r="G307" s="82" t="s">
        <v>55</v>
      </c>
      <c r="H307" s="82" t="s">
        <v>282</v>
      </c>
      <c r="I307" s="110" t="s">
        <v>143</v>
      </c>
      <c r="J307" s="110" t="s">
        <v>143</v>
      </c>
      <c r="K307" s="110" t="s">
        <v>371</v>
      </c>
      <c r="L307" s="110" t="s">
        <v>371</v>
      </c>
      <c r="M307" s="82">
        <v>1</v>
      </c>
      <c r="N307" s="82" t="s">
        <v>187</v>
      </c>
      <c r="O307" s="117" t="s">
        <v>367</v>
      </c>
      <c r="P307" s="123" t="e">
        <f t="shared" si="3"/>
        <v>#N/A</v>
      </c>
      <c r="Q307" s="119" t="str">
        <f>VLOOKUP($B307,'Component List'!$A$2:$B$30,2,FALSE)</f>
        <v>MD7</v>
      </c>
      <c r="R307" s="77" t="str">
        <f>VLOOKUP($C307,'Component List'!C$2:D$28,2,FALSE)</f>
        <v>PLS</v>
      </c>
      <c r="S307" s="77" t="str">
        <f>VLOOKUP($D307,'Component List'!E$2:F$30,2,FALSE)</f>
        <v>D</v>
      </c>
      <c r="T307" s="77">
        <f>VLOOKUP($E307,'Component List'!G$2:H$30,2,FALSE)</f>
        <v>300</v>
      </c>
      <c r="U307" s="77">
        <f>VLOOKUP($F307,'Component List'!I$2:J$30,2,FALSE)</f>
        <v>203</v>
      </c>
      <c r="V307" s="77">
        <f>VLOOKUP(G307,'Component List'!K$2:L$30,2,FALSE)</f>
        <v>200</v>
      </c>
      <c r="W307" s="77">
        <f>VLOOKUP(H312,'Component List'!M$2:N$31,2,FALSE)</f>
        <v>402</v>
      </c>
      <c r="X307" s="77" t="str">
        <f>VLOOKUP(I307,'Component List'!O$2:P$30,2,FALSE)</f>
        <v>000</v>
      </c>
      <c r="Y307" s="77" t="str">
        <f>VLOOKUP(J307,'Component List'!Q$2:R$30,2,FALSE)</f>
        <v>000</v>
      </c>
      <c r="Z307" s="77" t="e">
        <f>VLOOKUP(K307,'Component List'!S$2:T$30,2,FALSE)</f>
        <v>#N/A</v>
      </c>
      <c r="AA307" s="77" t="e">
        <f>VLOOKUP(L307,'Component List'!U$2:V$30,2,FALSE)</f>
        <v>#N/A</v>
      </c>
      <c r="AB307" s="77">
        <f>VLOOKUP(M307,'Component List'!AA$2:AB$30,2,FALSE)</f>
        <v>1</v>
      </c>
      <c r="AC307" s="77" t="str">
        <f>VLOOKUP(N307,'Component List'!Y$2:Z$30,2,FALSE)</f>
        <v>C</v>
      </c>
      <c r="AD307" s="159" t="e">
        <f>VLOOKUP(O307,'Component List'!W$3:X$30,2,FALSE)</f>
        <v>#N/A</v>
      </c>
    </row>
    <row r="308" spans="1:30" ht="30" customHeight="1" x14ac:dyDescent="0.3">
      <c r="A308" s="242"/>
      <c r="B308" s="101" t="s">
        <v>243</v>
      </c>
      <c r="C308" s="82" t="s">
        <v>237</v>
      </c>
      <c r="D308" s="80" t="s">
        <v>136</v>
      </c>
      <c r="E308" s="102" t="s">
        <v>239</v>
      </c>
      <c r="F308" s="82" t="s">
        <v>43</v>
      </c>
      <c r="G308" s="82" t="s">
        <v>55</v>
      </c>
      <c r="H308" s="82" t="s">
        <v>282</v>
      </c>
      <c r="I308" s="110" t="s">
        <v>143</v>
      </c>
      <c r="J308" s="110" t="s">
        <v>143</v>
      </c>
      <c r="K308" s="110" t="s">
        <v>371</v>
      </c>
      <c r="L308" s="110" t="s">
        <v>371</v>
      </c>
      <c r="M308" s="82">
        <v>2</v>
      </c>
      <c r="N308" s="82" t="s">
        <v>175</v>
      </c>
      <c r="O308" s="117" t="s">
        <v>367</v>
      </c>
      <c r="P308" s="123" t="e">
        <f t="shared" si="3"/>
        <v>#N/A</v>
      </c>
      <c r="Q308" s="119" t="str">
        <f>VLOOKUP($B308,'Component List'!$A$2:$B$30,2,FALSE)</f>
        <v>MD7</v>
      </c>
      <c r="R308" s="77" t="str">
        <f>VLOOKUP($C308,'Component List'!C$2:D$28,2,FALSE)</f>
        <v>PLS</v>
      </c>
      <c r="S308" s="77" t="str">
        <f>VLOOKUP($D308,'Component List'!E$2:F$30,2,FALSE)</f>
        <v>D</v>
      </c>
      <c r="T308" s="77">
        <f>VLOOKUP($E308,'Component List'!G$2:H$30,2,FALSE)</f>
        <v>300</v>
      </c>
      <c r="U308" s="77">
        <f>VLOOKUP($F308,'Component List'!I$2:J$30,2,FALSE)</f>
        <v>203</v>
      </c>
      <c r="V308" s="77">
        <f>VLOOKUP(G308,'Component List'!K$2:L$30,2,FALSE)</f>
        <v>200</v>
      </c>
      <c r="W308" s="77">
        <f>VLOOKUP(H318,'Component List'!M$2:N$31,2,FALSE)</f>
        <v>403</v>
      </c>
      <c r="X308" s="77" t="str">
        <f>VLOOKUP(I308,'Component List'!O$2:P$30,2,FALSE)</f>
        <v>000</v>
      </c>
      <c r="Y308" s="77" t="str">
        <f>VLOOKUP(J308,'Component List'!Q$2:R$30,2,FALSE)</f>
        <v>000</v>
      </c>
      <c r="Z308" s="77" t="e">
        <f>VLOOKUP(K308,'Component List'!S$2:T$30,2,FALSE)</f>
        <v>#N/A</v>
      </c>
      <c r="AA308" s="77" t="e">
        <f>VLOOKUP(L308,'Component List'!U$2:V$30,2,FALSE)</f>
        <v>#N/A</v>
      </c>
      <c r="AB308" s="77">
        <f>VLOOKUP(M308,'Component List'!AA$2:AB$30,2,FALSE)</f>
        <v>2</v>
      </c>
      <c r="AC308" s="77" t="str">
        <f>VLOOKUP(N308,'Component List'!Y$2:Z$30,2,FALSE)</f>
        <v>P</v>
      </c>
      <c r="AD308" s="159" t="e">
        <f>VLOOKUP(O308,'Component List'!W$3:X$30,2,FALSE)</f>
        <v>#N/A</v>
      </c>
    </row>
    <row r="309" spans="1:30" ht="30" customHeight="1" x14ac:dyDescent="0.3">
      <c r="A309" s="242"/>
      <c r="B309" s="101" t="s">
        <v>243</v>
      </c>
      <c r="C309" s="82" t="s">
        <v>237</v>
      </c>
      <c r="D309" s="80" t="s">
        <v>136</v>
      </c>
      <c r="E309" s="102" t="s">
        <v>239</v>
      </c>
      <c r="F309" s="82" t="s">
        <v>43</v>
      </c>
      <c r="G309" s="82" t="s">
        <v>55</v>
      </c>
      <c r="H309" s="82" t="s">
        <v>282</v>
      </c>
      <c r="I309" s="110" t="s">
        <v>143</v>
      </c>
      <c r="J309" s="110" t="s">
        <v>143</v>
      </c>
      <c r="K309" s="110" t="s">
        <v>371</v>
      </c>
      <c r="L309" s="110" t="s">
        <v>371</v>
      </c>
      <c r="M309" s="82">
        <v>2</v>
      </c>
      <c r="N309" s="82" t="s">
        <v>187</v>
      </c>
      <c r="O309" s="117" t="s">
        <v>367</v>
      </c>
      <c r="P309" s="123" t="e">
        <f t="shared" si="3"/>
        <v>#N/A</v>
      </c>
      <c r="Q309" s="119" t="str">
        <f>VLOOKUP($B309,'Component List'!$A$2:$B$30,2,FALSE)</f>
        <v>MD7</v>
      </c>
      <c r="R309" s="77" t="str">
        <f>VLOOKUP($C309,'Component List'!C$2:D$28,2,FALSE)</f>
        <v>PLS</v>
      </c>
      <c r="S309" s="77" t="str">
        <f>VLOOKUP($D309,'Component List'!E$2:F$30,2,FALSE)</f>
        <v>D</v>
      </c>
      <c r="T309" s="77">
        <f>VLOOKUP($E309,'Component List'!G$2:H$30,2,FALSE)</f>
        <v>300</v>
      </c>
      <c r="U309" s="77">
        <f>VLOOKUP($F309,'Component List'!I$2:J$30,2,FALSE)</f>
        <v>203</v>
      </c>
      <c r="V309" s="77">
        <f>VLOOKUP(G309,'Component List'!K$2:L$30,2,FALSE)</f>
        <v>200</v>
      </c>
      <c r="W309" s="77">
        <f>VLOOKUP(H309,'Component List'!M$2:N$31,2,FALSE)</f>
        <v>401</v>
      </c>
      <c r="X309" s="77" t="str">
        <f>VLOOKUP(I309,'Component List'!O$2:P$30,2,FALSE)</f>
        <v>000</v>
      </c>
      <c r="Y309" s="77" t="str">
        <f>VLOOKUP(J309,'Component List'!Q$2:R$30,2,FALSE)</f>
        <v>000</v>
      </c>
      <c r="Z309" s="77" t="e">
        <f>VLOOKUP(K309,'Component List'!S$2:T$30,2,FALSE)</f>
        <v>#N/A</v>
      </c>
      <c r="AA309" s="77" t="e">
        <f>VLOOKUP(L309,'Component List'!U$2:V$30,2,FALSE)</f>
        <v>#N/A</v>
      </c>
      <c r="AB309" s="77">
        <f>VLOOKUP(M309,'Component List'!AA$2:AB$30,2,FALSE)</f>
        <v>2</v>
      </c>
      <c r="AC309" s="77" t="str">
        <f>VLOOKUP(N309,'Component List'!Y$2:Z$30,2,FALSE)</f>
        <v>C</v>
      </c>
      <c r="AD309" s="159" t="e">
        <f>VLOOKUP(O309,'Component List'!W$3:X$30,2,FALSE)</f>
        <v>#N/A</v>
      </c>
    </row>
    <row r="310" spans="1:30" ht="30" customHeight="1" x14ac:dyDescent="0.3">
      <c r="A310" s="242"/>
      <c r="B310" s="101" t="s">
        <v>243</v>
      </c>
      <c r="C310" s="82" t="s">
        <v>237</v>
      </c>
      <c r="D310" s="80" t="s">
        <v>136</v>
      </c>
      <c r="E310" s="102" t="s">
        <v>239</v>
      </c>
      <c r="F310" s="82" t="s">
        <v>43</v>
      </c>
      <c r="G310" s="82" t="s">
        <v>55</v>
      </c>
      <c r="H310" s="82" t="s">
        <v>282</v>
      </c>
      <c r="I310" s="110" t="s">
        <v>143</v>
      </c>
      <c r="J310" s="110" t="s">
        <v>143</v>
      </c>
      <c r="K310" s="110" t="s">
        <v>371</v>
      </c>
      <c r="L310" s="110" t="s">
        <v>371</v>
      </c>
      <c r="M310" s="82">
        <v>3</v>
      </c>
      <c r="N310" s="82" t="s">
        <v>175</v>
      </c>
      <c r="O310" s="117" t="s">
        <v>367</v>
      </c>
      <c r="P310" s="123" t="e">
        <f t="shared" si="3"/>
        <v>#N/A</v>
      </c>
      <c r="Q310" s="119" t="str">
        <f>VLOOKUP($B310,'Component List'!$A$2:$B$30,2,FALSE)</f>
        <v>MD7</v>
      </c>
      <c r="R310" s="77" t="str">
        <f>VLOOKUP($C310,'Component List'!C$2:D$28,2,FALSE)</f>
        <v>PLS</v>
      </c>
      <c r="S310" s="77" t="str">
        <f>VLOOKUP($D310,'Component List'!E$2:F$30,2,FALSE)</f>
        <v>D</v>
      </c>
      <c r="T310" s="77">
        <f>VLOOKUP($E310,'Component List'!G$2:H$30,2,FALSE)</f>
        <v>300</v>
      </c>
      <c r="U310" s="77">
        <f>VLOOKUP($F310,'Component List'!I$2:J$30,2,FALSE)</f>
        <v>203</v>
      </c>
      <c r="V310" s="77">
        <f>VLOOKUP(G310,'Component List'!K$2:L$30,2,FALSE)</f>
        <v>200</v>
      </c>
      <c r="W310" s="77">
        <f>VLOOKUP(H310,'Component List'!M$2:N$31,2,FALSE)</f>
        <v>401</v>
      </c>
      <c r="X310" s="77" t="str">
        <f>VLOOKUP(I310,'Component List'!O$2:P$30,2,FALSE)</f>
        <v>000</v>
      </c>
      <c r="Y310" s="77" t="str">
        <f>VLOOKUP(J310,'Component List'!Q$2:R$30,2,FALSE)</f>
        <v>000</v>
      </c>
      <c r="Z310" s="77" t="e">
        <f>VLOOKUP(K310,'Component List'!S$2:T$30,2,FALSE)</f>
        <v>#N/A</v>
      </c>
      <c r="AA310" s="77" t="e">
        <f>VLOOKUP(L310,'Component List'!U$2:V$30,2,FALSE)</f>
        <v>#N/A</v>
      </c>
      <c r="AB310" s="77">
        <f>VLOOKUP(M310,'Component List'!AA$2:AB$30,2,FALSE)</f>
        <v>3</v>
      </c>
      <c r="AC310" s="77" t="str">
        <f>VLOOKUP(N310,'Component List'!Y$2:Z$30,2,FALSE)</f>
        <v>P</v>
      </c>
      <c r="AD310" s="159" t="e">
        <f>VLOOKUP(O310,'Component List'!W$3:X$30,2,FALSE)</f>
        <v>#N/A</v>
      </c>
    </row>
    <row r="311" spans="1:30" ht="30" customHeight="1" x14ac:dyDescent="0.3">
      <c r="A311" s="242"/>
      <c r="B311" s="101" t="s">
        <v>243</v>
      </c>
      <c r="C311" s="82" t="s">
        <v>237</v>
      </c>
      <c r="D311" s="80" t="s">
        <v>136</v>
      </c>
      <c r="E311" s="102" t="s">
        <v>239</v>
      </c>
      <c r="F311" s="82" t="s">
        <v>43</v>
      </c>
      <c r="G311" s="82" t="s">
        <v>55</v>
      </c>
      <c r="H311" s="82" t="s">
        <v>282</v>
      </c>
      <c r="I311" s="110" t="s">
        <v>143</v>
      </c>
      <c r="J311" s="110" t="s">
        <v>143</v>
      </c>
      <c r="K311" s="110" t="s">
        <v>371</v>
      </c>
      <c r="L311" s="110" t="s">
        <v>371</v>
      </c>
      <c r="M311" s="82">
        <v>3</v>
      </c>
      <c r="N311" s="82" t="s">
        <v>187</v>
      </c>
      <c r="O311" s="117" t="s">
        <v>367</v>
      </c>
      <c r="P311" s="123" t="e">
        <f t="shared" si="3"/>
        <v>#N/A</v>
      </c>
      <c r="Q311" s="119" t="str">
        <f>VLOOKUP($B311,'Component List'!$A$2:$B$30,2,FALSE)</f>
        <v>MD7</v>
      </c>
      <c r="R311" s="77" t="str">
        <f>VLOOKUP($C311,'Component List'!C$2:D$28,2,FALSE)</f>
        <v>PLS</v>
      </c>
      <c r="S311" s="77" t="str">
        <f>VLOOKUP($D311,'Component List'!E$2:F$30,2,FALSE)</f>
        <v>D</v>
      </c>
      <c r="T311" s="77">
        <f>VLOOKUP($E311,'Component List'!G$2:H$30,2,FALSE)</f>
        <v>300</v>
      </c>
      <c r="U311" s="77">
        <f>VLOOKUP($F311,'Component List'!I$2:J$30,2,FALSE)</f>
        <v>203</v>
      </c>
      <c r="V311" s="77">
        <f>VLOOKUP(G311,'Component List'!K$2:L$30,2,FALSE)</f>
        <v>200</v>
      </c>
      <c r="W311" s="77">
        <f>VLOOKUP(H311,'Component List'!M$2:N$31,2,FALSE)</f>
        <v>401</v>
      </c>
      <c r="X311" s="77" t="str">
        <f>VLOOKUP(I311,'Component List'!O$2:P$30,2,FALSE)</f>
        <v>000</v>
      </c>
      <c r="Y311" s="77" t="str">
        <f>VLOOKUP(J311,'Component List'!Q$2:R$30,2,FALSE)</f>
        <v>000</v>
      </c>
      <c r="Z311" s="77" t="e">
        <f>VLOOKUP(K311,'Component List'!S$2:T$30,2,FALSE)</f>
        <v>#N/A</v>
      </c>
      <c r="AA311" s="77" t="e">
        <f>VLOOKUP(L311,'Component List'!U$2:V$30,2,FALSE)</f>
        <v>#N/A</v>
      </c>
      <c r="AB311" s="77">
        <f>VLOOKUP(M311,'Component List'!AA$2:AB$30,2,FALSE)</f>
        <v>3</v>
      </c>
      <c r="AC311" s="77" t="str">
        <f>VLOOKUP(N311,'Component List'!Y$2:Z$30,2,FALSE)</f>
        <v>C</v>
      </c>
      <c r="AD311" s="159" t="e">
        <f>VLOOKUP(O311,'Component List'!W$3:X$30,2,FALSE)</f>
        <v>#N/A</v>
      </c>
    </row>
    <row r="312" spans="1:30" ht="30" customHeight="1" x14ac:dyDescent="0.3">
      <c r="A312" s="242"/>
      <c r="B312" s="101" t="s">
        <v>243</v>
      </c>
      <c r="C312" s="82" t="s">
        <v>237</v>
      </c>
      <c r="D312" s="80" t="s">
        <v>136</v>
      </c>
      <c r="E312" s="102" t="s">
        <v>239</v>
      </c>
      <c r="F312" s="82" t="s">
        <v>43</v>
      </c>
      <c r="G312" s="82" t="s">
        <v>55</v>
      </c>
      <c r="H312" s="82" t="s">
        <v>285</v>
      </c>
      <c r="I312" s="110" t="s">
        <v>143</v>
      </c>
      <c r="J312" s="110" t="s">
        <v>143</v>
      </c>
      <c r="K312" s="110" t="s">
        <v>371</v>
      </c>
      <c r="L312" s="110" t="s">
        <v>371</v>
      </c>
      <c r="M312" s="82">
        <v>1</v>
      </c>
      <c r="N312" s="82" t="s">
        <v>175</v>
      </c>
      <c r="O312" s="117" t="s">
        <v>367</v>
      </c>
      <c r="P312" s="123" t="e">
        <f t="shared" si="3"/>
        <v>#N/A</v>
      </c>
      <c r="Q312" s="119" t="str">
        <f>VLOOKUP($B312,'Component List'!$A$2:$B$30,2,FALSE)</f>
        <v>MD7</v>
      </c>
      <c r="R312" s="77" t="str">
        <f>VLOOKUP($C312,'Component List'!C$2:D$28,2,FALSE)</f>
        <v>PLS</v>
      </c>
      <c r="S312" s="77" t="str">
        <f>VLOOKUP($D312,'Component List'!E$2:F$30,2,FALSE)</f>
        <v>D</v>
      </c>
      <c r="T312" s="77">
        <f>VLOOKUP($E312,'Component List'!G$2:H$30,2,FALSE)</f>
        <v>300</v>
      </c>
      <c r="U312" s="77">
        <f>VLOOKUP($F312,'Component List'!I$2:J$30,2,FALSE)</f>
        <v>203</v>
      </c>
      <c r="V312" s="77">
        <f>VLOOKUP(G312,'Component List'!K$2:L$30,2,FALSE)</f>
        <v>200</v>
      </c>
      <c r="W312" s="77">
        <f>VLOOKUP(H312,'Component List'!M$2:N$31,2,FALSE)</f>
        <v>402</v>
      </c>
      <c r="X312" s="77" t="str">
        <f>VLOOKUP(I312,'Component List'!O$2:P$30,2,FALSE)</f>
        <v>000</v>
      </c>
      <c r="Y312" s="77" t="str">
        <f>VLOOKUP(J312,'Component List'!Q$2:R$30,2,FALSE)</f>
        <v>000</v>
      </c>
      <c r="Z312" s="77" t="e">
        <f>VLOOKUP(K312,'Component List'!S$2:T$30,2,FALSE)</f>
        <v>#N/A</v>
      </c>
      <c r="AA312" s="77" t="e">
        <f>VLOOKUP(L312,'Component List'!U$2:V$30,2,FALSE)</f>
        <v>#N/A</v>
      </c>
      <c r="AB312" s="77">
        <f>VLOOKUP(M312,'Component List'!AA$2:AB$30,2,FALSE)</f>
        <v>1</v>
      </c>
      <c r="AC312" s="77" t="str">
        <f>VLOOKUP(N312,'Component List'!Y$2:Z$30,2,FALSE)</f>
        <v>P</v>
      </c>
      <c r="AD312" s="159" t="e">
        <f>VLOOKUP(O312,'Component List'!W$3:X$30,2,FALSE)</f>
        <v>#N/A</v>
      </c>
    </row>
    <row r="313" spans="1:30" ht="30" customHeight="1" x14ac:dyDescent="0.3">
      <c r="A313" s="242"/>
      <c r="B313" s="101" t="s">
        <v>243</v>
      </c>
      <c r="C313" s="82" t="s">
        <v>237</v>
      </c>
      <c r="D313" s="80" t="s">
        <v>136</v>
      </c>
      <c r="E313" s="102" t="s">
        <v>239</v>
      </c>
      <c r="F313" s="82" t="s">
        <v>43</v>
      </c>
      <c r="G313" s="82" t="s">
        <v>55</v>
      </c>
      <c r="H313" s="82" t="s">
        <v>285</v>
      </c>
      <c r="I313" s="110" t="s">
        <v>143</v>
      </c>
      <c r="J313" s="110" t="s">
        <v>143</v>
      </c>
      <c r="K313" s="110" t="s">
        <v>371</v>
      </c>
      <c r="L313" s="110" t="s">
        <v>371</v>
      </c>
      <c r="M313" s="82">
        <v>1</v>
      </c>
      <c r="N313" s="82" t="s">
        <v>187</v>
      </c>
      <c r="O313" s="117" t="s">
        <v>367</v>
      </c>
      <c r="P313" s="123" t="e">
        <f t="shared" si="3"/>
        <v>#N/A</v>
      </c>
      <c r="Q313" s="119" t="str">
        <f>VLOOKUP($B313,'Component List'!$A$2:$B$30,2,FALSE)</f>
        <v>MD7</v>
      </c>
      <c r="R313" s="77" t="str">
        <f>VLOOKUP($C313,'Component List'!C$2:D$28,2,FALSE)</f>
        <v>PLS</v>
      </c>
      <c r="S313" s="77" t="str">
        <f>VLOOKUP($D313,'Component List'!E$2:F$30,2,FALSE)</f>
        <v>D</v>
      </c>
      <c r="T313" s="77">
        <f>VLOOKUP($E313,'Component List'!G$2:H$30,2,FALSE)</f>
        <v>300</v>
      </c>
      <c r="U313" s="77">
        <f>VLOOKUP($F313,'Component List'!I$2:J$30,2,FALSE)</f>
        <v>203</v>
      </c>
      <c r="V313" s="77">
        <f>VLOOKUP(G313,'Component List'!K$2:L$30,2,FALSE)</f>
        <v>200</v>
      </c>
      <c r="W313" s="77">
        <f>VLOOKUP(H313,'Component List'!M$2:N$31,2,FALSE)</f>
        <v>402</v>
      </c>
      <c r="X313" s="77" t="str">
        <f>VLOOKUP(I313,'Component List'!O$2:P$30,2,FALSE)</f>
        <v>000</v>
      </c>
      <c r="Y313" s="77" t="str">
        <f>VLOOKUP(J313,'Component List'!Q$2:R$30,2,FALSE)</f>
        <v>000</v>
      </c>
      <c r="Z313" s="77" t="e">
        <f>VLOOKUP(K313,'Component List'!S$2:T$30,2,FALSE)</f>
        <v>#N/A</v>
      </c>
      <c r="AA313" s="77" t="e">
        <f>VLOOKUP(L313,'Component List'!U$2:V$30,2,FALSE)</f>
        <v>#N/A</v>
      </c>
      <c r="AB313" s="77">
        <f>VLOOKUP(M313,'Component List'!AA$2:AB$30,2,FALSE)</f>
        <v>1</v>
      </c>
      <c r="AC313" s="77" t="str">
        <f>VLOOKUP(N313,'Component List'!Y$2:Z$30,2,FALSE)</f>
        <v>C</v>
      </c>
      <c r="AD313" s="159" t="e">
        <f>VLOOKUP(O313,'Component List'!W$3:X$30,2,FALSE)</f>
        <v>#N/A</v>
      </c>
    </row>
    <row r="314" spans="1:30" ht="30" customHeight="1" x14ac:dyDescent="0.3">
      <c r="A314" s="242"/>
      <c r="B314" s="101" t="s">
        <v>243</v>
      </c>
      <c r="C314" s="82" t="s">
        <v>237</v>
      </c>
      <c r="D314" s="80" t="s">
        <v>136</v>
      </c>
      <c r="E314" s="102" t="s">
        <v>239</v>
      </c>
      <c r="F314" s="82" t="s">
        <v>43</v>
      </c>
      <c r="G314" s="82" t="s">
        <v>55</v>
      </c>
      <c r="H314" s="82" t="s">
        <v>285</v>
      </c>
      <c r="I314" s="110" t="s">
        <v>143</v>
      </c>
      <c r="J314" s="110" t="s">
        <v>143</v>
      </c>
      <c r="K314" s="110" t="s">
        <v>371</v>
      </c>
      <c r="L314" s="110" t="s">
        <v>371</v>
      </c>
      <c r="M314" s="82">
        <v>2</v>
      </c>
      <c r="N314" s="82" t="s">
        <v>175</v>
      </c>
      <c r="O314" s="117" t="s">
        <v>367</v>
      </c>
      <c r="P314" s="123" t="e">
        <f t="shared" si="3"/>
        <v>#N/A</v>
      </c>
      <c r="Q314" s="119" t="str">
        <f>VLOOKUP($B314,'Component List'!$A$2:$B$30,2,FALSE)</f>
        <v>MD7</v>
      </c>
      <c r="R314" s="77" t="str">
        <f>VLOOKUP($C314,'Component List'!C$2:D$28,2,FALSE)</f>
        <v>PLS</v>
      </c>
      <c r="S314" s="77" t="str">
        <f>VLOOKUP($D314,'Component List'!E$2:F$30,2,FALSE)</f>
        <v>D</v>
      </c>
      <c r="T314" s="77">
        <f>VLOOKUP($E314,'Component List'!G$2:H$30,2,FALSE)</f>
        <v>300</v>
      </c>
      <c r="U314" s="77">
        <f>VLOOKUP($F314,'Component List'!I$2:J$30,2,FALSE)</f>
        <v>203</v>
      </c>
      <c r="V314" s="77">
        <f>VLOOKUP(G314,'Component List'!K$2:L$30,2,FALSE)</f>
        <v>200</v>
      </c>
      <c r="W314" s="77">
        <f>VLOOKUP(H314,'Component List'!M$2:N$31,2,FALSE)</f>
        <v>402</v>
      </c>
      <c r="X314" s="77" t="str">
        <f>VLOOKUP(I314,'Component List'!O$2:P$30,2,FALSE)</f>
        <v>000</v>
      </c>
      <c r="Y314" s="77" t="str">
        <f>VLOOKUP(J314,'Component List'!Q$2:R$30,2,FALSE)</f>
        <v>000</v>
      </c>
      <c r="Z314" s="77" t="e">
        <f>VLOOKUP(K314,'Component List'!S$2:T$30,2,FALSE)</f>
        <v>#N/A</v>
      </c>
      <c r="AA314" s="77" t="e">
        <f>VLOOKUP(L314,'Component List'!U$2:V$30,2,FALSE)</f>
        <v>#N/A</v>
      </c>
      <c r="AB314" s="77">
        <f>VLOOKUP(M314,'Component List'!AA$2:AB$30,2,FALSE)</f>
        <v>2</v>
      </c>
      <c r="AC314" s="77" t="str">
        <f>VLOOKUP(N314,'Component List'!Y$2:Z$30,2,FALSE)</f>
        <v>P</v>
      </c>
      <c r="AD314" s="159" t="e">
        <f>VLOOKUP(O314,'Component List'!W$3:X$30,2,FALSE)</f>
        <v>#N/A</v>
      </c>
    </row>
    <row r="315" spans="1:30" ht="30" customHeight="1" x14ac:dyDescent="0.3">
      <c r="A315" s="242"/>
      <c r="B315" s="101" t="s">
        <v>243</v>
      </c>
      <c r="C315" s="82" t="s">
        <v>237</v>
      </c>
      <c r="D315" s="80" t="s">
        <v>136</v>
      </c>
      <c r="E315" s="102" t="s">
        <v>239</v>
      </c>
      <c r="F315" s="82" t="s">
        <v>43</v>
      </c>
      <c r="G315" s="82" t="s">
        <v>55</v>
      </c>
      <c r="H315" s="82" t="s">
        <v>285</v>
      </c>
      <c r="I315" s="110" t="s">
        <v>143</v>
      </c>
      <c r="J315" s="110" t="s">
        <v>143</v>
      </c>
      <c r="K315" s="110" t="s">
        <v>371</v>
      </c>
      <c r="L315" s="110" t="s">
        <v>371</v>
      </c>
      <c r="M315" s="82">
        <v>2</v>
      </c>
      <c r="N315" s="82" t="s">
        <v>187</v>
      </c>
      <c r="O315" s="117" t="s">
        <v>367</v>
      </c>
      <c r="P315" s="123" t="e">
        <f t="shared" si="3"/>
        <v>#N/A</v>
      </c>
      <c r="Q315" s="119" t="str">
        <f>VLOOKUP($B315,'Component List'!$A$2:$B$30,2,FALSE)</f>
        <v>MD7</v>
      </c>
      <c r="R315" s="77" t="str">
        <f>VLOOKUP($C315,'Component List'!C$2:D$28,2,FALSE)</f>
        <v>PLS</v>
      </c>
      <c r="S315" s="77" t="str">
        <f>VLOOKUP($D315,'Component List'!E$2:F$30,2,FALSE)</f>
        <v>D</v>
      </c>
      <c r="T315" s="77">
        <f>VLOOKUP($E315,'Component List'!G$2:H$30,2,FALSE)</f>
        <v>300</v>
      </c>
      <c r="U315" s="77">
        <f>VLOOKUP($F315,'Component List'!I$2:J$30,2,FALSE)</f>
        <v>203</v>
      </c>
      <c r="V315" s="77">
        <f>VLOOKUP(G315,'Component List'!K$2:L$30,2,FALSE)</f>
        <v>200</v>
      </c>
      <c r="W315" s="77">
        <f>VLOOKUP(H315,'Component List'!M$2:N$31,2,FALSE)</f>
        <v>402</v>
      </c>
      <c r="X315" s="77" t="str">
        <f>VLOOKUP(I315,'Component List'!O$2:P$30,2,FALSE)</f>
        <v>000</v>
      </c>
      <c r="Y315" s="77" t="str">
        <f>VLOOKUP(J315,'Component List'!Q$2:R$30,2,FALSE)</f>
        <v>000</v>
      </c>
      <c r="Z315" s="77" t="e">
        <f>VLOOKUP(K315,'Component List'!S$2:T$30,2,FALSE)</f>
        <v>#N/A</v>
      </c>
      <c r="AA315" s="77" t="e">
        <f>VLOOKUP(L315,'Component List'!U$2:V$30,2,FALSE)</f>
        <v>#N/A</v>
      </c>
      <c r="AB315" s="77">
        <f>VLOOKUP(M315,'Component List'!AA$2:AB$30,2,FALSE)</f>
        <v>2</v>
      </c>
      <c r="AC315" s="77" t="str">
        <f>VLOOKUP(N315,'Component List'!Y$2:Z$30,2,FALSE)</f>
        <v>C</v>
      </c>
      <c r="AD315" s="159" t="e">
        <f>VLOOKUP(O315,'Component List'!W$3:X$30,2,FALSE)</f>
        <v>#N/A</v>
      </c>
    </row>
    <row r="316" spans="1:30" ht="30" customHeight="1" x14ac:dyDescent="0.3">
      <c r="A316" s="242"/>
      <c r="B316" s="101" t="s">
        <v>243</v>
      </c>
      <c r="C316" s="82" t="s">
        <v>237</v>
      </c>
      <c r="D316" s="80" t="s">
        <v>136</v>
      </c>
      <c r="E316" s="102" t="s">
        <v>239</v>
      </c>
      <c r="F316" s="82" t="s">
        <v>43</v>
      </c>
      <c r="G316" s="82" t="s">
        <v>55</v>
      </c>
      <c r="H316" s="82" t="s">
        <v>285</v>
      </c>
      <c r="I316" s="110" t="s">
        <v>143</v>
      </c>
      <c r="J316" s="110" t="s">
        <v>143</v>
      </c>
      <c r="K316" s="110" t="s">
        <v>371</v>
      </c>
      <c r="L316" s="110" t="s">
        <v>371</v>
      </c>
      <c r="M316" s="82">
        <v>3</v>
      </c>
      <c r="N316" s="82" t="s">
        <v>175</v>
      </c>
      <c r="O316" s="117" t="s">
        <v>367</v>
      </c>
      <c r="P316" s="123" t="e">
        <f t="shared" si="3"/>
        <v>#N/A</v>
      </c>
      <c r="Q316" s="119" t="str">
        <f>VLOOKUP($B316,'Component List'!$A$2:$B$30,2,FALSE)</f>
        <v>MD7</v>
      </c>
      <c r="R316" s="77" t="str">
        <f>VLOOKUP($C316,'Component List'!C$2:D$28,2,FALSE)</f>
        <v>PLS</v>
      </c>
      <c r="S316" s="77" t="str">
        <f>VLOOKUP($D316,'Component List'!E$2:F$30,2,FALSE)</f>
        <v>D</v>
      </c>
      <c r="T316" s="77">
        <f>VLOOKUP($E316,'Component List'!G$2:H$30,2,FALSE)</f>
        <v>300</v>
      </c>
      <c r="U316" s="77">
        <f>VLOOKUP($F316,'Component List'!I$2:J$30,2,FALSE)</f>
        <v>203</v>
      </c>
      <c r="V316" s="77">
        <f>VLOOKUP(G316,'Component List'!K$2:L$30,2,FALSE)</f>
        <v>200</v>
      </c>
      <c r="W316" s="77">
        <f>VLOOKUP(H316,'Component List'!M$2:N$31,2,FALSE)</f>
        <v>402</v>
      </c>
      <c r="X316" s="77" t="str">
        <f>VLOOKUP(I316,'Component List'!O$2:P$30,2,FALSE)</f>
        <v>000</v>
      </c>
      <c r="Y316" s="77" t="str">
        <f>VLOOKUP(J316,'Component List'!Q$2:R$30,2,FALSE)</f>
        <v>000</v>
      </c>
      <c r="Z316" s="77" t="e">
        <f>VLOOKUP(K316,'Component List'!S$2:T$30,2,FALSE)</f>
        <v>#N/A</v>
      </c>
      <c r="AA316" s="77" t="e">
        <f>VLOOKUP(L316,'Component List'!U$2:V$30,2,FALSE)</f>
        <v>#N/A</v>
      </c>
      <c r="AB316" s="77">
        <f>VLOOKUP(M316,'Component List'!AA$2:AB$30,2,FALSE)</f>
        <v>3</v>
      </c>
      <c r="AC316" s="77" t="str">
        <f>VLOOKUP(N316,'Component List'!Y$2:Z$30,2,FALSE)</f>
        <v>P</v>
      </c>
      <c r="AD316" s="159" t="e">
        <f>VLOOKUP(O316,'Component List'!W$3:X$30,2,FALSE)</f>
        <v>#N/A</v>
      </c>
    </row>
    <row r="317" spans="1:30" ht="30" customHeight="1" x14ac:dyDescent="0.3">
      <c r="A317" s="242"/>
      <c r="B317" s="101" t="s">
        <v>243</v>
      </c>
      <c r="C317" s="82" t="s">
        <v>237</v>
      </c>
      <c r="D317" s="80" t="s">
        <v>136</v>
      </c>
      <c r="E317" s="102" t="s">
        <v>239</v>
      </c>
      <c r="F317" s="82" t="s">
        <v>43</v>
      </c>
      <c r="G317" s="82" t="s">
        <v>55</v>
      </c>
      <c r="H317" s="82" t="s">
        <v>285</v>
      </c>
      <c r="I317" s="110" t="s">
        <v>143</v>
      </c>
      <c r="J317" s="110" t="s">
        <v>143</v>
      </c>
      <c r="K317" s="110" t="s">
        <v>371</v>
      </c>
      <c r="L317" s="110" t="s">
        <v>371</v>
      </c>
      <c r="M317" s="82">
        <v>3</v>
      </c>
      <c r="N317" s="82" t="s">
        <v>187</v>
      </c>
      <c r="O317" s="117" t="s">
        <v>367</v>
      </c>
      <c r="P317" s="123" t="e">
        <f t="shared" si="3"/>
        <v>#N/A</v>
      </c>
      <c r="Q317" s="119" t="str">
        <f>VLOOKUP($B317,'Component List'!$A$2:$B$30,2,FALSE)</f>
        <v>MD7</v>
      </c>
      <c r="R317" s="77" t="str">
        <f>VLOOKUP($C317,'Component List'!C$2:D$28,2,FALSE)</f>
        <v>PLS</v>
      </c>
      <c r="S317" s="77" t="str">
        <f>VLOOKUP($D317,'Component List'!E$2:F$30,2,FALSE)</f>
        <v>D</v>
      </c>
      <c r="T317" s="77">
        <f>VLOOKUP($E317,'Component List'!G$2:H$30,2,FALSE)</f>
        <v>300</v>
      </c>
      <c r="U317" s="77">
        <f>VLOOKUP($F317,'Component List'!I$2:J$30,2,FALSE)</f>
        <v>203</v>
      </c>
      <c r="V317" s="77">
        <f>VLOOKUP(G317,'Component List'!K$2:L$30,2,FALSE)</f>
        <v>200</v>
      </c>
      <c r="W317" s="77">
        <f>VLOOKUP(H317,'Component List'!M$2:N$31,2,FALSE)</f>
        <v>402</v>
      </c>
      <c r="X317" s="77" t="str">
        <f>VLOOKUP(I317,'Component List'!O$2:P$30,2,FALSE)</f>
        <v>000</v>
      </c>
      <c r="Y317" s="77" t="str">
        <f>VLOOKUP(J317,'Component List'!Q$2:R$30,2,FALSE)</f>
        <v>000</v>
      </c>
      <c r="Z317" s="77" t="e">
        <f>VLOOKUP(K317,'Component List'!S$2:T$30,2,FALSE)</f>
        <v>#N/A</v>
      </c>
      <c r="AA317" s="77" t="e">
        <f>VLOOKUP(L317,'Component List'!U$2:V$30,2,FALSE)</f>
        <v>#N/A</v>
      </c>
      <c r="AB317" s="77">
        <f>VLOOKUP(M317,'Component List'!AA$2:AB$30,2,FALSE)</f>
        <v>3</v>
      </c>
      <c r="AC317" s="77" t="str">
        <f>VLOOKUP(N317,'Component List'!Y$2:Z$30,2,FALSE)</f>
        <v>C</v>
      </c>
      <c r="AD317" s="159" t="e">
        <f>VLOOKUP(O317,'Component List'!W$3:X$30,2,FALSE)</f>
        <v>#N/A</v>
      </c>
    </row>
    <row r="318" spans="1:30" ht="30" customHeight="1" x14ac:dyDescent="0.3">
      <c r="A318" s="242"/>
      <c r="B318" s="101" t="s">
        <v>243</v>
      </c>
      <c r="C318" s="82" t="s">
        <v>237</v>
      </c>
      <c r="D318" s="80" t="s">
        <v>136</v>
      </c>
      <c r="E318" s="102" t="s">
        <v>239</v>
      </c>
      <c r="F318" s="82" t="s">
        <v>43</v>
      </c>
      <c r="G318" s="82" t="s">
        <v>55</v>
      </c>
      <c r="H318" s="82" t="s">
        <v>289</v>
      </c>
      <c r="I318" s="110" t="s">
        <v>143</v>
      </c>
      <c r="J318" s="110" t="s">
        <v>143</v>
      </c>
      <c r="K318" s="110" t="s">
        <v>371</v>
      </c>
      <c r="L318" s="110" t="s">
        <v>371</v>
      </c>
      <c r="M318" s="82">
        <v>1</v>
      </c>
      <c r="N318" s="82" t="s">
        <v>175</v>
      </c>
      <c r="O318" s="117" t="s">
        <v>367</v>
      </c>
      <c r="P318" s="123" t="e">
        <f t="shared" si="3"/>
        <v>#N/A</v>
      </c>
      <c r="Q318" s="119" t="str">
        <f>VLOOKUP($B318,'Component List'!$A$2:$B$30,2,FALSE)</f>
        <v>MD7</v>
      </c>
      <c r="R318" s="77" t="str">
        <f>VLOOKUP($C318,'Component List'!C$2:D$28,2,FALSE)</f>
        <v>PLS</v>
      </c>
      <c r="S318" s="77" t="str">
        <f>VLOOKUP($D318,'Component List'!E$2:F$30,2,FALSE)</f>
        <v>D</v>
      </c>
      <c r="T318" s="77">
        <f>VLOOKUP($E318,'Component List'!G$2:H$30,2,FALSE)</f>
        <v>300</v>
      </c>
      <c r="U318" s="77">
        <f>VLOOKUP($F318,'Component List'!I$2:J$30,2,FALSE)</f>
        <v>203</v>
      </c>
      <c r="V318" s="77">
        <f>VLOOKUP(G318,'Component List'!K$2:L$30,2,FALSE)</f>
        <v>200</v>
      </c>
      <c r="W318" s="77">
        <f>VLOOKUP(H318,'Component List'!M$2:N$31,2,FALSE)</f>
        <v>403</v>
      </c>
      <c r="X318" s="77" t="str">
        <f>VLOOKUP(I318,'Component List'!O$2:P$30,2,FALSE)</f>
        <v>000</v>
      </c>
      <c r="Y318" s="77" t="str">
        <f>VLOOKUP(J318,'Component List'!Q$2:R$30,2,FALSE)</f>
        <v>000</v>
      </c>
      <c r="Z318" s="77" t="e">
        <f>VLOOKUP(K318,'Component List'!S$2:T$30,2,FALSE)</f>
        <v>#N/A</v>
      </c>
      <c r="AA318" s="77" t="e">
        <f>VLOOKUP(L318,'Component List'!U$2:V$30,2,FALSE)</f>
        <v>#N/A</v>
      </c>
      <c r="AB318" s="77">
        <f>VLOOKUP(M318,'Component List'!AA$2:AB$30,2,FALSE)</f>
        <v>1</v>
      </c>
      <c r="AC318" s="77" t="str">
        <f>VLOOKUP(N318,'Component List'!Y$2:Z$30,2,FALSE)</f>
        <v>P</v>
      </c>
      <c r="AD318" s="159" t="e">
        <f>VLOOKUP(O318,'Component List'!W$3:X$30,2,FALSE)</f>
        <v>#N/A</v>
      </c>
    </row>
    <row r="319" spans="1:30" ht="30" customHeight="1" x14ac:dyDescent="0.3">
      <c r="A319" s="242"/>
      <c r="B319" s="101" t="s">
        <v>243</v>
      </c>
      <c r="C319" s="82" t="s">
        <v>237</v>
      </c>
      <c r="D319" s="80" t="s">
        <v>136</v>
      </c>
      <c r="E319" s="102" t="s">
        <v>239</v>
      </c>
      <c r="F319" s="82" t="s">
        <v>43</v>
      </c>
      <c r="G319" s="82" t="s">
        <v>55</v>
      </c>
      <c r="H319" s="82" t="s">
        <v>289</v>
      </c>
      <c r="I319" s="110" t="s">
        <v>143</v>
      </c>
      <c r="J319" s="110" t="s">
        <v>143</v>
      </c>
      <c r="K319" s="110" t="s">
        <v>371</v>
      </c>
      <c r="L319" s="110" t="s">
        <v>371</v>
      </c>
      <c r="M319" s="82">
        <v>1</v>
      </c>
      <c r="N319" s="82" t="s">
        <v>187</v>
      </c>
      <c r="O319" s="117" t="s">
        <v>367</v>
      </c>
      <c r="P319" s="123" t="e">
        <f t="shared" si="3"/>
        <v>#N/A</v>
      </c>
      <c r="Q319" s="119" t="str">
        <f>VLOOKUP($B319,'Component List'!$A$2:$B$30,2,FALSE)</f>
        <v>MD7</v>
      </c>
      <c r="R319" s="77" t="str">
        <f>VLOOKUP($C319,'Component List'!C$2:D$28,2,FALSE)</f>
        <v>PLS</v>
      </c>
      <c r="S319" s="77" t="str">
        <f>VLOOKUP($D319,'Component List'!E$2:F$30,2,FALSE)</f>
        <v>D</v>
      </c>
      <c r="T319" s="77">
        <f>VLOOKUP($E319,'Component List'!G$2:H$30,2,FALSE)</f>
        <v>300</v>
      </c>
      <c r="U319" s="77">
        <f>VLOOKUP($F319,'Component List'!I$2:J$30,2,FALSE)</f>
        <v>203</v>
      </c>
      <c r="V319" s="77">
        <f>VLOOKUP(G319,'Component List'!K$2:L$30,2,FALSE)</f>
        <v>200</v>
      </c>
      <c r="W319" s="77">
        <f>VLOOKUP(H319,'Component List'!M$2:N$31,2,FALSE)</f>
        <v>403</v>
      </c>
      <c r="X319" s="77" t="str">
        <f>VLOOKUP(I319,'Component List'!O$2:P$30,2,FALSE)</f>
        <v>000</v>
      </c>
      <c r="Y319" s="77" t="str">
        <f>VLOOKUP(J319,'Component List'!Q$2:R$30,2,FALSE)</f>
        <v>000</v>
      </c>
      <c r="Z319" s="77" t="e">
        <f>VLOOKUP(K319,'Component List'!S$2:T$30,2,FALSE)</f>
        <v>#N/A</v>
      </c>
      <c r="AA319" s="77" t="e">
        <f>VLOOKUP(L319,'Component List'!U$2:V$30,2,FALSE)</f>
        <v>#N/A</v>
      </c>
      <c r="AB319" s="77">
        <f>VLOOKUP(M319,'Component List'!AA$2:AB$30,2,FALSE)</f>
        <v>1</v>
      </c>
      <c r="AC319" s="77" t="str">
        <f>VLOOKUP(N319,'Component List'!Y$2:Z$30,2,FALSE)</f>
        <v>C</v>
      </c>
      <c r="AD319" s="159" t="e">
        <f>VLOOKUP(O319,'Component List'!W$3:X$30,2,FALSE)</f>
        <v>#N/A</v>
      </c>
    </row>
    <row r="320" spans="1:30" ht="30" customHeight="1" x14ac:dyDescent="0.3">
      <c r="A320" s="242"/>
      <c r="B320" s="101" t="s">
        <v>243</v>
      </c>
      <c r="C320" s="82" t="s">
        <v>237</v>
      </c>
      <c r="D320" s="80" t="s">
        <v>136</v>
      </c>
      <c r="E320" s="102" t="s">
        <v>239</v>
      </c>
      <c r="F320" s="82" t="s">
        <v>43</v>
      </c>
      <c r="G320" s="82" t="s">
        <v>55</v>
      </c>
      <c r="H320" s="82" t="s">
        <v>289</v>
      </c>
      <c r="I320" s="110" t="s">
        <v>143</v>
      </c>
      <c r="J320" s="110" t="s">
        <v>143</v>
      </c>
      <c r="K320" s="110" t="s">
        <v>371</v>
      </c>
      <c r="L320" s="110" t="s">
        <v>371</v>
      </c>
      <c r="M320" s="82">
        <v>2</v>
      </c>
      <c r="N320" s="82" t="s">
        <v>175</v>
      </c>
      <c r="O320" s="117" t="s">
        <v>367</v>
      </c>
      <c r="P320" s="123" t="e">
        <f t="shared" si="3"/>
        <v>#N/A</v>
      </c>
      <c r="Q320" s="119" t="str">
        <f>VLOOKUP($B320,'Component List'!$A$2:$B$30,2,FALSE)</f>
        <v>MD7</v>
      </c>
      <c r="R320" s="77" t="str">
        <f>VLOOKUP($C320,'Component List'!C$2:D$28,2,FALSE)</f>
        <v>PLS</v>
      </c>
      <c r="S320" s="77" t="str">
        <f>VLOOKUP($D320,'Component List'!E$2:F$30,2,FALSE)</f>
        <v>D</v>
      </c>
      <c r="T320" s="77">
        <f>VLOOKUP($E320,'Component List'!G$2:H$30,2,FALSE)</f>
        <v>300</v>
      </c>
      <c r="U320" s="77">
        <f>VLOOKUP($F320,'Component List'!I$2:J$30,2,FALSE)</f>
        <v>203</v>
      </c>
      <c r="V320" s="77">
        <f>VLOOKUP(G320,'Component List'!K$2:L$30,2,FALSE)</f>
        <v>200</v>
      </c>
      <c r="W320" s="77">
        <f>VLOOKUP(H320,'Component List'!M$2:N$31,2,FALSE)</f>
        <v>403</v>
      </c>
      <c r="X320" s="77" t="str">
        <f>VLOOKUP(I320,'Component List'!O$2:P$30,2,FALSE)</f>
        <v>000</v>
      </c>
      <c r="Y320" s="77" t="str">
        <f>VLOOKUP(J320,'Component List'!Q$2:R$30,2,FALSE)</f>
        <v>000</v>
      </c>
      <c r="Z320" s="77" t="e">
        <f>VLOOKUP(K320,'Component List'!S$2:T$30,2,FALSE)</f>
        <v>#N/A</v>
      </c>
      <c r="AA320" s="77" t="e">
        <f>VLOOKUP(L320,'Component List'!U$2:V$30,2,FALSE)</f>
        <v>#N/A</v>
      </c>
      <c r="AB320" s="77">
        <f>VLOOKUP(M320,'Component List'!AA$2:AB$30,2,FALSE)</f>
        <v>2</v>
      </c>
      <c r="AC320" s="77" t="str">
        <f>VLOOKUP(N320,'Component List'!Y$2:Z$30,2,FALSE)</f>
        <v>P</v>
      </c>
      <c r="AD320" s="159" t="e">
        <f>VLOOKUP(O320,'Component List'!W$3:X$30,2,FALSE)</f>
        <v>#N/A</v>
      </c>
    </row>
    <row r="321" spans="1:30" ht="30" customHeight="1" x14ac:dyDescent="0.3">
      <c r="A321" s="242"/>
      <c r="B321" s="101" t="s">
        <v>243</v>
      </c>
      <c r="C321" s="82" t="s">
        <v>237</v>
      </c>
      <c r="D321" s="80" t="s">
        <v>136</v>
      </c>
      <c r="E321" s="102" t="s">
        <v>239</v>
      </c>
      <c r="F321" s="82" t="s">
        <v>43</v>
      </c>
      <c r="G321" s="82" t="s">
        <v>55</v>
      </c>
      <c r="H321" s="82" t="s">
        <v>289</v>
      </c>
      <c r="I321" s="110" t="s">
        <v>143</v>
      </c>
      <c r="J321" s="110" t="s">
        <v>143</v>
      </c>
      <c r="K321" s="110" t="s">
        <v>371</v>
      </c>
      <c r="L321" s="110" t="s">
        <v>371</v>
      </c>
      <c r="M321" s="82">
        <v>2</v>
      </c>
      <c r="N321" s="82" t="s">
        <v>187</v>
      </c>
      <c r="O321" s="117" t="s">
        <v>367</v>
      </c>
      <c r="P321" s="123" t="e">
        <f t="shared" si="3"/>
        <v>#N/A</v>
      </c>
      <c r="Q321" s="119" t="str">
        <f>VLOOKUP($B321,'Component List'!$A$2:$B$30,2,FALSE)</f>
        <v>MD7</v>
      </c>
      <c r="R321" s="77" t="str">
        <f>VLOOKUP($C321,'Component List'!C$2:D$28,2,FALSE)</f>
        <v>PLS</v>
      </c>
      <c r="S321" s="77" t="str">
        <f>VLOOKUP($D321,'Component List'!E$2:F$30,2,FALSE)</f>
        <v>D</v>
      </c>
      <c r="T321" s="77">
        <f>VLOOKUP($E321,'Component List'!G$2:H$30,2,FALSE)</f>
        <v>300</v>
      </c>
      <c r="U321" s="77">
        <f>VLOOKUP($F321,'Component List'!I$2:J$30,2,FALSE)</f>
        <v>203</v>
      </c>
      <c r="V321" s="77">
        <f>VLOOKUP(G321,'Component List'!K$2:L$30,2,FALSE)</f>
        <v>200</v>
      </c>
      <c r="W321" s="77">
        <f>VLOOKUP(H326,'Component List'!M$2:N$31,2,FALSE)</f>
        <v>401</v>
      </c>
      <c r="X321" s="77" t="str">
        <f>VLOOKUP(I321,'Component List'!O$2:P$30,2,FALSE)</f>
        <v>000</v>
      </c>
      <c r="Y321" s="77" t="str">
        <f>VLOOKUP(J321,'Component List'!Q$2:R$30,2,FALSE)</f>
        <v>000</v>
      </c>
      <c r="Z321" s="77" t="e">
        <f>VLOOKUP(K321,'Component List'!S$2:T$30,2,FALSE)</f>
        <v>#N/A</v>
      </c>
      <c r="AA321" s="77" t="e">
        <f>VLOOKUP(L321,'Component List'!U$2:V$30,2,FALSE)</f>
        <v>#N/A</v>
      </c>
      <c r="AB321" s="77">
        <f>VLOOKUP(M321,'Component List'!AA$2:AB$30,2,FALSE)</f>
        <v>2</v>
      </c>
      <c r="AC321" s="77" t="str">
        <f>VLOOKUP(N321,'Component List'!Y$2:Z$30,2,FALSE)</f>
        <v>C</v>
      </c>
      <c r="AD321" s="159" t="e">
        <f>VLOOKUP(O321,'Component List'!W$3:X$30,2,FALSE)</f>
        <v>#N/A</v>
      </c>
    </row>
    <row r="322" spans="1:30" ht="30" customHeight="1" x14ac:dyDescent="0.3">
      <c r="A322" s="242"/>
      <c r="B322" s="101" t="s">
        <v>243</v>
      </c>
      <c r="C322" s="82" t="s">
        <v>237</v>
      </c>
      <c r="D322" s="80" t="s">
        <v>136</v>
      </c>
      <c r="E322" s="102" t="s">
        <v>239</v>
      </c>
      <c r="F322" s="82" t="s">
        <v>43</v>
      </c>
      <c r="G322" s="82" t="s">
        <v>55</v>
      </c>
      <c r="H322" s="82" t="s">
        <v>289</v>
      </c>
      <c r="I322" s="110" t="s">
        <v>143</v>
      </c>
      <c r="J322" s="110" t="s">
        <v>143</v>
      </c>
      <c r="K322" s="110" t="s">
        <v>371</v>
      </c>
      <c r="L322" s="110" t="s">
        <v>371</v>
      </c>
      <c r="M322" s="82">
        <v>3</v>
      </c>
      <c r="N322" s="82" t="s">
        <v>175</v>
      </c>
      <c r="O322" s="117" t="s">
        <v>367</v>
      </c>
      <c r="P322" s="123" t="e">
        <f t="shared" si="3"/>
        <v>#N/A</v>
      </c>
      <c r="Q322" s="119" t="str">
        <f>VLOOKUP($B322,'Component List'!$A$2:$B$30,2,FALSE)</f>
        <v>MD7</v>
      </c>
      <c r="R322" s="77" t="str">
        <f>VLOOKUP($C322,'Component List'!C$2:D$28,2,FALSE)</f>
        <v>PLS</v>
      </c>
      <c r="S322" s="77" t="str">
        <f>VLOOKUP($D322,'Component List'!E$2:F$30,2,FALSE)</f>
        <v>D</v>
      </c>
      <c r="T322" s="77">
        <f>VLOOKUP($E322,'Component List'!G$2:H$30,2,FALSE)</f>
        <v>300</v>
      </c>
      <c r="U322" s="77">
        <f>VLOOKUP($F322,'Component List'!I$2:J$30,2,FALSE)</f>
        <v>203</v>
      </c>
      <c r="V322" s="77">
        <f>VLOOKUP(G322,'Component List'!K$2:L$30,2,FALSE)</f>
        <v>200</v>
      </c>
      <c r="W322" s="77">
        <f>VLOOKUP(H332,'Component List'!M$2:N$31,2,FALSE)</f>
        <v>400</v>
      </c>
      <c r="X322" s="77" t="str">
        <f>VLOOKUP(I322,'Component List'!O$2:P$30,2,FALSE)</f>
        <v>000</v>
      </c>
      <c r="Y322" s="77" t="str">
        <f>VLOOKUP(J322,'Component List'!Q$2:R$30,2,FALSE)</f>
        <v>000</v>
      </c>
      <c r="Z322" s="77" t="e">
        <f>VLOOKUP(K322,'Component List'!S$2:T$30,2,FALSE)</f>
        <v>#N/A</v>
      </c>
      <c r="AA322" s="77" t="e">
        <f>VLOOKUP(L322,'Component List'!U$2:V$30,2,FALSE)</f>
        <v>#N/A</v>
      </c>
      <c r="AB322" s="77">
        <f>VLOOKUP(M322,'Component List'!AA$2:AB$30,2,FALSE)</f>
        <v>3</v>
      </c>
      <c r="AC322" s="77" t="str">
        <f>VLOOKUP(N322,'Component List'!Y$2:Z$30,2,FALSE)</f>
        <v>P</v>
      </c>
      <c r="AD322" s="159" t="e">
        <f>VLOOKUP(O322,'Component List'!W$3:X$30,2,FALSE)</f>
        <v>#N/A</v>
      </c>
    </row>
    <row r="323" spans="1:30" ht="30" customHeight="1" x14ac:dyDescent="0.3">
      <c r="A323" s="242"/>
      <c r="B323" s="101" t="s">
        <v>243</v>
      </c>
      <c r="C323" s="82" t="s">
        <v>237</v>
      </c>
      <c r="D323" s="80" t="s">
        <v>136</v>
      </c>
      <c r="E323" s="102" t="s">
        <v>239</v>
      </c>
      <c r="F323" s="82" t="s">
        <v>43</v>
      </c>
      <c r="G323" s="82" t="s">
        <v>55</v>
      </c>
      <c r="H323" s="82" t="s">
        <v>289</v>
      </c>
      <c r="I323" s="110" t="s">
        <v>143</v>
      </c>
      <c r="J323" s="110" t="s">
        <v>143</v>
      </c>
      <c r="K323" s="110" t="s">
        <v>371</v>
      </c>
      <c r="L323" s="110" t="s">
        <v>371</v>
      </c>
      <c r="M323" s="82">
        <v>3</v>
      </c>
      <c r="N323" s="82" t="s">
        <v>187</v>
      </c>
      <c r="O323" s="117" t="s">
        <v>367</v>
      </c>
      <c r="P323" s="123" t="e">
        <f t="shared" si="3"/>
        <v>#N/A</v>
      </c>
      <c r="Q323" s="119" t="str">
        <f>VLOOKUP($B323,'Component List'!$A$2:$B$30,2,FALSE)</f>
        <v>MD7</v>
      </c>
      <c r="R323" s="77" t="str">
        <f>VLOOKUP($C323,'Component List'!C$2:D$28,2,FALSE)</f>
        <v>PLS</v>
      </c>
      <c r="S323" s="77" t="str">
        <f>VLOOKUP($D323,'Component List'!E$2:F$30,2,FALSE)</f>
        <v>D</v>
      </c>
      <c r="T323" s="77">
        <f>VLOOKUP($E323,'Component List'!G$2:H$30,2,FALSE)</f>
        <v>300</v>
      </c>
      <c r="U323" s="77">
        <f>VLOOKUP($F323,'Component List'!I$2:J$30,2,FALSE)</f>
        <v>203</v>
      </c>
      <c r="V323" s="77">
        <f>VLOOKUP(G323,'Component List'!K$2:L$30,2,FALSE)</f>
        <v>200</v>
      </c>
      <c r="W323" s="77">
        <f>VLOOKUP(H323,'Component List'!M$2:N$31,2,FALSE)</f>
        <v>403</v>
      </c>
      <c r="X323" s="77" t="str">
        <f>VLOOKUP(I323,'Component List'!O$2:P$30,2,FALSE)</f>
        <v>000</v>
      </c>
      <c r="Y323" s="77" t="str">
        <f>VLOOKUP(J323,'Component List'!Q$2:R$30,2,FALSE)</f>
        <v>000</v>
      </c>
      <c r="Z323" s="77" t="e">
        <f>VLOOKUP(K323,'Component List'!S$2:T$30,2,FALSE)</f>
        <v>#N/A</v>
      </c>
      <c r="AA323" s="77" t="e">
        <f>VLOOKUP(L323,'Component List'!U$2:V$30,2,FALSE)</f>
        <v>#N/A</v>
      </c>
      <c r="AB323" s="77">
        <f>VLOOKUP(M323,'Component List'!AA$2:AB$30,2,FALSE)</f>
        <v>3</v>
      </c>
      <c r="AC323" s="77" t="str">
        <f>VLOOKUP(N323,'Component List'!Y$2:Z$30,2,FALSE)</f>
        <v>C</v>
      </c>
      <c r="AD323" s="159" t="e">
        <f>VLOOKUP(O323,'Component List'!W$3:X$30,2,FALSE)</f>
        <v>#N/A</v>
      </c>
    </row>
    <row r="324" spans="1:30" ht="30" customHeight="1" x14ac:dyDescent="0.3">
      <c r="A324" s="242"/>
      <c r="B324" s="101" t="s">
        <v>243</v>
      </c>
      <c r="C324" s="82" t="s">
        <v>237</v>
      </c>
      <c r="D324" s="80" t="s">
        <v>136</v>
      </c>
      <c r="E324" s="102" t="s">
        <v>239</v>
      </c>
      <c r="F324" s="82" t="s">
        <v>269</v>
      </c>
      <c r="G324" s="82" t="s">
        <v>55</v>
      </c>
      <c r="H324" s="82" t="s">
        <v>282</v>
      </c>
      <c r="I324" s="110" t="s">
        <v>198</v>
      </c>
      <c r="J324" s="110" t="s">
        <v>143</v>
      </c>
      <c r="K324" s="110" t="s">
        <v>371</v>
      </c>
      <c r="L324" s="110" t="s">
        <v>371</v>
      </c>
      <c r="M324" s="82">
        <v>1</v>
      </c>
      <c r="N324" s="82" t="s">
        <v>175</v>
      </c>
      <c r="O324" s="117" t="s">
        <v>367</v>
      </c>
      <c r="P324" s="123" t="e">
        <f t="shared" si="3"/>
        <v>#N/A</v>
      </c>
      <c r="Q324" s="119" t="str">
        <f>VLOOKUP($B324,'Component List'!$A$2:$B$30,2,FALSE)</f>
        <v>MD7</v>
      </c>
      <c r="R324" s="77" t="str">
        <f>VLOOKUP($C324,'Component List'!C$2:D$28,2,FALSE)</f>
        <v>PLS</v>
      </c>
      <c r="S324" s="77" t="str">
        <f>VLOOKUP($D324,'Component List'!E$2:F$30,2,FALSE)</f>
        <v>D</v>
      </c>
      <c r="T324" s="77">
        <f>VLOOKUP($E324,'Component List'!G$2:H$30,2,FALSE)</f>
        <v>300</v>
      </c>
      <c r="U324" s="77">
        <f>VLOOKUP($F324,'Component List'!I$2:J$30,2,FALSE)</f>
        <v>111</v>
      </c>
      <c r="V324" s="77">
        <f>VLOOKUP(G324,'Component List'!K$2:L$30,2,FALSE)</f>
        <v>200</v>
      </c>
      <c r="W324" s="77">
        <f>VLOOKUP(H324,'Component List'!M$2:N$31,2,FALSE)</f>
        <v>401</v>
      </c>
      <c r="X324" s="77">
        <f>VLOOKUP(I324,'Component List'!O$2:P$30,2,FALSE)</f>
        <v>100</v>
      </c>
      <c r="Y324" s="77" t="str">
        <f>VLOOKUP(J324,'Component List'!Q$2:R$30,2,FALSE)</f>
        <v>000</v>
      </c>
      <c r="Z324" s="77" t="e">
        <f>VLOOKUP(K324,'Component List'!S$2:T$30,2,FALSE)</f>
        <v>#N/A</v>
      </c>
      <c r="AA324" s="77" t="e">
        <f>VLOOKUP(L324,'Component List'!U$2:V$30,2,FALSE)</f>
        <v>#N/A</v>
      </c>
      <c r="AB324" s="77">
        <f>VLOOKUP(M324,'Component List'!AA$2:AB$30,2,FALSE)</f>
        <v>1</v>
      </c>
      <c r="AC324" s="77" t="str">
        <f>VLOOKUP(N324,'Component List'!Y$2:Z$30,2,FALSE)</f>
        <v>P</v>
      </c>
      <c r="AD324" s="159" t="e">
        <f>VLOOKUP(O324,'Component List'!W$3:X$30,2,FALSE)</f>
        <v>#N/A</v>
      </c>
    </row>
    <row r="325" spans="1:30" ht="30" customHeight="1" x14ac:dyDescent="0.3">
      <c r="A325" s="242"/>
      <c r="B325" s="101" t="s">
        <v>243</v>
      </c>
      <c r="C325" s="82" t="s">
        <v>237</v>
      </c>
      <c r="D325" s="80" t="s">
        <v>136</v>
      </c>
      <c r="E325" s="102" t="s">
        <v>239</v>
      </c>
      <c r="F325" s="82" t="s">
        <v>269</v>
      </c>
      <c r="G325" s="82" t="s">
        <v>55</v>
      </c>
      <c r="H325" s="82" t="s">
        <v>282</v>
      </c>
      <c r="I325" s="110" t="s">
        <v>198</v>
      </c>
      <c r="J325" s="110" t="s">
        <v>143</v>
      </c>
      <c r="K325" s="110" t="s">
        <v>371</v>
      </c>
      <c r="L325" s="110" t="s">
        <v>371</v>
      </c>
      <c r="M325" s="82">
        <v>1</v>
      </c>
      <c r="N325" s="82" t="s">
        <v>187</v>
      </c>
      <c r="O325" s="117" t="s">
        <v>367</v>
      </c>
      <c r="P325" s="123" t="e">
        <f t="shared" si="3"/>
        <v>#N/A</v>
      </c>
      <c r="Q325" s="119" t="str">
        <f>VLOOKUP($B325,'Component List'!$A$2:$B$30,2,FALSE)</f>
        <v>MD7</v>
      </c>
      <c r="R325" s="77" t="str">
        <f>VLOOKUP($C325,'Component List'!C$2:D$28,2,FALSE)</f>
        <v>PLS</v>
      </c>
      <c r="S325" s="77" t="str">
        <f>VLOOKUP($D325,'Component List'!E$2:F$30,2,FALSE)</f>
        <v>D</v>
      </c>
      <c r="T325" s="77">
        <f>VLOOKUP($E325,'Component List'!G$2:H$30,2,FALSE)</f>
        <v>300</v>
      </c>
      <c r="U325" s="77">
        <f>VLOOKUP($F325,'Component List'!I$2:J$30,2,FALSE)</f>
        <v>111</v>
      </c>
      <c r="V325" s="77">
        <f>VLOOKUP(G325,'Component List'!K$2:L$30,2,FALSE)</f>
        <v>200</v>
      </c>
      <c r="W325" s="77">
        <f>VLOOKUP(H325,'Component List'!M$2:N$31,2,FALSE)</f>
        <v>401</v>
      </c>
      <c r="X325" s="77">
        <f>VLOOKUP(I325,'Component List'!O$2:P$30,2,FALSE)</f>
        <v>100</v>
      </c>
      <c r="Y325" s="77" t="str">
        <f>VLOOKUP(J325,'Component List'!Q$2:R$30,2,FALSE)</f>
        <v>000</v>
      </c>
      <c r="Z325" s="77" t="e">
        <f>VLOOKUP(K325,'Component List'!S$2:T$30,2,FALSE)</f>
        <v>#N/A</v>
      </c>
      <c r="AA325" s="77" t="e">
        <f>VLOOKUP(L325,'Component List'!U$2:V$30,2,FALSE)</f>
        <v>#N/A</v>
      </c>
      <c r="AB325" s="77">
        <f>VLOOKUP(M325,'Component List'!AA$2:AB$30,2,FALSE)</f>
        <v>1</v>
      </c>
      <c r="AC325" s="77" t="str">
        <f>VLOOKUP(N325,'Component List'!Y$2:Z$30,2,FALSE)</f>
        <v>C</v>
      </c>
      <c r="AD325" s="159" t="e">
        <f>VLOOKUP(O325,'Component List'!W$3:X$30,2,FALSE)</f>
        <v>#N/A</v>
      </c>
    </row>
    <row r="326" spans="1:30" ht="30" customHeight="1" x14ac:dyDescent="0.3">
      <c r="A326" s="242"/>
      <c r="B326" s="101" t="s">
        <v>243</v>
      </c>
      <c r="C326" s="82" t="s">
        <v>237</v>
      </c>
      <c r="D326" s="80" t="s">
        <v>136</v>
      </c>
      <c r="E326" s="102" t="s">
        <v>239</v>
      </c>
      <c r="F326" s="82" t="s">
        <v>269</v>
      </c>
      <c r="G326" s="82" t="s">
        <v>55</v>
      </c>
      <c r="H326" s="82" t="s">
        <v>282</v>
      </c>
      <c r="I326" s="110" t="s">
        <v>198</v>
      </c>
      <c r="J326" s="110" t="s">
        <v>143</v>
      </c>
      <c r="K326" s="110" t="s">
        <v>371</v>
      </c>
      <c r="L326" s="110" t="s">
        <v>371</v>
      </c>
      <c r="M326" s="82">
        <v>2</v>
      </c>
      <c r="N326" s="82" t="s">
        <v>175</v>
      </c>
      <c r="O326" s="117" t="s">
        <v>367</v>
      </c>
      <c r="P326" s="123" t="e">
        <f t="shared" si="3"/>
        <v>#N/A</v>
      </c>
      <c r="Q326" s="119" t="str">
        <f>VLOOKUP($B326,'Component List'!$A$2:$B$30,2,FALSE)</f>
        <v>MD7</v>
      </c>
      <c r="R326" s="77" t="str">
        <f>VLOOKUP($C326,'Component List'!C$2:D$28,2,FALSE)</f>
        <v>PLS</v>
      </c>
      <c r="S326" s="77" t="str">
        <f>VLOOKUP($D326,'Component List'!E$2:F$30,2,FALSE)</f>
        <v>D</v>
      </c>
      <c r="T326" s="77">
        <f>VLOOKUP($E326,'Component List'!G$2:H$30,2,FALSE)</f>
        <v>300</v>
      </c>
      <c r="U326" s="77">
        <f>VLOOKUP($F326,'Component List'!I$2:J$30,2,FALSE)</f>
        <v>111</v>
      </c>
      <c r="V326" s="77">
        <f>VLOOKUP(G326,'Component List'!K$2:L$30,2,FALSE)</f>
        <v>200</v>
      </c>
      <c r="W326" s="77">
        <f>VLOOKUP(H326,'Component List'!M$2:N$31,2,FALSE)</f>
        <v>401</v>
      </c>
      <c r="X326" s="77">
        <f>VLOOKUP(I326,'Component List'!O$2:P$30,2,FALSE)</f>
        <v>100</v>
      </c>
      <c r="Y326" s="77" t="str">
        <f>VLOOKUP(J326,'Component List'!Q$2:R$30,2,FALSE)</f>
        <v>000</v>
      </c>
      <c r="Z326" s="77" t="e">
        <f>VLOOKUP(K326,'Component List'!S$2:T$30,2,FALSE)</f>
        <v>#N/A</v>
      </c>
      <c r="AA326" s="77" t="e">
        <f>VLOOKUP(L326,'Component List'!U$2:V$30,2,FALSE)</f>
        <v>#N/A</v>
      </c>
      <c r="AB326" s="77">
        <f>VLOOKUP(M326,'Component List'!AA$2:AB$30,2,FALSE)</f>
        <v>2</v>
      </c>
      <c r="AC326" s="77" t="str">
        <f>VLOOKUP(N326,'Component List'!Y$2:Z$30,2,FALSE)</f>
        <v>P</v>
      </c>
      <c r="AD326" s="159" t="e">
        <f>VLOOKUP(O326,'Component List'!W$3:X$30,2,FALSE)</f>
        <v>#N/A</v>
      </c>
    </row>
    <row r="327" spans="1:30" ht="30" customHeight="1" x14ac:dyDescent="0.3">
      <c r="A327" s="242"/>
      <c r="B327" s="101" t="s">
        <v>243</v>
      </c>
      <c r="C327" s="82" t="s">
        <v>237</v>
      </c>
      <c r="D327" s="80" t="s">
        <v>136</v>
      </c>
      <c r="E327" s="102" t="s">
        <v>239</v>
      </c>
      <c r="F327" s="82" t="s">
        <v>269</v>
      </c>
      <c r="G327" s="82" t="s">
        <v>55</v>
      </c>
      <c r="H327" s="82" t="s">
        <v>282</v>
      </c>
      <c r="I327" s="110" t="s">
        <v>198</v>
      </c>
      <c r="J327" s="110" t="s">
        <v>143</v>
      </c>
      <c r="K327" s="110" t="s">
        <v>371</v>
      </c>
      <c r="L327" s="110" t="s">
        <v>371</v>
      </c>
      <c r="M327" s="82">
        <v>2</v>
      </c>
      <c r="N327" s="82" t="s">
        <v>187</v>
      </c>
      <c r="O327" s="117" t="s">
        <v>367</v>
      </c>
      <c r="P327" s="123" t="e">
        <f t="shared" ref="P327:P396" si="4">Q327&amp;R327&amp;S327&amp;T327&amp;U327&amp;V327&amp;W327&amp;X327&amp;Y327&amp;Z327&amp;AA327&amp;AD327&amp;AC327&amp;AB327</f>
        <v>#N/A</v>
      </c>
      <c r="Q327" s="119" t="str">
        <f>VLOOKUP($B327,'Component List'!$A$2:$B$30,2,FALSE)</f>
        <v>MD7</v>
      </c>
      <c r="R327" s="77" t="str">
        <f>VLOOKUP($C327,'Component List'!C$2:D$28,2,FALSE)</f>
        <v>PLS</v>
      </c>
      <c r="S327" s="77" t="str">
        <f>VLOOKUP($D327,'Component List'!E$2:F$30,2,FALSE)</f>
        <v>D</v>
      </c>
      <c r="T327" s="77">
        <f>VLOOKUP($E327,'Component List'!G$2:H$30,2,FALSE)</f>
        <v>300</v>
      </c>
      <c r="U327" s="77">
        <f>VLOOKUP($F327,'Component List'!I$2:J$30,2,FALSE)</f>
        <v>111</v>
      </c>
      <c r="V327" s="77">
        <f>VLOOKUP(G327,'Component List'!K$2:L$30,2,FALSE)</f>
        <v>200</v>
      </c>
      <c r="W327" s="77">
        <f>VLOOKUP(H327,'Component List'!M$2:N$31,2,FALSE)</f>
        <v>401</v>
      </c>
      <c r="X327" s="77">
        <f>VLOOKUP(I327,'Component List'!O$2:P$30,2,FALSE)</f>
        <v>100</v>
      </c>
      <c r="Y327" s="77" t="str">
        <f>VLOOKUP(J327,'Component List'!Q$2:R$30,2,FALSE)</f>
        <v>000</v>
      </c>
      <c r="Z327" s="77" t="e">
        <f>VLOOKUP(K327,'Component List'!S$2:T$30,2,FALSE)</f>
        <v>#N/A</v>
      </c>
      <c r="AA327" s="77" t="e">
        <f>VLOOKUP(L327,'Component List'!U$2:V$30,2,FALSE)</f>
        <v>#N/A</v>
      </c>
      <c r="AB327" s="77">
        <f>VLOOKUP(M327,'Component List'!AA$2:AB$30,2,FALSE)</f>
        <v>2</v>
      </c>
      <c r="AC327" s="77" t="str">
        <f>VLOOKUP(N327,'Component List'!Y$2:Z$30,2,FALSE)</f>
        <v>C</v>
      </c>
      <c r="AD327" s="159" t="e">
        <f>VLOOKUP(O327,'Component List'!W$3:X$30,2,FALSE)</f>
        <v>#N/A</v>
      </c>
    </row>
    <row r="328" spans="1:30" ht="30" customHeight="1" x14ac:dyDescent="0.3">
      <c r="A328" s="242"/>
      <c r="B328" s="101" t="s">
        <v>243</v>
      </c>
      <c r="C328" s="82" t="s">
        <v>237</v>
      </c>
      <c r="D328" s="80" t="s">
        <v>136</v>
      </c>
      <c r="E328" s="102" t="s">
        <v>239</v>
      </c>
      <c r="F328" s="82" t="s">
        <v>269</v>
      </c>
      <c r="G328" s="82" t="s">
        <v>55</v>
      </c>
      <c r="H328" s="82" t="s">
        <v>282</v>
      </c>
      <c r="I328" s="110" t="s">
        <v>198</v>
      </c>
      <c r="J328" s="110" t="s">
        <v>143</v>
      </c>
      <c r="K328" s="110" t="s">
        <v>371</v>
      </c>
      <c r="L328" s="110" t="s">
        <v>371</v>
      </c>
      <c r="M328" s="82">
        <v>3</v>
      </c>
      <c r="N328" s="82" t="s">
        <v>175</v>
      </c>
      <c r="O328" s="117" t="s">
        <v>367</v>
      </c>
      <c r="P328" s="123" t="e">
        <f t="shared" si="4"/>
        <v>#N/A</v>
      </c>
      <c r="Q328" s="119" t="str">
        <f>VLOOKUP($B328,'Component List'!$A$2:$B$30,2,FALSE)</f>
        <v>MD7</v>
      </c>
      <c r="R328" s="77" t="str">
        <f>VLOOKUP($C328,'Component List'!C$2:D$28,2,FALSE)</f>
        <v>PLS</v>
      </c>
      <c r="S328" s="77" t="str">
        <f>VLOOKUP($D328,'Component List'!E$2:F$30,2,FALSE)</f>
        <v>D</v>
      </c>
      <c r="T328" s="77">
        <f>VLOOKUP($E328,'Component List'!G$2:H$30,2,FALSE)</f>
        <v>300</v>
      </c>
      <c r="U328" s="77">
        <f>VLOOKUP($F328,'Component List'!I$2:J$30,2,FALSE)</f>
        <v>111</v>
      </c>
      <c r="V328" s="77">
        <f>VLOOKUP(G328,'Component List'!K$2:L$30,2,FALSE)</f>
        <v>200</v>
      </c>
      <c r="W328" s="77">
        <f>VLOOKUP(H328,'Component List'!M$2:N$31,2,FALSE)</f>
        <v>401</v>
      </c>
      <c r="X328" s="77">
        <f>VLOOKUP(I328,'Component List'!O$2:P$30,2,FALSE)</f>
        <v>100</v>
      </c>
      <c r="Y328" s="77" t="str">
        <f>VLOOKUP(J328,'Component List'!Q$2:R$30,2,FALSE)</f>
        <v>000</v>
      </c>
      <c r="Z328" s="77" t="e">
        <f>VLOOKUP(K328,'Component List'!S$2:T$30,2,FALSE)</f>
        <v>#N/A</v>
      </c>
      <c r="AA328" s="77" t="e">
        <f>VLOOKUP(L328,'Component List'!U$2:V$30,2,FALSE)</f>
        <v>#N/A</v>
      </c>
      <c r="AB328" s="77">
        <f>VLOOKUP(M328,'Component List'!AA$2:AB$30,2,FALSE)</f>
        <v>3</v>
      </c>
      <c r="AC328" s="77" t="str">
        <f>VLOOKUP(N328,'Component List'!Y$2:Z$30,2,FALSE)</f>
        <v>P</v>
      </c>
      <c r="AD328" s="159" t="e">
        <f>VLOOKUP(O328,'Component List'!W$3:X$30,2,FALSE)</f>
        <v>#N/A</v>
      </c>
    </row>
    <row r="329" spans="1:30" ht="30" customHeight="1" x14ac:dyDescent="0.3">
      <c r="A329" s="242"/>
      <c r="B329" s="101" t="s">
        <v>243</v>
      </c>
      <c r="C329" s="82" t="s">
        <v>237</v>
      </c>
      <c r="D329" s="80" t="s">
        <v>136</v>
      </c>
      <c r="E329" s="102" t="s">
        <v>239</v>
      </c>
      <c r="F329" s="82" t="s">
        <v>269</v>
      </c>
      <c r="G329" s="82" t="s">
        <v>55</v>
      </c>
      <c r="H329" s="82" t="s">
        <v>282</v>
      </c>
      <c r="I329" s="110" t="s">
        <v>198</v>
      </c>
      <c r="J329" s="110" t="s">
        <v>143</v>
      </c>
      <c r="K329" s="110" t="s">
        <v>371</v>
      </c>
      <c r="L329" s="110" t="s">
        <v>371</v>
      </c>
      <c r="M329" s="82">
        <v>3</v>
      </c>
      <c r="N329" s="82" t="s">
        <v>187</v>
      </c>
      <c r="O329" s="117" t="s">
        <v>367</v>
      </c>
      <c r="P329" s="123" t="e">
        <f t="shared" si="4"/>
        <v>#N/A</v>
      </c>
      <c r="Q329" s="119" t="str">
        <f>VLOOKUP($B329,'Component List'!$A$2:$B$30,2,FALSE)</f>
        <v>MD7</v>
      </c>
      <c r="R329" s="77" t="str">
        <f>VLOOKUP($C329,'Component List'!C$2:D$28,2,FALSE)</f>
        <v>PLS</v>
      </c>
      <c r="S329" s="77" t="str">
        <f>VLOOKUP($D329,'Component List'!E$2:F$30,2,FALSE)</f>
        <v>D</v>
      </c>
      <c r="T329" s="77">
        <f>VLOOKUP($E329,'Component List'!G$2:H$30,2,FALSE)</f>
        <v>300</v>
      </c>
      <c r="U329" s="77">
        <f>VLOOKUP($F329,'Component List'!I$2:J$30,2,FALSE)</f>
        <v>111</v>
      </c>
      <c r="V329" s="77">
        <f>VLOOKUP(G329,'Component List'!K$2:L$30,2,FALSE)</f>
        <v>200</v>
      </c>
      <c r="W329" s="77">
        <f>VLOOKUP(H329,'Component List'!M$2:N$31,2,FALSE)</f>
        <v>401</v>
      </c>
      <c r="X329" s="77">
        <f>VLOOKUP(I329,'Component List'!O$2:P$30,2,FALSE)</f>
        <v>100</v>
      </c>
      <c r="Y329" s="77" t="str">
        <f>VLOOKUP(J329,'Component List'!Q$2:R$30,2,FALSE)</f>
        <v>000</v>
      </c>
      <c r="Z329" s="77" t="e">
        <f>VLOOKUP(K329,'Component List'!S$2:T$30,2,FALSE)</f>
        <v>#N/A</v>
      </c>
      <c r="AA329" s="77" t="e">
        <f>VLOOKUP(L329,'Component List'!U$2:V$30,2,FALSE)</f>
        <v>#N/A</v>
      </c>
      <c r="AB329" s="77">
        <f>VLOOKUP(M329,'Component List'!AA$2:AB$30,2,FALSE)</f>
        <v>3</v>
      </c>
      <c r="AC329" s="77" t="str">
        <f>VLOOKUP(N329,'Component List'!Y$2:Z$30,2,FALSE)</f>
        <v>C</v>
      </c>
      <c r="AD329" s="159" t="e">
        <f>VLOOKUP(O329,'Component List'!W$3:X$30,2,FALSE)</f>
        <v>#N/A</v>
      </c>
    </row>
    <row r="330" spans="1:30" ht="30" customHeight="1" x14ac:dyDescent="0.3">
      <c r="A330" s="242"/>
      <c r="B330" s="101" t="s">
        <v>243</v>
      </c>
      <c r="C330" s="82" t="s">
        <v>237</v>
      </c>
      <c r="D330" s="80" t="s">
        <v>136</v>
      </c>
      <c r="E330" s="102" t="s">
        <v>239</v>
      </c>
      <c r="F330" s="82" t="s">
        <v>269</v>
      </c>
      <c r="G330" s="82" t="s">
        <v>55</v>
      </c>
      <c r="H330" s="82" t="s">
        <v>278</v>
      </c>
      <c r="I330" s="110" t="s">
        <v>198</v>
      </c>
      <c r="J330" s="110" t="s">
        <v>143</v>
      </c>
      <c r="K330" s="110" t="s">
        <v>371</v>
      </c>
      <c r="L330" s="110" t="s">
        <v>371</v>
      </c>
      <c r="M330" s="82">
        <v>1</v>
      </c>
      <c r="N330" s="82" t="s">
        <v>175</v>
      </c>
      <c r="O330" s="117" t="s">
        <v>367</v>
      </c>
      <c r="P330" s="123" t="e">
        <f t="shared" si="4"/>
        <v>#N/A</v>
      </c>
      <c r="Q330" s="119" t="str">
        <f>VLOOKUP($B330,'Component List'!$A$2:$B$30,2,FALSE)</f>
        <v>MD7</v>
      </c>
      <c r="R330" s="77" t="str">
        <f>VLOOKUP($C330,'Component List'!C$2:D$28,2,FALSE)</f>
        <v>PLS</v>
      </c>
      <c r="S330" s="77" t="str">
        <f>VLOOKUP($D330,'Component List'!E$2:F$30,2,FALSE)</f>
        <v>D</v>
      </c>
      <c r="T330" s="77">
        <f>VLOOKUP($E330,'Component List'!G$2:H$30,2,FALSE)</f>
        <v>300</v>
      </c>
      <c r="U330" s="77">
        <f>VLOOKUP($F330,'Component List'!I$2:J$30,2,FALSE)</f>
        <v>111</v>
      </c>
      <c r="V330" s="77">
        <f>VLOOKUP(G330,'Component List'!K$2:L$30,2,FALSE)</f>
        <v>200</v>
      </c>
      <c r="W330" s="77">
        <f>VLOOKUP(H330,'Component List'!M$2:N$31,2,FALSE)</f>
        <v>400</v>
      </c>
      <c r="X330" s="77">
        <f>VLOOKUP(I330,'Component List'!O$2:P$30,2,FALSE)</f>
        <v>100</v>
      </c>
      <c r="Y330" s="77" t="str">
        <f>VLOOKUP(J330,'Component List'!Q$2:R$30,2,FALSE)</f>
        <v>000</v>
      </c>
      <c r="Z330" s="77" t="e">
        <f>VLOOKUP(K330,'Component List'!S$2:T$30,2,FALSE)</f>
        <v>#N/A</v>
      </c>
      <c r="AA330" s="77" t="e">
        <f>VLOOKUP(L330,'Component List'!U$2:V$30,2,FALSE)</f>
        <v>#N/A</v>
      </c>
      <c r="AB330" s="77">
        <f>VLOOKUP(M330,'Component List'!AA$2:AB$30,2,FALSE)</f>
        <v>1</v>
      </c>
      <c r="AC330" s="77" t="str">
        <f>VLOOKUP(N330,'Component List'!Y$2:Z$30,2,FALSE)</f>
        <v>P</v>
      </c>
      <c r="AD330" s="159" t="e">
        <f>VLOOKUP(O330,'Component List'!W$3:X$30,2,FALSE)</f>
        <v>#N/A</v>
      </c>
    </row>
    <row r="331" spans="1:30" ht="30" customHeight="1" x14ac:dyDescent="0.3">
      <c r="A331" s="242"/>
      <c r="B331" s="101" t="s">
        <v>243</v>
      </c>
      <c r="C331" s="82" t="s">
        <v>237</v>
      </c>
      <c r="D331" s="80" t="s">
        <v>136</v>
      </c>
      <c r="E331" s="102" t="s">
        <v>239</v>
      </c>
      <c r="F331" s="82" t="s">
        <v>269</v>
      </c>
      <c r="G331" s="82" t="s">
        <v>55</v>
      </c>
      <c r="H331" s="82" t="s">
        <v>278</v>
      </c>
      <c r="I331" s="110" t="s">
        <v>198</v>
      </c>
      <c r="J331" s="110" t="s">
        <v>143</v>
      </c>
      <c r="K331" s="110" t="s">
        <v>371</v>
      </c>
      <c r="L331" s="110" t="s">
        <v>371</v>
      </c>
      <c r="M331" s="82">
        <v>1</v>
      </c>
      <c r="N331" s="82" t="s">
        <v>187</v>
      </c>
      <c r="O331" s="117" t="s">
        <v>367</v>
      </c>
      <c r="P331" s="123" t="e">
        <f t="shared" si="4"/>
        <v>#N/A</v>
      </c>
      <c r="Q331" s="119" t="str">
        <f>VLOOKUP($B331,'Component List'!$A$2:$B$30,2,FALSE)</f>
        <v>MD7</v>
      </c>
      <c r="R331" s="77" t="str">
        <f>VLOOKUP($C331,'Component List'!C$2:D$28,2,FALSE)</f>
        <v>PLS</v>
      </c>
      <c r="S331" s="77" t="str">
        <f>VLOOKUP($D331,'Component List'!E$2:F$30,2,FALSE)</f>
        <v>D</v>
      </c>
      <c r="T331" s="77">
        <f>VLOOKUP($E331,'Component List'!G$2:H$30,2,FALSE)</f>
        <v>300</v>
      </c>
      <c r="U331" s="77">
        <f>VLOOKUP($F331,'Component List'!I$2:J$30,2,FALSE)</f>
        <v>111</v>
      </c>
      <c r="V331" s="77">
        <f>VLOOKUP(G331,'Component List'!K$2:L$30,2,FALSE)</f>
        <v>200</v>
      </c>
      <c r="W331" s="77">
        <f>VLOOKUP(H331,'Component List'!M$2:N$31,2,FALSE)</f>
        <v>400</v>
      </c>
      <c r="X331" s="77">
        <f>VLOOKUP(I331,'Component List'!O$2:P$30,2,FALSE)</f>
        <v>100</v>
      </c>
      <c r="Y331" s="77" t="str">
        <f>VLOOKUP(J331,'Component List'!Q$2:R$30,2,FALSE)</f>
        <v>000</v>
      </c>
      <c r="Z331" s="77" t="e">
        <f>VLOOKUP(K331,'Component List'!S$2:T$30,2,FALSE)</f>
        <v>#N/A</v>
      </c>
      <c r="AA331" s="77" t="e">
        <f>VLOOKUP(L331,'Component List'!U$2:V$30,2,FALSE)</f>
        <v>#N/A</v>
      </c>
      <c r="AB331" s="77">
        <f>VLOOKUP(M331,'Component List'!AA$2:AB$30,2,FALSE)</f>
        <v>1</v>
      </c>
      <c r="AC331" s="77" t="str">
        <f>VLOOKUP(N331,'Component List'!Y$2:Z$30,2,FALSE)</f>
        <v>C</v>
      </c>
      <c r="AD331" s="159" t="e">
        <f>VLOOKUP(O331,'Component List'!W$3:X$30,2,FALSE)</f>
        <v>#N/A</v>
      </c>
    </row>
    <row r="332" spans="1:30" ht="30" customHeight="1" x14ac:dyDescent="0.3">
      <c r="A332" s="242"/>
      <c r="B332" s="101" t="s">
        <v>243</v>
      </c>
      <c r="C332" s="82" t="s">
        <v>237</v>
      </c>
      <c r="D332" s="80" t="s">
        <v>136</v>
      </c>
      <c r="E332" s="102" t="s">
        <v>239</v>
      </c>
      <c r="F332" s="82" t="s">
        <v>269</v>
      </c>
      <c r="G332" s="82" t="s">
        <v>55</v>
      </c>
      <c r="H332" s="82" t="s">
        <v>278</v>
      </c>
      <c r="I332" s="110" t="s">
        <v>198</v>
      </c>
      <c r="J332" s="110" t="s">
        <v>143</v>
      </c>
      <c r="K332" s="110" t="s">
        <v>371</v>
      </c>
      <c r="L332" s="110" t="s">
        <v>371</v>
      </c>
      <c r="M332" s="82">
        <v>2</v>
      </c>
      <c r="N332" s="82" t="s">
        <v>175</v>
      </c>
      <c r="O332" s="117" t="s">
        <v>367</v>
      </c>
      <c r="P332" s="123" t="e">
        <f t="shared" si="4"/>
        <v>#N/A</v>
      </c>
      <c r="Q332" s="119" t="str">
        <f>VLOOKUP($B332,'Component List'!$A$2:$B$30,2,FALSE)</f>
        <v>MD7</v>
      </c>
      <c r="R332" s="77" t="str">
        <f>VLOOKUP($C332,'Component List'!C$2:D$28,2,FALSE)</f>
        <v>PLS</v>
      </c>
      <c r="S332" s="77" t="str">
        <f>VLOOKUP($D332,'Component List'!E$2:F$30,2,FALSE)</f>
        <v>D</v>
      </c>
      <c r="T332" s="77">
        <f>VLOOKUP($E332,'Component List'!G$2:H$30,2,FALSE)</f>
        <v>300</v>
      </c>
      <c r="U332" s="77">
        <f>VLOOKUP($F332,'Component List'!I$2:J$30,2,FALSE)</f>
        <v>111</v>
      </c>
      <c r="V332" s="77">
        <f>VLOOKUP(G332,'Component List'!K$2:L$30,2,FALSE)</f>
        <v>200</v>
      </c>
      <c r="W332" s="77">
        <f>VLOOKUP(H332,'Component List'!M$2:N$31,2,FALSE)</f>
        <v>400</v>
      </c>
      <c r="X332" s="77">
        <f>VLOOKUP(I332,'Component List'!O$2:P$30,2,FALSE)</f>
        <v>100</v>
      </c>
      <c r="Y332" s="77" t="str">
        <f>VLOOKUP(J332,'Component List'!Q$2:R$30,2,FALSE)</f>
        <v>000</v>
      </c>
      <c r="Z332" s="77" t="e">
        <f>VLOOKUP(K332,'Component List'!S$2:T$30,2,FALSE)</f>
        <v>#N/A</v>
      </c>
      <c r="AA332" s="77" t="e">
        <f>VLOOKUP(L332,'Component List'!U$2:V$30,2,FALSE)</f>
        <v>#N/A</v>
      </c>
      <c r="AB332" s="77">
        <f>VLOOKUP(M332,'Component List'!AA$2:AB$30,2,FALSE)</f>
        <v>2</v>
      </c>
      <c r="AC332" s="77" t="str">
        <f>VLOOKUP(N332,'Component List'!Y$2:Z$30,2,FALSE)</f>
        <v>P</v>
      </c>
      <c r="AD332" s="159" t="e">
        <f>VLOOKUP(O332,'Component List'!W$3:X$30,2,FALSE)</f>
        <v>#N/A</v>
      </c>
    </row>
    <row r="333" spans="1:30" ht="30" customHeight="1" x14ac:dyDescent="0.3">
      <c r="A333" s="242"/>
      <c r="B333" s="101" t="s">
        <v>243</v>
      </c>
      <c r="C333" s="82" t="s">
        <v>237</v>
      </c>
      <c r="D333" s="80" t="s">
        <v>136</v>
      </c>
      <c r="E333" s="102" t="s">
        <v>239</v>
      </c>
      <c r="F333" s="82" t="s">
        <v>269</v>
      </c>
      <c r="G333" s="82" t="s">
        <v>55</v>
      </c>
      <c r="H333" s="82" t="s">
        <v>278</v>
      </c>
      <c r="I333" s="110" t="s">
        <v>198</v>
      </c>
      <c r="J333" s="110" t="s">
        <v>143</v>
      </c>
      <c r="K333" s="110" t="s">
        <v>371</v>
      </c>
      <c r="L333" s="110" t="s">
        <v>371</v>
      </c>
      <c r="M333" s="82">
        <v>2</v>
      </c>
      <c r="N333" s="82" t="s">
        <v>187</v>
      </c>
      <c r="O333" s="117" t="s">
        <v>367</v>
      </c>
      <c r="P333" s="123" t="e">
        <f t="shared" si="4"/>
        <v>#N/A</v>
      </c>
      <c r="Q333" s="119" t="str">
        <f>VLOOKUP($B333,'Component List'!$A$2:$B$30,2,FALSE)</f>
        <v>MD7</v>
      </c>
      <c r="R333" s="77" t="str">
        <f>VLOOKUP($C333,'Component List'!C$2:D$28,2,FALSE)</f>
        <v>PLS</v>
      </c>
      <c r="S333" s="77" t="str">
        <f>VLOOKUP($D333,'Component List'!E$2:F$30,2,FALSE)</f>
        <v>D</v>
      </c>
      <c r="T333" s="77">
        <f>VLOOKUP($E333,'Component List'!G$2:H$30,2,FALSE)</f>
        <v>300</v>
      </c>
      <c r="U333" s="77">
        <f>VLOOKUP($F333,'Component List'!I$2:J$30,2,FALSE)</f>
        <v>111</v>
      </c>
      <c r="V333" s="77">
        <f>VLOOKUP(G333,'Component List'!K$2:L$30,2,FALSE)</f>
        <v>200</v>
      </c>
      <c r="W333" s="77">
        <f>VLOOKUP(H333,'Component List'!M$2:N$31,2,FALSE)</f>
        <v>400</v>
      </c>
      <c r="X333" s="77">
        <f>VLOOKUP(I333,'Component List'!O$2:P$30,2,FALSE)</f>
        <v>100</v>
      </c>
      <c r="Y333" s="77" t="str">
        <f>VLOOKUP(J333,'Component List'!Q$2:R$30,2,FALSE)</f>
        <v>000</v>
      </c>
      <c r="Z333" s="77" t="e">
        <f>VLOOKUP(K333,'Component List'!S$2:T$30,2,FALSE)</f>
        <v>#N/A</v>
      </c>
      <c r="AA333" s="77" t="e">
        <f>VLOOKUP(L333,'Component List'!U$2:V$30,2,FALSE)</f>
        <v>#N/A</v>
      </c>
      <c r="AB333" s="77">
        <f>VLOOKUP(M333,'Component List'!AA$2:AB$30,2,FALSE)</f>
        <v>2</v>
      </c>
      <c r="AC333" s="77" t="str">
        <f>VLOOKUP(N333,'Component List'!Y$2:Z$30,2,FALSE)</f>
        <v>C</v>
      </c>
      <c r="AD333" s="159" t="e">
        <f>VLOOKUP(O333,'Component List'!W$3:X$30,2,FALSE)</f>
        <v>#N/A</v>
      </c>
    </row>
    <row r="334" spans="1:30" ht="30" customHeight="1" x14ac:dyDescent="0.3">
      <c r="A334" s="242"/>
      <c r="B334" s="101" t="s">
        <v>243</v>
      </c>
      <c r="C334" s="82" t="s">
        <v>237</v>
      </c>
      <c r="D334" s="80" t="s">
        <v>136</v>
      </c>
      <c r="E334" s="102" t="s">
        <v>239</v>
      </c>
      <c r="F334" s="82" t="s">
        <v>269</v>
      </c>
      <c r="G334" s="82" t="s">
        <v>55</v>
      </c>
      <c r="H334" s="82" t="s">
        <v>278</v>
      </c>
      <c r="I334" s="110" t="s">
        <v>198</v>
      </c>
      <c r="J334" s="110" t="s">
        <v>143</v>
      </c>
      <c r="K334" s="110" t="s">
        <v>371</v>
      </c>
      <c r="L334" s="110" t="s">
        <v>371</v>
      </c>
      <c r="M334" s="82">
        <v>3</v>
      </c>
      <c r="N334" s="82" t="s">
        <v>175</v>
      </c>
      <c r="O334" s="117" t="s">
        <v>367</v>
      </c>
      <c r="P334" s="123" t="e">
        <f t="shared" si="4"/>
        <v>#N/A</v>
      </c>
      <c r="Q334" s="119" t="str">
        <f>VLOOKUP($B334,'Component List'!$A$2:$B$30,2,FALSE)</f>
        <v>MD7</v>
      </c>
      <c r="R334" s="77" t="str">
        <f>VLOOKUP($C334,'Component List'!C$2:D$28,2,FALSE)</f>
        <v>PLS</v>
      </c>
      <c r="S334" s="77" t="str">
        <f>VLOOKUP($D334,'Component List'!E$2:F$30,2,FALSE)</f>
        <v>D</v>
      </c>
      <c r="T334" s="77">
        <f>VLOOKUP($E334,'Component List'!G$2:H$30,2,FALSE)</f>
        <v>300</v>
      </c>
      <c r="U334" s="77">
        <f>VLOOKUP($F334,'Component List'!I$2:J$30,2,FALSE)</f>
        <v>111</v>
      </c>
      <c r="V334" s="77">
        <f>VLOOKUP(G334,'Component List'!K$2:L$30,2,FALSE)</f>
        <v>200</v>
      </c>
      <c r="W334" s="77">
        <f>VLOOKUP(H334,'Component List'!M$2:N$31,2,FALSE)</f>
        <v>400</v>
      </c>
      <c r="X334" s="77">
        <f>VLOOKUP(I334,'Component List'!O$2:P$30,2,FALSE)</f>
        <v>100</v>
      </c>
      <c r="Y334" s="77" t="str">
        <f>VLOOKUP(J334,'Component List'!Q$2:R$30,2,FALSE)</f>
        <v>000</v>
      </c>
      <c r="Z334" s="77" t="e">
        <f>VLOOKUP(K334,'Component List'!S$2:T$30,2,FALSE)</f>
        <v>#N/A</v>
      </c>
      <c r="AA334" s="77" t="e">
        <f>VLOOKUP(L334,'Component List'!U$2:V$30,2,FALSE)</f>
        <v>#N/A</v>
      </c>
      <c r="AB334" s="77">
        <f>VLOOKUP(M334,'Component List'!AA$2:AB$30,2,FALSE)</f>
        <v>3</v>
      </c>
      <c r="AC334" s="77" t="str">
        <f>VLOOKUP(N334,'Component List'!Y$2:Z$30,2,FALSE)</f>
        <v>P</v>
      </c>
      <c r="AD334" s="159" t="e">
        <f>VLOOKUP(O334,'Component List'!W$3:X$30,2,FALSE)</f>
        <v>#N/A</v>
      </c>
    </row>
    <row r="335" spans="1:30" ht="30" customHeight="1" thickBot="1" x14ac:dyDescent="0.35">
      <c r="A335" s="243"/>
      <c r="B335" s="129" t="s">
        <v>243</v>
      </c>
      <c r="C335" s="94" t="s">
        <v>237</v>
      </c>
      <c r="D335" s="94" t="s">
        <v>136</v>
      </c>
      <c r="E335" s="95" t="s">
        <v>239</v>
      </c>
      <c r="F335" s="94" t="s">
        <v>269</v>
      </c>
      <c r="G335" s="94" t="s">
        <v>55</v>
      </c>
      <c r="H335" s="94" t="s">
        <v>278</v>
      </c>
      <c r="I335" s="105" t="s">
        <v>198</v>
      </c>
      <c r="J335" s="105" t="s">
        <v>143</v>
      </c>
      <c r="K335" s="105" t="s">
        <v>371</v>
      </c>
      <c r="L335" s="105" t="s">
        <v>371</v>
      </c>
      <c r="M335" s="94">
        <v>3</v>
      </c>
      <c r="N335" s="94" t="s">
        <v>187</v>
      </c>
      <c r="O335" s="128" t="s">
        <v>367</v>
      </c>
      <c r="P335" s="124" t="e">
        <f t="shared" si="4"/>
        <v>#N/A</v>
      </c>
      <c r="Q335" s="119" t="str">
        <f>VLOOKUP($B335,'Component List'!$A$2:$B$30,2,FALSE)</f>
        <v>MD7</v>
      </c>
      <c r="R335" s="77" t="str">
        <f>VLOOKUP($C335,'Component List'!C$2:D$28,2,FALSE)</f>
        <v>PLS</v>
      </c>
      <c r="S335" s="77" t="str">
        <f>VLOOKUP($D335,'Component List'!E$2:F$30,2,FALSE)</f>
        <v>D</v>
      </c>
      <c r="T335" s="77">
        <f>VLOOKUP($E335,'Component List'!G$2:H$30,2,FALSE)</f>
        <v>300</v>
      </c>
      <c r="U335" s="77">
        <f>VLOOKUP($F335,'Component List'!I$2:J$30,2,FALSE)</f>
        <v>111</v>
      </c>
      <c r="V335" s="77">
        <f>VLOOKUP(G335,'Component List'!K$2:L$30,2,FALSE)</f>
        <v>200</v>
      </c>
      <c r="W335" s="77">
        <f>VLOOKUP(H335,'Component List'!M$2:N$31,2,FALSE)</f>
        <v>400</v>
      </c>
      <c r="X335" s="77">
        <f>VLOOKUP(I335,'Component List'!O$2:P$30,2,FALSE)</f>
        <v>100</v>
      </c>
      <c r="Y335" s="77" t="str">
        <f>VLOOKUP(J335,'Component List'!Q$2:R$30,2,FALSE)</f>
        <v>000</v>
      </c>
      <c r="Z335" s="77" t="e">
        <f>VLOOKUP(K335,'Component List'!S$2:T$30,2,FALSE)</f>
        <v>#N/A</v>
      </c>
      <c r="AA335" s="77" t="e">
        <f>VLOOKUP(L335,'Component List'!U$2:V$30,2,FALSE)</f>
        <v>#N/A</v>
      </c>
      <c r="AB335" s="77">
        <f>VLOOKUP(M335,'Component List'!AA$2:AB$30,2,FALSE)</f>
        <v>3</v>
      </c>
      <c r="AC335" s="77" t="str">
        <f>VLOOKUP(N335,'Component List'!Y$2:Z$30,2,FALSE)</f>
        <v>C</v>
      </c>
      <c r="AD335" s="159" t="e">
        <f>VLOOKUP(O335,'Component List'!W$3:X$30,2,FALSE)</f>
        <v>#N/A</v>
      </c>
    </row>
    <row r="336" spans="1:30" ht="30" customHeight="1" x14ac:dyDescent="0.3">
      <c r="A336" s="238" t="s">
        <v>250</v>
      </c>
      <c r="B336" s="171" t="s">
        <v>250</v>
      </c>
      <c r="C336" s="88" t="s">
        <v>244</v>
      </c>
      <c r="D336" s="89" t="s">
        <v>136</v>
      </c>
      <c r="E336" s="125" t="s">
        <v>206</v>
      </c>
      <c r="F336" s="88" t="s">
        <v>42</v>
      </c>
      <c r="G336" s="88" t="s">
        <v>172</v>
      </c>
      <c r="H336" s="88" t="s">
        <v>233</v>
      </c>
      <c r="I336" s="88" t="s">
        <v>185</v>
      </c>
      <c r="J336" s="88" t="s">
        <v>186</v>
      </c>
      <c r="K336" s="121" t="s">
        <v>371</v>
      </c>
      <c r="L336" s="121" t="s">
        <v>371</v>
      </c>
      <c r="M336" s="88">
        <v>1</v>
      </c>
      <c r="N336" s="88" t="s">
        <v>175</v>
      </c>
      <c r="O336" s="130" t="s">
        <v>367</v>
      </c>
      <c r="P336" s="122" t="e">
        <f t="shared" si="4"/>
        <v>#N/A</v>
      </c>
      <c r="Q336" s="119" t="str">
        <f>VLOOKUP($B336,'Component List'!$A$2:$B$30,2,FALSE)</f>
        <v>MD9</v>
      </c>
      <c r="R336" s="77" t="str">
        <f>VLOOKUP($C336,'Component List'!C$2:D$28,2,FALSE)</f>
        <v>LE0</v>
      </c>
      <c r="S336" s="77" t="str">
        <f>VLOOKUP($D336,'Component List'!E$2:F$30,2,FALSE)</f>
        <v>D</v>
      </c>
      <c r="T336" s="77">
        <f>VLOOKUP($E336,'Component List'!G$2:H$30,2,FALSE)</f>
        <v>200</v>
      </c>
      <c r="U336" s="77">
        <f>VLOOKUP($F336,'Component List'!I$2:J$30,2,FALSE)</f>
        <v>200</v>
      </c>
      <c r="V336" s="77">
        <f>VLOOKUP(G336,'Component List'!K$2:L$30,2,FALSE)</f>
        <v>100</v>
      </c>
      <c r="W336" s="77">
        <f>VLOOKUP(H336,'Component List'!M$2:N$31,2,FALSE)</f>
        <v>200</v>
      </c>
      <c r="X336" s="77">
        <f>VLOOKUP(I336,'Component List'!O$2:P$30,2,FALSE)</f>
        <v>200</v>
      </c>
      <c r="Y336" s="77">
        <f>VLOOKUP(J336,'Component List'!Q$2:R$30,2,FALSE)</f>
        <v>200</v>
      </c>
      <c r="Z336" s="77" t="e">
        <f>VLOOKUP(K336,'Component List'!S$2:T$30,2,FALSE)</f>
        <v>#N/A</v>
      </c>
      <c r="AA336" s="77" t="e">
        <f>VLOOKUP(L336,'Component List'!U$2:V$30,2,FALSE)</f>
        <v>#N/A</v>
      </c>
      <c r="AB336" s="77">
        <f>VLOOKUP(M336,'Component List'!AA$2:AB$30,2,FALSE)</f>
        <v>1</v>
      </c>
      <c r="AC336" s="77" t="str">
        <f>VLOOKUP(N336,'Component List'!Y$2:Z$30,2,FALSE)</f>
        <v>P</v>
      </c>
      <c r="AD336" s="159" t="e">
        <f>VLOOKUP(O336,'Component List'!W$3:X$30,2,FALSE)</f>
        <v>#N/A</v>
      </c>
    </row>
    <row r="337" spans="1:30" ht="30" customHeight="1" x14ac:dyDescent="0.3">
      <c r="A337" s="239"/>
      <c r="B337" s="101" t="s">
        <v>250</v>
      </c>
      <c r="C337" s="100" t="s">
        <v>244</v>
      </c>
      <c r="D337" s="80" t="s">
        <v>136</v>
      </c>
      <c r="E337" s="111" t="s">
        <v>206</v>
      </c>
      <c r="F337" s="100" t="s">
        <v>42</v>
      </c>
      <c r="G337" s="100" t="s">
        <v>172</v>
      </c>
      <c r="H337" s="100" t="s">
        <v>233</v>
      </c>
      <c r="I337" s="100" t="s">
        <v>185</v>
      </c>
      <c r="J337" s="100" t="s">
        <v>186</v>
      </c>
      <c r="K337" s="110" t="s">
        <v>371</v>
      </c>
      <c r="L337" s="110" t="s">
        <v>371</v>
      </c>
      <c r="M337" s="82">
        <v>1</v>
      </c>
      <c r="N337" s="82" t="s">
        <v>187</v>
      </c>
      <c r="O337" s="117" t="s">
        <v>367</v>
      </c>
      <c r="P337" s="123" t="e">
        <f t="shared" si="4"/>
        <v>#N/A</v>
      </c>
      <c r="Q337" s="119" t="str">
        <f>VLOOKUP($B337,'Component List'!$A$2:$B$30,2,FALSE)</f>
        <v>MD9</v>
      </c>
      <c r="R337" s="77" t="str">
        <f>VLOOKUP($C337,'Component List'!C$2:D$28,2,FALSE)</f>
        <v>LE0</v>
      </c>
      <c r="S337" s="77" t="str">
        <f>VLOOKUP($D337,'Component List'!E$2:F$30,2,FALSE)</f>
        <v>D</v>
      </c>
      <c r="T337" s="77">
        <f>VLOOKUP($E337,'Component List'!G$2:H$30,2,FALSE)</f>
        <v>200</v>
      </c>
      <c r="U337" s="77">
        <f>VLOOKUP($F337,'Component List'!I$2:J$30,2,FALSE)</f>
        <v>200</v>
      </c>
      <c r="V337" s="77">
        <f>VLOOKUP(G337,'Component List'!K$2:L$30,2,FALSE)</f>
        <v>100</v>
      </c>
      <c r="W337" s="77">
        <f>VLOOKUP(H342,'Component List'!M$2:N$31,2,FALSE)</f>
        <v>201</v>
      </c>
      <c r="X337" s="77">
        <f>VLOOKUP(I337,'Component List'!O$2:P$30,2,FALSE)</f>
        <v>200</v>
      </c>
      <c r="Y337" s="77">
        <f>VLOOKUP(J337,'Component List'!Q$2:R$30,2,FALSE)</f>
        <v>200</v>
      </c>
      <c r="Z337" s="77" t="e">
        <f>VLOOKUP(K337,'Component List'!S$2:T$30,2,FALSE)</f>
        <v>#N/A</v>
      </c>
      <c r="AA337" s="77" t="e">
        <f>VLOOKUP(L337,'Component List'!U$2:V$30,2,FALSE)</f>
        <v>#N/A</v>
      </c>
      <c r="AB337" s="77">
        <f>VLOOKUP(M337,'Component List'!AA$2:AB$30,2,FALSE)</f>
        <v>1</v>
      </c>
      <c r="AC337" s="77" t="str">
        <f>VLOOKUP(N337,'Component List'!Y$2:Z$30,2,FALSE)</f>
        <v>C</v>
      </c>
      <c r="AD337" s="159" t="e">
        <f>VLOOKUP(O337,'Component List'!W$3:X$30,2,FALSE)</f>
        <v>#N/A</v>
      </c>
    </row>
    <row r="338" spans="1:30" ht="30" customHeight="1" x14ac:dyDescent="0.3">
      <c r="A338" s="239"/>
      <c r="B338" s="101" t="s">
        <v>250</v>
      </c>
      <c r="C338" s="100" t="s">
        <v>244</v>
      </c>
      <c r="D338" s="80" t="s">
        <v>136</v>
      </c>
      <c r="E338" s="111" t="s">
        <v>206</v>
      </c>
      <c r="F338" s="100" t="s">
        <v>42</v>
      </c>
      <c r="G338" s="100" t="s">
        <v>172</v>
      </c>
      <c r="H338" s="100" t="s">
        <v>233</v>
      </c>
      <c r="I338" s="100" t="s">
        <v>185</v>
      </c>
      <c r="J338" s="100" t="s">
        <v>186</v>
      </c>
      <c r="K338" s="110" t="s">
        <v>371</v>
      </c>
      <c r="L338" s="110" t="s">
        <v>371</v>
      </c>
      <c r="M338" s="82">
        <v>2</v>
      </c>
      <c r="N338" s="82" t="s">
        <v>175</v>
      </c>
      <c r="O338" s="117" t="s">
        <v>367</v>
      </c>
      <c r="P338" s="123" t="e">
        <f t="shared" si="4"/>
        <v>#N/A</v>
      </c>
      <c r="Q338" s="119" t="str">
        <f>VLOOKUP($B338,'Component List'!$A$2:$B$30,2,FALSE)</f>
        <v>MD9</v>
      </c>
      <c r="R338" s="77" t="str">
        <f>VLOOKUP($C338,'Component List'!C$2:D$28,2,FALSE)</f>
        <v>LE0</v>
      </c>
      <c r="S338" s="77" t="str">
        <f>VLOOKUP($D338,'Component List'!E$2:F$30,2,FALSE)</f>
        <v>D</v>
      </c>
      <c r="T338" s="77">
        <f>VLOOKUP($E338,'Component List'!G$2:H$30,2,FALSE)</f>
        <v>200</v>
      </c>
      <c r="U338" s="77">
        <f>VLOOKUP($F338,'Component List'!I$2:J$30,2,FALSE)</f>
        <v>200</v>
      </c>
      <c r="V338" s="77">
        <f>VLOOKUP(G338,'Component List'!K$2:L$30,2,FALSE)</f>
        <v>100</v>
      </c>
      <c r="W338" s="77">
        <f>VLOOKUP(H348,'Component List'!M$2:N$31,2,FALSE)</f>
        <v>202</v>
      </c>
      <c r="X338" s="77">
        <f>VLOOKUP(I338,'Component List'!O$2:P$30,2,FALSE)</f>
        <v>200</v>
      </c>
      <c r="Y338" s="77">
        <f>VLOOKUP(J338,'Component List'!Q$2:R$30,2,FALSE)</f>
        <v>200</v>
      </c>
      <c r="Z338" s="77" t="e">
        <f>VLOOKUP(K338,'Component List'!S$2:T$30,2,FALSE)</f>
        <v>#N/A</v>
      </c>
      <c r="AA338" s="77" t="e">
        <f>VLOOKUP(L338,'Component List'!U$2:V$30,2,FALSE)</f>
        <v>#N/A</v>
      </c>
      <c r="AB338" s="77">
        <f>VLOOKUP(M338,'Component List'!AA$2:AB$30,2,FALSE)</f>
        <v>2</v>
      </c>
      <c r="AC338" s="77" t="str">
        <f>VLOOKUP(N338,'Component List'!Y$2:Z$30,2,FALSE)</f>
        <v>P</v>
      </c>
      <c r="AD338" s="159" t="e">
        <f>VLOOKUP(O338,'Component List'!W$3:X$30,2,FALSE)</f>
        <v>#N/A</v>
      </c>
    </row>
    <row r="339" spans="1:30" ht="30" customHeight="1" x14ac:dyDescent="0.3">
      <c r="A339" s="239"/>
      <c r="B339" s="101" t="s">
        <v>250</v>
      </c>
      <c r="C339" s="100" t="s">
        <v>244</v>
      </c>
      <c r="D339" s="80" t="s">
        <v>136</v>
      </c>
      <c r="E339" s="111" t="s">
        <v>206</v>
      </c>
      <c r="F339" s="100" t="s">
        <v>42</v>
      </c>
      <c r="G339" s="100" t="s">
        <v>172</v>
      </c>
      <c r="H339" s="100" t="s">
        <v>233</v>
      </c>
      <c r="I339" s="100" t="s">
        <v>185</v>
      </c>
      <c r="J339" s="100" t="s">
        <v>186</v>
      </c>
      <c r="K339" s="110" t="s">
        <v>371</v>
      </c>
      <c r="L339" s="110" t="s">
        <v>371</v>
      </c>
      <c r="M339" s="82">
        <v>2</v>
      </c>
      <c r="N339" s="82" t="s">
        <v>187</v>
      </c>
      <c r="O339" s="117" t="s">
        <v>367</v>
      </c>
      <c r="P339" s="123" t="e">
        <f t="shared" si="4"/>
        <v>#N/A</v>
      </c>
      <c r="Q339" s="119" t="str">
        <f>VLOOKUP($B339,'Component List'!$A$2:$B$30,2,FALSE)</f>
        <v>MD9</v>
      </c>
      <c r="R339" s="77" t="str">
        <f>VLOOKUP($C339,'Component List'!C$2:D$28,2,FALSE)</f>
        <v>LE0</v>
      </c>
      <c r="S339" s="77" t="str">
        <f>VLOOKUP($D339,'Component List'!E$2:F$30,2,FALSE)</f>
        <v>D</v>
      </c>
      <c r="T339" s="77">
        <f>VLOOKUP($E339,'Component List'!G$2:H$30,2,FALSE)</f>
        <v>200</v>
      </c>
      <c r="U339" s="77">
        <f>VLOOKUP($F339,'Component List'!I$2:J$30,2,FALSE)</f>
        <v>200</v>
      </c>
      <c r="V339" s="77">
        <f>VLOOKUP(G339,'Component List'!K$2:L$30,2,FALSE)</f>
        <v>100</v>
      </c>
      <c r="W339" s="77">
        <f>VLOOKUP(H339,'Component List'!M$2:N$31,2,FALSE)</f>
        <v>200</v>
      </c>
      <c r="X339" s="77">
        <f>VLOOKUP(I339,'Component List'!O$2:P$30,2,FALSE)</f>
        <v>200</v>
      </c>
      <c r="Y339" s="77">
        <f>VLOOKUP(J339,'Component List'!Q$2:R$30,2,FALSE)</f>
        <v>200</v>
      </c>
      <c r="Z339" s="77" t="e">
        <f>VLOOKUP(K339,'Component List'!S$2:T$30,2,FALSE)</f>
        <v>#N/A</v>
      </c>
      <c r="AA339" s="77" t="e">
        <f>VLOOKUP(L339,'Component List'!U$2:V$30,2,FALSE)</f>
        <v>#N/A</v>
      </c>
      <c r="AB339" s="77">
        <f>VLOOKUP(M339,'Component List'!AA$2:AB$30,2,FALSE)</f>
        <v>2</v>
      </c>
      <c r="AC339" s="77" t="str">
        <f>VLOOKUP(N339,'Component List'!Y$2:Z$30,2,FALSE)</f>
        <v>C</v>
      </c>
      <c r="AD339" s="159" t="e">
        <f>VLOOKUP(O339,'Component List'!W$3:X$30,2,FALSE)</f>
        <v>#N/A</v>
      </c>
    </row>
    <row r="340" spans="1:30" ht="30" customHeight="1" x14ac:dyDescent="0.3">
      <c r="A340" s="239"/>
      <c r="B340" s="101" t="s">
        <v>250</v>
      </c>
      <c r="C340" s="100" t="s">
        <v>244</v>
      </c>
      <c r="D340" s="80" t="s">
        <v>136</v>
      </c>
      <c r="E340" s="111" t="s">
        <v>206</v>
      </c>
      <c r="F340" s="100" t="s">
        <v>42</v>
      </c>
      <c r="G340" s="100" t="s">
        <v>172</v>
      </c>
      <c r="H340" s="100" t="s">
        <v>233</v>
      </c>
      <c r="I340" s="100" t="s">
        <v>185</v>
      </c>
      <c r="J340" s="100" t="s">
        <v>186</v>
      </c>
      <c r="K340" s="110" t="s">
        <v>371</v>
      </c>
      <c r="L340" s="110" t="s">
        <v>371</v>
      </c>
      <c r="M340" s="82">
        <v>3</v>
      </c>
      <c r="N340" s="82" t="s">
        <v>175</v>
      </c>
      <c r="O340" s="117" t="s">
        <v>367</v>
      </c>
      <c r="P340" s="123" t="e">
        <f t="shared" si="4"/>
        <v>#N/A</v>
      </c>
      <c r="Q340" s="119" t="str">
        <f>VLOOKUP($B340,'Component List'!$A$2:$B$30,2,FALSE)</f>
        <v>MD9</v>
      </c>
      <c r="R340" s="77" t="str">
        <f>VLOOKUP($C340,'Component List'!C$2:D$28,2,FALSE)</f>
        <v>LE0</v>
      </c>
      <c r="S340" s="77" t="str">
        <f>VLOOKUP($D340,'Component List'!E$2:F$30,2,FALSE)</f>
        <v>D</v>
      </c>
      <c r="T340" s="77">
        <f>VLOOKUP($E340,'Component List'!G$2:H$30,2,FALSE)</f>
        <v>200</v>
      </c>
      <c r="U340" s="77">
        <f>VLOOKUP($F340,'Component List'!I$2:J$30,2,FALSE)</f>
        <v>200</v>
      </c>
      <c r="V340" s="77">
        <f>VLOOKUP(G340,'Component List'!K$2:L$30,2,FALSE)</f>
        <v>100</v>
      </c>
      <c r="W340" s="77">
        <f>VLOOKUP(H340,'Component List'!M$2:N$31,2,FALSE)</f>
        <v>200</v>
      </c>
      <c r="X340" s="77">
        <f>VLOOKUP(I340,'Component List'!O$2:P$30,2,FALSE)</f>
        <v>200</v>
      </c>
      <c r="Y340" s="77">
        <f>VLOOKUP(J340,'Component List'!Q$2:R$30,2,FALSE)</f>
        <v>200</v>
      </c>
      <c r="Z340" s="77" t="e">
        <f>VLOOKUP(K340,'Component List'!S$2:T$30,2,FALSE)</f>
        <v>#N/A</v>
      </c>
      <c r="AA340" s="77" t="e">
        <f>VLOOKUP(L340,'Component List'!U$2:V$30,2,FALSE)</f>
        <v>#N/A</v>
      </c>
      <c r="AB340" s="77">
        <f>VLOOKUP(M340,'Component List'!AA$2:AB$30,2,FALSE)</f>
        <v>3</v>
      </c>
      <c r="AC340" s="77" t="str">
        <f>VLOOKUP(N340,'Component List'!Y$2:Z$30,2,FALSE)</f>
        <v>P</v>
      </c>
      <c r="AD340" s="159" t="e">
        <f>VLOOKUP(O340,'Component List'!W$3:X$30,2,FALSE)</f>
        <v>#N/A</v>
      </c>
    </row>
    <row r="341" spans="1:30" ht="30" customHeight="1" x14ac:dyDescent="0.3">
      <c r="A341" s="239"/>
      <c r="B341" s="101" t="s">
        <v>250</v>
      </c>
      <c r="C341" s="100" t="s">
        <v>244</v>
      </c>
      <c r="D341" s="80" t="s">
        <v>136</v>
      </c>
      <c r="E341" s="111" t="s">
        <v>206</v>
      </c>
      <c r="F341" s="100" t="s">
        <v>42</v>
      </c>
      <c r="G341" s="100" t="s">
        <v>172</v>
      </c>
      <c r="H341" s="100" t="s">
        <v>233</v>
      </c>
      <c r="I341" s="100" t="s">
        <v>185</v>
      </c>
      <c r="J341" s="100" t="s">
        <v>186</v>
      </c>
      <c r="K341" s="110" t="s">
        <v>371</v>
      </c>
      <c r="L341" s="110" t="s">
        <v>371</v>
      </c>
      <c r="M341" s="82">
        <v>3</v>
      </c>
      <c r="N341" s="82" t="s">
        <v>187</v>
      </c>
      <c r="O341" s="117" t="s">
        <v>367</v>
      </c>
      <c r="P341" s="123" t="e">
        <f t="shared" si="4"/>
        <v>#N/A</v>
      </c>
      <c r="Q341" s="119" t="str">
        <f>VLOOKUP($B341,'Component List'!$A$2:$B$30,2,FALSE)</f>
        <v>MD9</v>
      </c>
      <c r="R341" s="77" t="str">
        <f>VLOOKUP($C341,'Component List'!C$2:D$28,2,FALSE)</f>
        <v>LE0</v>
      </c>
      <c r="S341" s="77" t="str">
        <f>VLOOKUP($D341,'Component List'!E$2:F$30,2,FALSE)</f>
        <v>D</v>
      </c>
      <c r="T341" s="77">
        <f>VLOOKUP($E341,'Component List'!G$2:H$30,2,FALSE)</f>
        <v>200</v>
      </c>
      <c r="U341" s="77">
        <f>VLOOKUP($F341,'Component List'!I$2:J$30,2,FALSE)</f>
        <v>200</v>
      </c>
      <c r="V341" s="77">
        <f>VLOOKUP(G341,'Component List'!K$2:L$30,2,FALSE)</f>
        <v>100</v>
      </c>
      <c r="W341" s="77">
        <f>VLOOKUP(H346,'Component List'!M$2:N$31,2,FALSE)</f>
        <v>201</v>
      </c>
      <c r="X341" s="77">
        <f>VLOOKUP(I341,'Component List'!O$2:P$30,2,FALSE)</f>
        <v>200</v>
      </c>
      <c r="Y341" s="77">
        <f>VLOOKUP(J341,'Component List'!Q$2:R$30,2,FALSE)</f>
        <v>200</v>
      </c>
      <c r="Z341" s="77" t="e">
        <f>VLOOKUP(K341,'Component List'!S$2:T$30,2,FALSE)</f>
        <v>#N/A</v>
      </c>
      <c r="AA341" s="77" t="e">
        <f>VLOOKUP(L341,'Component List'!U$2:V$30,2,FALSE)</f>
        <v>#N/A</v>
      </c>
      <c r="AB341" s="77">
        <f>VLOOKUP(M341,'Component List'!AA$2:AB$30,2,FALSE)</f>
        <v>3</v>
      </c>
      <c r="AC341" s="77" t="str">
        <f>VLOOKUP(N341,'Component List'!Y$2:Z$30,2,FALSE)</f>
        <v>C</v>
      </c>
      <c r="AD341" s="159" t="e">
        <f>VLOOKUP(O341,'Component List'!W$3:X$30,2,FALSE)</f>
        <v>#N/A</v>
      </c>
    </row>
    <row r="342" spans="1:30" ht="30" customHeight="1" x14ac:dyDescent="0.3">
      <c r="A342" s="239"/>
      <c r="B342" s="101" t="s">
        <v>250</v>
      </c>
      <c r="C342" s="100" t="s">
        <v>244</v>
      </c>
      <c r="D342" s="80" t="s">
        <v>136</v>
      </c>
      <c r="E342" s="111" t="s">
        <v>206</v>
      </c>
      <c r="F342" s="100" t="s">
        <v>42</v>
      </c>
      <c r="G342" s="100" t="s">
        <v>172</v>
      </c>
      <c r="H342" s="82" t="s">
        <v>241</v>
      </c>
      <c r="I342" s="100" t="s">
        <v>185</v>
      </c>
      <c r="J342" s="100" t="s">
        <v>186</v>
      </c>
      <c r="K342" s="110" t="s">
        <v>371</v>
      </c>
      <c r="L342" s="110" t="s">
        <v>371</v>
      </c>
      <c r="M342" s="82">
        <v>1</v>
      </c>
      <c r="N342" s="82" t="s">
        <v>175</v>
      </c>
      <c r="O342" s="117" t="s">
        <v>367</v>
      </c>
      <c r="P342" s="123" t="e">
        <f t="shared" si="4"/>
        <v>#N/A</v>
      </c>
      <c r="Q342" s="119" t="str">
        <f>VLOOKUP($B342,'Component List'!$A$2:$B$30,2,FALSE)</f>
        <v>MD9</v>
      </c>
      <c r="R342" s="77" t="str">
        <f>VLOOKUP($C342,'Component List'!C$2:D$28,2,FALSE)</f>
        <v>LE0</v>
      </c>
      <c r="S342" s="77" t="str">
        <f>VLOOKUP($D342,'Component List'!E$2:F$30,2,FALSE)</f>
        <v>D</v>
      </c>
      <c r="T342" s="77">
        <f>VLOOKUP($E342,'Component List'!G$2:H$30,2,FALSE)</f>
        <v>200</v>
      </c>
      <c r="U342" s="77">
        <f>VLOOKUP($F342,'Component List'!I$2:J$30,2,FALSE)</f>
        <v>200</v>
      </c>
      <c r="V342" s="77">
        <f>VLOOKUP(G342,'Component List'!K$2:L$30,2,FALSE)</f>
        <v>100</v>
      </c>
      <c r="W342" s="77">
        <f>VLOOKUP(H352,'Component List'!M$2:N$31,2,FALSE)</f>
        <v>202</v>
      </c>
      <c r="X342" s="77">
        <f>VLOOKUP(I342,'Component List'!O$2:P$30,2,FALSE)</f>
        <v>200</v>
      </c>
      <c r="Y342" s="77">
        <f>VLOOKUP(J342,'Component List'!Q$2:R$30,2,FALSE)</f>
        <v>200</v>
      </c>
      <c r="Z342" s="77" t="e">
        <f>VLOOKUP(K342,'Component List'!S$2:T$30,2,FALSE)</f>
        <v>#N/A</v>
      </c>
      <c r="AA342" s="77" t="e">
        <f>VLOOKUP(L342,'Component List'!U$2:V$30,2,FALSE)</f>
        <v>#N/A</v>
      </c>
      <c r="AB342" s="77">
        <f>VLOOKUP(M342,'Component List'!AA$2:AB$30,2,FALSE)</f>
        <v>1</v>
      </c>
      <c r="AC342" s="77" t="str">
        <f>VLOOKUP(N342,'Component List'!Y$2:Z$30,2,FALSE)</f>
        <v>P</v>
      </c>
      <c r="AD342" s="159" t="e">
        <f>VLOOKUP(O342,'Component List'!W$3:X$30,2,FALSE)</f>
        <v>#N/A</v>
      </c>
    </row>
    <row r="343" spans="1:30" ht="30" customHeight="1" x14ac:dyDescent="0.3">
      <c r="A343" s="239"/>
      <c r="B343" s="101" t="s">
        <v>250</v>
      </c>
      <c r="C343" s="100" t="s">
        <v>244</v>
      </c>
      <c r="D343" s="80" t="s">
        <v>136</v>
      </c>
      <c r="E343" s="111" t="s">
        <v>206</v>
      </c>
      <c r="F343" s="100" t="s">
        <v>42</v>
      </c>
      <c r="G343" s="100" t="s">
        <v>172</v>
      </c>
      <c r="H343" s="82" t="s">
        <v>241</v>
      </c>
      <c r="I343" s="100" t="s">
        <v>185</v>
      </c>
      <c r="J343" s="100" t="s">
        <v>186</v>
      </c>
      <c r="K343" s="110" t="s">
        <v>371</v>
      </c>
      <c r="L343" s="110" t="s">
        <v>371</v>
      </c>
      <c r="M343" s="82">
        <v>1</v>
      </c>
      <c r="N343" s="82" t="s">
        <v>187</v>
      </c>
      <c r="O343" s="117" t="s">
        <v>367</v>
      </c>
      <c r="P343" s="123" t="e">
        <f t="shared" si="4"/>
        <v>#N/A</v>
      </c>
      <c r="Q343" s="119" t="str">
        <f>VLOOKUP($B343,'Component List'!$A$2:$B$30,2,FALSE)</f>
        <v>MD9</v>
      </c>
      <c r="R343" s="77" t="str">
        <f>VLOOKUP($C343,'Component List'!C$2:D$28,2,FALSE)</f>
        <v>LE0</v>
      </c>
      <c r="S343" s="77" t="str">
        <f>VLOOKUP($D343,'Component List'!E$2:F$30,2,FALSE)</f>
        <v>D</v>
      </c>
      <c r="T343" s="77">
        <f>VLOOKUP($E343,'Component List'!G$2:H$30,2,FALSE)</f>
        <v>200</v>
      </c>
      <c r="U343" s="77">
        <f>VLOOKUP($F343,'Component List'!I$2:J$30,2,FALSE)</f>
        <v>200</v>
      </c>
      <c r="V343" s="77">
        <f>VLOOKUP(G343,'Component List'!K$2:L$30,2,FALSE)</f>
        <v>100</v>
      </c>
      <c r="W343" s="77">
        <f>VLOOKUP(H343,'Component List'!M$2:N$31,2,FALSE)</f>
        <v>201</v>
      </c>
      <c r="X343" s="77">
        <f>VLOOKUP(I343,'Component List'!O$2:P$30,2,FALSE)</f>
        <v>200</v>
      </c>
      <c r="Y343" s="77">
        <f>VLOOKUP(J343,'Component List'!Q$2:R$30,2,FALSE)</f>
        <v>200</v>
      </c>
      <c r="Z343" s="77" t="e">
        <f>VLOOKUP(K343,'Component List'!S$2:T$30,2,FALSE)</f>
        <v>#N/A</v>
      </c>
      <c r="AA343" s="77" t="e">
        <f>VLOOKUP(L343,'Component List'!U$2:V$30,2,FALSE)</f>
        <v>#N/A</v>
      </c>
      <c r="AB343" s="77">
        <f>VLOOKUP(M343,'Component List'!AA$2:AB$30,2,FALSE)</f>
        <v>1</v>
      </c>
      <c r="AC343" s="77" t="str">
        <f>VLOOKUP(N343,'Component List'!Y$2:Z$30,2,FALSE)</f>
        <v>C</v>
      </c>
      <c r="AD343" s="159" t="e">
        <f>VLOOKUP(O343,'Component List'!W$3:X$30,2,FALSE)</f>
        <v>#N/A</v>
      </c>
    </row>
    <row r="344" spans="1:30" ht="30" customHeight="1" x14ac:dyDescent="0.3">
      <c r="A344" s="239"/>
      <c r="B344" s="101" t="s">
        <v>250</v>
      </c>
      <c r="C344" s="100" t="s">
        <v>244</v>
      </c>
      <c r="D344" s="80" t="s">
        <v>136</v>
      </c>
      <c r="E344" s="111" t="s">
        <v>206</v>
      </c>
      <c r="F344" s="100" t="s">
        <v>42</v>
      </c>
      <c r="G344" s="100" t="s">
        <v>172</v>
      </c>
      <c r="H344" s="82" t="s">
        <v>241</v>
      </c>
      <c r="I344" s="100" t="s">
        <v>185</v>
      </c>
      <c r="J344" s="100" t="s">
        <v>186</v>
      </c>
      <c r="K344" s="110" t="s">
        <v>371</v>
      </c>
      <c r="L344" s="110" t="s">
        <v>371</v>
      </c>
      <c r="M344" s="82">
        <v>2</v>
      </c>
      <c r="N344" s="82" t="s">
        <v>175</v>
      </c>
      <c r="O344" s="117" t="s">
        <v>367</v>
      </c>
      <c r="P344" s="123" t="e">
        <f t="shared" si="4"/>
        <v>#N/A</v>
      </c>
      <c r="Q344" s="119" t="str">
        <f>VLOOKUP($B344,'Component List'!$A$2:$B$30,2,FALSE)</f>
        <v>MD9</v>
      </c>
      <c r="R344" s="77" t="str">
        <f>VLOOKUP($C344,'Component List'!C$2:D$28,2,FALSE)</f>
        <v>LE0</v>
      </c>
      <c r="S344" s="77" t="str">
        <f>VLOOKUP($D344,'Component List'!E$2:F$30,2,FALSE)</f>
        <v>D</v>
      </c>
      <c r="T344" s="77">
        <f>VLOOKUP($E344,'Component List'!G$2:H$30,2,FALSE)</f>
        <v>200</v>
      </c>
      <c r="U344" s="77">
        <f>VLOOKUP($F344,'Component List'!I$2:J$30,2,FALSE)</f>
        <v>200</v>
      </c>
      <c r="V344" s="77">
        <f>VLOOKUP(G344,'Component List'!K$2:L$30,2,FALSE)</f>
        <v>100</v>
      </c>
      <c r="W344" s="77">
        <f>VLOOKUP(H344,'Component List'!M$2:N$31,2,FALSE)</f>
        <v>201</v>
      </c>
      <c r="X344" s="77">
        <f>VLOOKUP(I344,'Component List'!O$2:P$30,2,FALSE)</f>
        <v>200</v>
      </c>
      <c r="Y344" s="77">
        <f>VLOOKUP(J344,'Component List'!Q$2:R$30,2,FALSE)</f>
        <v>200</v>
      </c>
      <c r="Z344" s="77" t="e">
        <f>VLOOKUP(K344,'Component List'!S$2:T$30,2,FALSE)</f>
        <v>#N/A</v>
      </c>
      <c r="AA344" s="77" t="e">
        <f>VLOOKUP(L344,'Component List'!U$2:V$30,2,FALSE)</f>
        <v>#N/A</v>
      </c>
      <c r="AB344" s="77">
        <f>VLOOKUP(M344,'Component List'!AA$2:AB$30,2,FALSE)</f>
        <v>2</v>
      </c>
      <c r="AC344" s="77" t="str">
        <f>VLOOKUP(N344,'Component List'!Y$2:Z$30,2,FALSE)</f>
        <v>P</v>
      </c>
      <c r="AD344" s="159" t="e">
        <f>VLOOKUP(O344,'Component List'!W$3:X$30,2,FALSE)</f>
        <v>#N/A</v>
      </c>
    </row>
    <row r="345" spans="1:30" ht="30" customHeight="1" x14ac:dyDescent="0.3">
      <c r="A345" s="239"/>
      <c r="B345" s="101" t="s">
        <v>250</v>
      </c>
      <c r="C345" s="100" t="s">
        <v>244</v>
      </c>
      <c r="D345" s="80" t="s">
        <v>136</v>
      </c>
      <c r="E345" s="111" t="s">
        <v>206</v>
      </c>
      <c r="F345" s="100" t="s">
        <v>42</v>
      </c>
      <c r="G345" s="100" t="s">
        <v>172</v>
      </c>
      <c r="H345" s="82" t="s">
        <v>241</v>
      </c>
      <c r="I345" s="100" t="s">
        <v>185</v>
      </c>
      <c r="J345" s="100" t="s">
        <v>186</v>
      </c>
      <c r="K345" s="110" t="s">
        <v>371</v>
      </c>
      <c r="L345" s="110" t="s">
        <v>371</v>
      </c>
      <c r="M345" s="82">
        <v>2</v>
      </c>
      <c r="N345" s="82" t="s">
        <v>187</v>
      </c>
      <c r="O345" s="117" t="s">
        <v>367</v>
      </c>
      <c r="P345" s="123" t="e">
        <f t="shared" si="4"/>
        <v>#N/A</v>
      </c>
      <c r="Q345" s="119" t="str">
        <f>VLOOKUP($B345,'Component List'!$A$2:$B$30,2,FALSE)</f>
        <v>MD9</v>
      </c>
      <c r="R345" s="77" t="str">
        <f>VLOOKUP($C345,'Component List'!C$2:D$28,2,FALSE)</f>
        <v>LE0</v>
      </c>
      <c r="S345" s="77" t="str">
        <f>VLOOKUP($D345,'Component List'!E$2:F$30,2,FALSE)</f>
        <v>D</v>
      </c>
      <c r="T345" s="77">
        <f>VLOOKUP($E345,'Component List'!G$2:H$30,2,FALSE)</f>
        <v>200</v>
      </c>
      <c r="U345" s="77">
        <f>VLOOKUP($F345,'Component List'!I$2:J$30,2,FALSE)</f>
        <v>200</v>
      </c>
      <c r="V345" s="77">
        <f>VLOOKUP(G345,'Component List'!K$2:L$30,2,FALSE)</f>
        <v>100</v>
      </c>
      <c r="W345" s="77">
        <f>VLOOKUP(H345,'Component List'!M$2:N$31,2,FALSE)</f>
        <v>201</v>
      </c>
      <c r="X345" s="77">
        <f>VLOOKUP(I345,'Component List'!O$2:P$30,2,FALSE)</f>
        <v>200</v>
      </c>
      <c r="Y345" s="77">
        <f>VLOOKUP(J345,'Component List'!Q$2:R$30,2,FALSE)</f>
        <v>200</v>
      </c>
      <c r="Z345" s="77" t="e">
        <f>VLOOKUP(K345,'Component List'!S$2:T$30,2,FALSE)</f>
        <v>#N/A</v>
      </c>
      <c r="AA345" s="77" t="e">
        <f>VLOOKUP(L345,'Component List'!U$2:V$30,2,FALSE)</f>
        <v>#N/A</v>
      </c>
      <c r="AB345" s="77">
        <f>VLOOKUP(M345,'Component List'!AA$2:AB$30,2,FALSE)</f>
        <v>2</v>
      </c>
      <c r="AC345" s="77" t="str">
        <f>VLOOKUP(N345,'Component List'!Y$2:Z$30,2,FALSE)</f>
        <v>C</v>
      </c>
      <c r="AD345" s="159" t="e">
        <f>VLOOKUP(O345,'Component List'!W$3:X$30,2,FALSE)</f>
        <v>#N/A</v>
      </c>
    </row>
    <row r="346" spans="1:30" ht="30" customHeight="1" x14ac:dyDescent="0.3">
      <c r="A346" s="239"/>
      <c r="B346" s="101" t="s">
        <v>250</v>
      </c>
      <c r="C346" s="100" t="s">
        <v>244</v>
      </c>
      <c r="D346" s="80" t="s">
        <v>136</v>
      </c>
      <c r="E346" s="111" t="s">
        <v>206</v>
      </c>
      <c r="F346" s="100" t="s">
        <v>42</v>
      </c>
      <c r="G346" s="100" t="s">
        <v>172</v>
      </c>
      <c r="H346" s="82" t="s">
        <v>241</v>
      </c>
      <c r="I346" s="100" t="s">
        <v>185</v>
      </c>
      <c r="J346" s="100" t="s">
        <v>186</v>
      </c>
      <c r="K346" s="110" t="s">
        <v>371</v>
      </c>
      <c r="L346" s="110" t="s">
        <v>371</v>
      </c>
      <c r="M346" s="82">
        <v>3</v>
      </c>
      <c r="N346" s="82" t="s">
        <v>175</v>
      </c>
      <c r="O346" s="117" t="s">
        <v>367</v>
      </c>
      <c r="P346" s="123" t="e">
        <f t="shared" si="4"/>
        <v>#N/A</v>
      </c>
      <c r="Q346" s="119" t="str">
        <f>VLOOKUP($B346,'Component List'!$A$2:$B$30,2,FALSE)</f>
        <v>MD9</v>
      </c>
      <c r="R346" s="77" t="str">
        <f>VLOOKUP($C346,'Component List'!C$2:D$28,2,FALSE)</f>
        <v>LE0</v>
      </c>
      <c r="S346" s="77" t="str">
        <f>VLOOKUP($D346,'Component List'!E$2:F$30,2,FALSE)</f>
        <v>D</v>
      </c>
      <c r="T346" s="77">
        <f>VLOOKUP($E346,'Component List'!G$2:H$30,2,FALSE)</f>
        <v>200</v>
      </c>
      <c r="U346" s="77">
        <f>VLOOKUP($F346,'Component List'!I$2:J$30,2,FALSE)</f>
        <v>200</v>
      </c>
      <c r="V346" s="77">
        <f>VLOOKUP(G346,'Component List'!K$2:L$30,2,FALSE)</f>
        <v>100</v>
      </c>
      <c r="W346" s="77">
        <f>VLOOKUP(H346,'Component List'!M$2:N$31,2,FALSE)</f>
        <v>201</v>
      </c>
      <c r="X346" s="77">
        <f>VLOOKUP(I346,'Component List'!O$2:P$30,2,FALSE)</f>
        <v>200</v>
      </c>
      <c r="Y346" s="77">
        <f>VLOOKUP(J346,'Component List'!Q$2:R$30,2,FALSE)</f>
        <v>200</v>
      </c>
      <c r="Z346" s="77" t="e">
        <f>VLOOKUP(K346,'Component List'!S$2:T$30,2,FALSE)</f>
        <v>#N/A</v>
      </c>
      <c r="AA346" s="77" t="e">
        <f>VLOOKUP(L346,'Component List'!U$2:V$30,2,FALSE)</f>
        <v>#N/A</v>
      </c>
      <c r="AB346" s="77">
        <f>VLOOKUP(M346,'Component List'!AA$2:AB$30,2,FALSE)</f>
        <v>3</v>
      </c>
      <c r="AC346" s="77" t="str">
        <f>VLOOKUP(N346,'Component List'!Y$2:Z$30,2,FALSE)</f>
        <v>P</v>
      </c>
      <c r="AD346" s="159" t="e">
        <f>VLOOKUP(O346,'Component List'!W$3:X$30,2,FALSE)</f>
        <v>#N/A</v>
      </c>
    </row>
    <row r="347" spans="1:30" ht="30" customHeight="1" x14ac:dyDescent="0.3">
      <c r="A347" s="239"/>
      <c r="B347" s="101" t="s">
        <v>250</v>
      </c>
      <c r="C347" s="100" t="s">
        <v>244</v>
      </c>
      <c r="D347" s="80" t="s">
        <v>136</v>
      </c>
      <c r="E347" s="111" t="s">
        <v>206</v>
      </c>
      <c r="F347" s="100" t="s">
        <v>42</v>
      </c>
      <c r="G347" s="100" t="s">
        <v>172</v>
      </c>
      <c r="H347" s="82" t="s">
        <v>241</v>
      </c>
      <c r="I347" s="100" t="s">
        <v>185</v>
      </c>
      <c r="J347" s="100" t="s">
        <v>186</v>
      </c>
      <c r="K347" s="110" t="s">
        <v>371</v>
      </c>
      <c r="L347" s="110" t="s">
        <v>371</v>
      </c>
      <c r="M347" s="82">
        <v>3</v>
      </c>
      <c r="N347" s="82" t="s">
        <v>187</v>
      </c>
      <c r="O347" s="117" t="s">
        <v>367</v>
      </c>
      <c r="P347" s="123" t="e">
        <f t="shared" si="4"/>
        <v>#N/A</v>
      </c>
      <c r="Q347" s="119" t="str">
        <f>VLOOKUP($B347,'Component List'!$A$2:$B$30,2,FALSE)</f>
        <v>MD9</v>
      </c>
      <c r="R347" s="77" t="str">
        <f>VLOOKUP($C347,'Component List'!C$2:D$28,2,FALSE)</f>
        <v>LE0</v>
      </c>
      <c r="S347" s="77" t="str">
        <f>VLOOKUP($D347,'Component List'!E$2:F$30,2,FALSE)</f>
        <v>D</v>
      </c>
      <c r="T347" s="77">
        <f>VLOOKUP($E347,'Component List'!G$2:H$30,2,FALSE)</f>
        <v>200</v>
      </c>
      <c r="U347" s="77">
        <f>VLOOKUP($F347,'Component List'!I$2:J$30,2,FALSE)</f>
        <v>200</v>
      </c>
      <c r="V347" s="77">
        <f>VLOOKUP(G347,'Component List'!K$2:L$30,2,FALSE)</f>
        <v>100</v>
      </c>
      <c r="W347" s="77">
        <f>VLOOKUP(H347,'Component List'!M$2:N$31,2,FALSE)</f>
        <v>201</v>
      </c>
      <c r="X347" s="77">
        <f>VLOOKUP(I347,'Component List'!O$2:P$30,2,FALSE)</f>
        <v>200</v>
      </c>
      <c r="Y347" s="77">
        <f>VLOOKUP(J347,'Component List'!Q$2:R$30,2,FALSE)</f>
        <v>200</v>
      </c>
      <c r="Z347" s="77" t="e">
        <f>VLOOKUP(K347,'Component List'!S$2:T$30,2,FALSE)</f>
        <v>#N/A</v>
      </c>
      <c r="AA347" s="77" t="e">
        <f>VLOOKUP(L347,'Component List'!U$2:V$30,2,FALSE)</f>
        <v>#N/A</v>
      </c>
      <c r="AB347" s="77">
        <f>VLOOKUP(M347,'Component List'!AA$2:AB$30,2,FALSE)</f>
        <v>3</v>
      </c>
      <c r="AC347" s="77" t="str">
        <f>VLOOKUP(N347,'Component List'!Y$2:Z$30,2,FALSE)</f>
        <v>C</v>
      </c>
      <c r="AD347" s="159" t="e">
        <f>VLOOKUP(O347,'Component List'!W$3:X$30,2,FALSE)</f>
        <v>#N/A</v>
      </c>
    </row>
    <row r="348" spans="1:30" ht="30" customHeight="1" x14ac:dyDescent="0.3">
      <c r="A348" s="239"/>
      <c r="B348" s="101" t="s">
        <v>250</v>
      </c>
      <c r="C348" s="100" t="s">
        <v>244</v>
      </c>
      <c r="D348" s="80" t="s">
        <v>136</v>
      </c>
      <c r="E348" s="111" t="s">
        <v>206</v>
      </c>
      <c r="F348" s="100" t="s">
        <v>42</v>
      </c>
      <c r="G348" s="100" t="s">
        <v>172</v>
      </c>
      <c r="H348" s="82" t="s">
        <v>248</v>
      </c>
      <c r="I348" s="100" t="s">
        <v>185</v>
      </c>
      <c r="J348" s="100" t="s">
        <v>186</v>
      </c>
      <c r="K348" s="110" t="s">
        <v>371</v>
      </c>
      <c r="L348" s="110" t="s">
        <v>371</v>
      </c>
      <c r="M348" s="82">
        <v>1</v>
      </c>
      <c r="N348" s="82" t="s">
        <v>175</v>
      </c>
      <c r="O348" s="117" t="s">
        <v>367</v>
      </c>
      <c r="P348" s="123" t="e">
        <f t="shared" si="4"/>
        <v>#N/A</v>
      </c>
      <c r="Q348" s="119" t="str">
        <f>VLOOKUP($B348,'Component List'!$A$2:$B$30,2,FALSE)</f>
        <v>MD9</v>
      </c>
      <c r="R348" s="77" t="str">
        <f>VLOOKUP($C348,'Component List'!C$2:D$28,2,FALSE)</f>
        <v>LE0</v>
      </c>
      <c r="S348" s="77" t="str">
        <f>VLOOKUP($D348,'Component List'!E$2:F$30,2,FALSE)</f>
        <v>D</v>
      </c>
      <c r="T348" s="77">
        <f>VLOOKUP($E348,'Component List'!G$2:H$30,2,FALSE)</f>
        <v>200</v>
      </c>
      <c r="U348" s="77">
        <f>VLOOKUP($F348,'Component List'!I$2:J$30,2,FALSE)</f>
        <v>200</v>
      </c>
      <c r="V348" s="77">
        <f>VLOOKUP(G348,'Component List'!K$2:L$30,2,FALSE)</f>
        <v>100</v>
      </c>
      <c r="W348" s="77">
        <f>VLOOKUP(H348,'Component List'!M$2:N$31,2,FALSE)</f>
        <v>202</v>
      </c>
      <c r="X348" s="77">
        <f>VLOOKUP(I348,'Component List'!O$2:P$30,2,FALSE)</f>
        <v>200</v>
      </c>
      <c r="Y348" s="77">
        <f>VLOOKUP(J348,'Component List'!Q$2:R$30,2,FALSE)</f>
        <v>200</v>
      </c>
      <c r="Z348" s="77" t="e">
        <f>VLOOKUP(K348,'Component List'!S$2:T$30,2,FALSE)</f>
        <v>#N/A</v>
      </c>
      <c r="AA348" s="77" t="e">
        <f>VLOOKUP(L348,'Component List'!U$2:V$30,2,FALSE)</f>
        <v>#N/A</v>
      </c>
      <c r="AB348" s="77">
        <f>VLOOKUP(M348,'Component List'!AA$2:AB$30,2,FALSE)</f>
        <v>1</v>
      </c>
      <c r="AC348" s="77" t="str">
        <f>VLOOKUP(N348,'Component List'!Y$2:Z$30,2,FALSE)</f>
        <v>P</v>
      </c>
      <c r="AD348" s="159" t="e">
        <f>VLOOKUP(O348,'Component List'!W$3:X$30,2,FALSE)</f>
        <v>#N/A</v>
      </c>
    </row>
    <row r="349" spans="1:30" ht="30" customHeight="1" x14ac:dyDescent="0.3">
      <c r="A349" s="239"/>
      <c r="B349" s="101" t="s">
        <v>250</v>
      </c>
      <c r="C349" s="100" t="s">
        <v>244</v>
      </c>
      <c r="D349" s="80" t="s">
        <v>136</v>
      </c>
      <c r="E349" s="111" t="s">
        <v>206</v>
      </c>
      <c r="F349" s="100" t="s">
        <v>42</v>
      </c>
      <c r="G349" s="100" t="s">
        <v>172</v>
      </c>
      <c r="H349" s="82" t="s">
        <v>248</v>
      </c>
      <c r="I349" s="100" t="s">
        <v>185</v>
      </c>
      <c r="J349" s="100" t="s">
        <v>186</v>
      </c>
      <c r="K349" s="110" t="s">
        <v>371</v>
      </c>
      <c r="L349" s="110" t="s">
        <v>371</v>
      </c>
      <c r="M349" s="82">
        <v>1</v>
      </c>
      <c r="N349" s="82" t="s">
        <v>187</v>
      </c>
      <c r="O349" s="117" t="s">
        <v>367</v>
      </c>
      <c r="P349" s="123" t="e">
        <f t="shared" si="4"/>
        <v>#N/A</v>
      </c>
      <c r="Q349" s="119" t="str">
        <f>VLOOKUP($B349,'Component List'!$A$2:$B$30,2,FALSE)</f>
        <v>MD9</v>
      </c>
      <c r="R349" s="77" t="str">
        <f>VLOOKUP($C349,'Component List'!C$2:D$28,2,FALSE)</f>
        <v>LE0</v>
      </c>
      <c r="S349" s="77" t="str">
        <f>VLOOKUP($D349,'Component List'!E$2:F$30,2,FALSE)</f>
        <v>D</v>
      </c>
      <c r="T349" s="77">
        <f>VLOOKUP($E349,'Component List'!G$2:H$30,2,FALSE)</f>
        <v>200</v>
      </c>
      <c r="U349" s="77">
        <f>VLOOKUP($F349,'Component List'!I$2:J$30,2,FALSE)</f>
        <v>200</v>
      </c>
      <c r="V349" s="77">
        <f>VLOOKUP(G349,'Component List'!K$2:L$30,2,FALSE)</f>
        <v>100</v>
      </c>
      <c r="W349" s="77">
        <f>VLOOKUP(H349,'Component List'!M$2:N$31,2,FALSE)</f>
        <v>202</v>
      </c>
      <c r="X349" s="77">
        <f>VLOOKUP(I349,'Component List'!O$2:P$30,2,FALSE)</f>
        <v>200</v>
      </c>
      <c r="Y349" s="77">
        <f>VLOOKUP(J349,'Component List'!Q$2:R$30,2,FALSE)</f>
        <v>200</v>
      </c>
      <c r="Z349" s="77" t="e">
        <f>VLOOKUP(K349,'Component List'!S$2:T$30,2,FALSE)</f>
        <v>#N/A</v>
      </c>
      <c r="AA349" s="77" t="e">
        <f>VLOOKUP(L349,'Component List'!U$2:V$30,2,FALSE)</f>
        <v>#N/A</v>
      </c>
      <c r="AB349" s="77">
        <f>VLOOKUP(M349,'Component List'!AA$2:AB$30,2,FALSE)</f>
        <v>1</v>
      </c>
      <c r="AC349" s="77" t="str">
        <f>VLOOKUP(N349,'Component List'!Y$2:Z$30,2,FALSE)</f>
        <v>C</v>
      </c>
      <c r="AD349" s="159" t="e">
        <f>VLOOKUP(O349,'Component List'!W$3:X$30,2,FALSE)</f>
        <v>#N/A</v>
      </c>
    </row>
    <row r="350" spans="1:30" ht="30" customHeight="1" x14ac:dyDescent="0.3">
      <c r="A350" s="239"/>
      <c r="B350" s="101" t="s">
        <v>250</v>
      </c>
      <c r="C350" s="100" t="s">
        <v>244</v>
      </c>
      <c r="D350" s="80" t="s">
        <v>136</v>
      </c>
      <c r="E350" s="111" t="s">
        <v>206</v>
      </c>
      <c r="F350" s="100" t="s">
        <v>42</v>
      </c>
      <c r="G350" s="100" t="s">
        <v>172</v>
      </c>
      <c r="H350" s="82" t="s">
        <v>248</v>
      </c>
      <c r="I350" s="100" t="s">
        <v>185</v>
      </c>
      <c r="J350" s="100" t="s">
        <v>186</v>
      </c>
      <c r="K350" s="110" t="s">
        <v>371</v>
      </c>
      <c r="L350" s="110" t="s">
        <v>371</v>
      </c>
      <c r="M350" s="82">
        <v>2</v>
      </c>
      <c r="N350" s="82" t="s">
        <v>175</v>
      </c>
      <c r="O350" s="117" t="s">
        <v>367</v>
      </c>
      <c r="P350" s="123" t="e">
        <f t="shared" si="4"/>
        <v>#N/A</v>
      </c>
      <c r="Q350" s="119" t="str">
        <f>VLOOKUP($B350,'Component List'!$A$2:$B$30,2,FALSE)</f>
        <v>MD9</v>
      </c>
      <c r="R350" s="77" t="str">
        <f>VLOOKUP($C350,'Component List'!C$2:D$28,2,FALSE)</f>
        <v>LE0</v>
      </c>
      <c r="S350" s="77" t="str">
        <f>VLOOKUP($D350,'Component List'!E$2:F$30,2,FALSE)</f>
        <v>D</v>
      </c>
      <c r="T350" s="77">
        <f>VLOOKUP($E350,'Component List'!G$2:H$30,2,FALSE)</f>
        <v>200</v>
      </c>
      <c r="U350" s="77">
        <f>VLOOKUP($F350,'Component List'!I$2:J$30,2,FALSE)</f>
        <v>200</v>
      </c>
      <c r="V350" s="77">
        <f>VLOOKUP(G350,'Component List'!K$2:L$30,2,FALSE)</f>
        <v>100</v>
      </c>
      <c r="W350" s="77">
        <f>VLOOKUP(H350,'Component List'!M$2:N$31,2,FALSE)</f>
        <v>202</v>
      </c>
      <c r="X350" s="77">
        <f>VLOOKUP(I350,'Component List'!O$2:P$30,2,FALSE)</f>
        <v>200</v>
      </c>
      <c r="Y350" s="77">
        <f>VLOOKUP(J350,'Component List'!Q$2:R$30,2,FALSE)</f>
        <v>200</v>
      </c>
      <c r="Z350" s="77" t="e">
        <f>VLOOKUP(K350,'Component List'!S$2:T$30,2,FALSE)</f>
        <v>#N/A</v>
      </c>
      <c r="AA350" s="77" t="e">
        <f>VLOOKUP(L350,'Component List'!U$2:V$30,2,FALSE)</f>
        <v>#N/A</v>
      </c>
      <c r="AB350" s="77">
        <f>VLOOKUP(M350,'Component List'!AA$2:AB$30,2,FALSE)</f>
        <v>2</v>
      </c>
      <c r="AC350" s="77" t="str">
        <f>VLOOKUP(N350,'Component List'!Y$2:Z$30,2,FALSE)</f>
        <v>P</v>
      </c>
      <c r="AD350" s="159" t="e">
        <f>VLOOKUP(O350,'Component List'!W$3:X$30,2,FALSE)</f>
        <v>#N/A</v>
      </c>
    </row>
    <row r="351" spans="1:30" ht="30" customHeight="1" x14ac:dyDescent="0.3">
      <c r="A351" s="239"/>
      <c r="B351" s="101" t="s">
        <v>250</v>
      </c>
      <c r="C351" s="100" t="s">
        <v>244</v>
      </c>
      <c r="D351" s="80" t="s">
        <v>136</v>
      </c>
      <c r="E351" s="111" t="s">
        <v>206</v>
      </c>
      <c r="F351" s="100" t="s">
        <v>42</v>
      </c>
      <c r="G351" s="100" t="s">
        <v>172</v>
      </c>
      <c r="H351" s="82" t="s">
        <v>248</v>
      </c>
      <c r="I351" s="100" t="s">
        <v>185</v>
      </c>
      <c r="J351" s="100" t="s">
        <v>186</v>
      </c>
      <c r="K351" s="110" t="s">
        <v>371</v>
      </c>
      <c r="L351" s="110" t="s">
        <v>371</v>
      </c>
      <c r="M351" s="82">
        <v>2</v>
      </c>
      <c r="N351" s="82" t="s">
        <v>187</v>
      </c>
      <c r="O351" s="117" t="s">
        <v>367</v>
      </c>
      <c r="P351" s="123" t="e">
        <f t="shared" si="4"/>
        <v>#N/A</v>
      </c>
      <c r="Q351" s="119" t="str">
        <f>VLOOKUP($B351,'Component List'!$A$2:$B$30,2,FALSE)</f>
        <v>MD9</v>
      </c>
      <c r="R351" s="77" t="str">
        <f>VLOOKUP($C351,'Component List'!C$2:D$28,2,FALSE)</f>
        <v>LE0</v>
      </c>
      <c r="S351" s="77" t="str">
        <f>VLOOKUP($D351,'Component List'!E$2:F$30,2,FALSE)</f>
        <v>D</v>
      </c>
      <c r="T351" s="77">
        <f>VLOOKUP($E351,'Component List'!G$2:H$30,2,FALSE)</f>
        <v>200</v>
      </c>
      <c r="U351" s="77">
        <f>VLOOKUP($F351,'Component List'!I$2:J$30,2,FALSE)</f>
        <v>200</v>
      </c>
      <c r="V351" s="77">
        <f>VLOOKUP(G351,'Component List'!K$2:L$30,2,FALSE)</f>
        <v>100</v>
      </c>
      <c r="W351" s="77">
        <f>VLOOKUP(H351,'Component List'!M$2:N$31,2,FALSE)</f>
        <v>202</v>
      </c>
      <c r="X351" s="77">
        <f>VLOOKUP(I351,'Component List'!O$2:P$30,2,FALSE)</f>
        <v>200</v>
      </c>
      <c r="Y351" s="77">
        <f>VLOOKUP(J351,'Component List'!Q$2:R$30,2,FALSE)</f>
        <v>200</v>
      </c>
      <c r="Z351" s="77" t="e">
        <f>VLOOKUP(K351,'Component List'!S$2:T$30,2,FALSE)</f>
        <v>#N/A</v>
      </c>
      <c r="AA351" s="77" t="e">
        <f>VLOOKUP(L351,'Component List'!U$2:V$30,2,FALSE)</f>
        <v>#N/A</v>
      </c>
      <c r="AB351" s="77">
        <f>VLOOKUP(M351,'Component List'!AA$2:AB$30,2,FALSE)</f>
        <v>2</v>
      </c>
      <c r="AC351" s="77" t="str">
        <f>VLOOKUP(N351,'Component List'!Y$2:Z$30,2,FALSE)</f>
        <v>C</v>
      </c>
      <c r="AD351" s="159" t="e">
        <f>VLOOKUP(O351,'Component List'!W$3:X$30,2,FALSE)</f>
        <v>#N/A</v>
      </c>
    </row>
    <row r="352" spans="1:30" ht="30" customHeight="1" x14ac:dyDescent="0.3">
      <c r="A352" s="239"/>
      <c r="B352" s="101" t="s">
        <v>250</v>
      </c>
      <c r="C352" s="100" t="s">
        <v>244</v>
      </c>
      <c r="D352" s="80" t="s">
        <v>136</v>
      </c>
      <c r="E352" s="111" t="s">
        <v>206</v>
      </c>
      <c r="F352" s="100" t="s">
        <v>42</v>
      </c>
      <c r="G352" s="100" t="s">
        <v>172</v>
      </c>
      <c r="H352" s="82" t="s">
        <v>248</v>
      </c>
      <c r="I352" s="100" t="s">
        <v>185</v>
      </c>
      <c r="J352" s="100" t="s">
        <v>186</v>
      </c>
      <c r="K352" s="110" t="s">
        <v>371</v>
      </c>
      <c r="L352" s="110" t="s">
        <v>371</v>
      </c>
      <c r="M352" s="82">
        <v>3</v>
      </c>
      <c r="N352" s="82" t="s">
        <v>175</v>
      </c>
      <c r="O352" s="117" t="s">
        <v>367</v>
      </c>
      <c r="P352" s="123" t="e">
        <f t="shared" si="4"/>
        <v>#N/A</v>
      </c>
      <c r="Q352" s="119" t="str">
        <f>VLOOKUP($B352,'Component List'!$A$2:$B$30,2,FALSE)</f>
        <v>MD9</v>
      </c>
      <c r="R352" s="77" t="str">
        <f>VLOOKUP($C352,'Component List'!C$2:D$28,2,FALSE)</f>
        <v>LE0</v>
      </c>
      <c r="S352" s="77" t="str">
        <f>VLOOKUP($D352,'Component List'!E$2:F$30,2,FALSE)</f>
        <v>D</v>
      </c>
      <c r="T352" s="77">
        <f>VLOOKUP($E352,'Component List'!G$2:H$30,2,FALSE)</f>
        <v>200</v>
      </c>
      <c r="U352" s="77">
        <f>VLOOKUP($F352,'Component List'!I$2:J$30,2,FALSE)</f>
        <v>200</v>
      </c>
      <c r="V352" s="77">
        <f>VLOOKUP(G352,'Component List'!K$2:L$30,2,FALSE)</f>
        <v>100</v>
      </c>
      <c r="W352" s="77">
        <f>VLOOKUP(H352,'Component List'!M$2:N$31,2,FALSE)</f>
        <v>202</v>
      </c>
      <c r="X352" s="77">
        <f>VLOOKUP(I352,'Component List'!O$2:P$30,2,FALSE)</f>
        <v>200</v>
      </c>
      <c r="Y352" s="77">
        <f>VLOOKUP(J352,'Component List'!Q$2:R$30,2,FALSE)</f>
        <v>200</v>
      </c>
      <c r="Z352" s="77" t="e">
        <f>VLOOKUP(K352,'Component List'!S$2:T$30,2,FALSE)</f>
        <v>#N/A</v>
      </c>
      <c r="AA352" s="77" t="e">
        <f>VLOOKUP(L352,'Component List'!U$2:V$30,2,FALSE)</f>
        <v>#N/A</v>
      </c>
      <c r="AB352" s="77">
        <f>VLOOKUP(M352,'Component List'!AA$2:AB$30,2,FALSE)</f>
        <v>3</v>
      </c>
      <c r="AC352" s="77" t="str">
        <f>VLOOKUP(N352,'Component List'!Y$2:Z$30,2,FALSE)</f>
        <v>P</v>
      </c>
      <c r="AD352" s="159" t="e">
        <f>VLOOKUP(O352,'Component List'!W$3:X$30,2,FALSE)</f>
        <v>#N/A</v>
      </c>
    </row>
    <row r="353" spans="1:30" ht="30" customHeight="1" x14ac:dyDescent="0.3">
      <c r="A353" s="239"/>
      <c r="B353" s="101" t="s">
        <v>250</v>
      </c>
      <c r="C353" s="100" t="s">
        <v>244</v>
      </c>
      <c r="D353" s="80" t="s">
        <v>136</v>
      </c>
      <c r="E353" s="111" t="s">
        <v>206</v>
      </c>
      <c r="F353" s="100" t="s">
        <v>42</v>
      </c>
      <c r="G353" s="100" t="s">
        <v>172</v>
      </c>
      <c r="H353" s="82" t="s">
        <v>248</v>
      </c>
      <c r="I353" s="100" t="s">
        <v>185</v>
      </c>
      <c r="J353" s="100" t="s">
        <v>186</v>
      </c>
      <c r="K353" s="110" t="s">
        <v>371</v>
      </c>
      <c r="L353" s="110" t="s">
        <v>371</v>
      </c>
      <c r="M353" s="82">
        <v>3</v>
      </c>
      <c r="N353" s="82" t="s">
        <v>187</v>
      </c>
      <c r="O353" s="117" t="s">
        <v>367</v>
      </c>
      <c r="P353" s="123" t="e">
        <f t="shared" si="4"/>
        <v>#N/A</v>
      </c>
      <c r="Q353" s="119" t="str">
        <f>VLOOKUP($B353,'Component List'!$A$2:$B$30,2,FALSE)</f>
        <v>MD9</v>
      </c>
      <c r="R353" s="77" t="str">
        <f>VLOOKUP($C353,'Component List'!C$2:D$28,2,FALSE)</f>
        <v>LE0</v>
      </c>
      <c r="S353" s="77" t="str">
        <f>VLOOKUP($D353,'Component List'!E$2:F$30,2,FALSE)</f>
        <v>D</v>
      </c>
      <c r="T353" s="77">
        <f>VLOOKUP($E353,'Component List'!G$2:H$30,2,FALSE)</f>
        <v>200</v>
      </c>
      <c r="U353" s="77">
        <f>VLOOKUP($F353,'Component List'!I$2:J$30,2,FALSE)</f>
        <v>200</v>
      </c>
      <c r="V353" s="77">
        <f>VLOOKUP(G353,'Component List'!K$2:L$30,2,FALSE)</f>
        <v>100</v>
      </c>
      <c r="W353" s="77">
        <f>VLOOKUP(H353,'Component List'!M$2:N$31,2,FALSE)</f>
        <v>202</v>
      </c>
      <c r="X353" s="77">
        <f>VLOOKUP(I353,'Component List'!O$2:P$30,2,FALSE)</f>
        <v>200</v>
      </c>
      <c r="Y353" s="77">
        <f>VLOOKUP(J353,'Component List'!Q$2:R$30,2,FALSE)</f>
        <v>200</v>
      </c>
      <c r="Z353" s="77" t="e">
        <f>VLOOKUP(K353,'Component List'!S$2:T$30,2,FALSE)</f>
        <v>#N/A</v>
      </c>
      <c r="AA353" s="77" t="e">
        <f>VLOOKUP(L353,'Component List'!U$2:V$30,2,FALSE)</f>
        <v>#N/A</v>
      </c>
      <c r="AB353" s="77">
        <f>VLOOKUP(M353,'Component List'!AA$2:AB$30,2,FALSE)</f>
        <v>3</v>
      </c>
      <c r="AC353" s="77" t="str">
        <f>VLOOKUP(N353,'Component List'!Y$2:Z$30,2,FALSE)</f>
        <v>C</v>
      </c>
      <c r="AD353" s="159" t="e">
        <f>VLOOKUP(O353,'Component List'!W$3:X$30,2,FALSE)</f>
        <v>#N/A</v>
      </c>
    </row>
    <row r="354" spans="1:30" ht="30" customHeight="1" x14ac:dyDescent="0.3">
      <c r="A354" s="239"/>
      <c r="B354" s="101" t="s">
        <v>250</v>
      </c>
      <c r="C354" s="82" t="s">
        <v>237</v>
      </c>
      <c r="D354" s="80" t="s">
        <v>136</v>
      </c>
      <c r="E354" s="102" t="s">
        <v>246</v>
      </c>
      <c r="F354" s="82" t="s">
        <v>40</v>
      </c>
      <c r="G354" s="100" t="s">
        <v>172</v>
      </c>
      <c r="H354" s="82" t="s">
        <v>274</v>
      </c>
      <c r="I354" s="100" t="s">
        <v>185</v>
      </c>
      <c r="J354" s="82" t="s">
        <v>199</v>
      </c>
      <c r="K354" s="110" t="s">
        <v>371</v>
      </c>
      <c r="L354" s="110" t="s">
        <v>371</v>
      </c>
      <c r="M354" s="82">
        <v>1</v>
      </c>
      <c r="N354" s="82" t="s">
        <v>175</v>
      </c>
      <c r="O354" s="117" t="s">
        <v>367</v>
      </c>
      <c r="P354" s="123" t="e">
        <f t="shared" si="4"/>
        <v>#N/A</v>
      </c>
      <c r="Q354" s="119" t="str">
        <f>VLOOKUP($B354,'Component List'!$A$2:$B$30,2,FALSE)</f>
        <v>MD9</v>
      </c>
      <c r="R354" s="77" t="str">
        <f>VLOOKUP($C354,'Component List'!C$2:D$28,2,FALSE)</f>
        <v>PLS</v>
      </c>
      <c r="S354" s="77" t="str">
        <f>VLOOKUP($D354,'Component List'!E$2:F$30,2,FALSE)</f>
        <v>D</v>
      </c>
      <c r="T354" s="77">
        <f>VLOOKUP($E354,'Component List'!G$2:H$30,2,FALSE)</f>
        <v>301</v>
      </c>
      <c r="U354" s="77">
        <f>VLOOKUP($F354,'Component List'!I$2:J$30,2,FALSE)</f>
        <v>202</v>
      </c>
      <c r="V354" s="77">
        <f>VLOOKUP(G354,'Component List'!K$2:L$30,2,FALSE)</f>
        <v>100</v>
      </c>
      <c r="W354" s="77">
        <f>VLOOKUP(H354,'Component List'!M$2:N$31,2,FALSE)</f>
        <v>300</v>
      </c>
      <c r="X354" s="77">
        <f>VLOOKUP(I354,'Component List'!O$2:P$30,2,FALSE)</f>
        <v>200</v>
      </c>
      <c r="Y354" s="77">
        <f>VLOOKUP(J354,'Component List'!Q$2:R$30,2,FALSE)</f>
        <v>201</v>
      </c>
      <c r="Z354" s="77" t="e">
        <f>VLOOKUP(K354,'Component List'!S$2:T$30,2,FALSE)</f>
        <v>#N/A</v>
      </c>
      <c r="AA354" s="77" t="e">
        <f>VLOOKUP(L354,'Component List'!U$2:V$30,2,FALSE)</f>
        <v>#N/A</v>
      </c>
      <c r="AB354" s="77">
        <f>VLOOKUP(M354,'Component List'!AA$2:AB$30,2,FALSE)</f>
        <v>1</v>
      </c>
      <c r="AC354" s="77" t="str">
        <f>VLOOKUP(N354,'Component List'!Y$2:Z$30,2,FALSE)</f>
        <v>P</v>
      </c>
      <c r="AD354" s="159" t="e">
        <f>VLOOKUP(O354,'Component List'!W$3:X$30,2,FALSE)</f>
        <v>#N/A</v>
      </c>
    </row>
    <row r="355" spans="1:30" ht="30" customHeight="1" x14ac:dyDescent="0.3">
      <c r="A355" s="239"/>
      <c r="B355" s="101" t="s">
        <v>250</v>
      </c>
      <c r="C355" s="82" t="s">
        <v>237</v>
      </c>
      <c r="D355" s="80" t="s">
        <v>136</v>
      </c>
      <c r="E355" s="102" t="s">
        <v>246</v>
      </c>
      <c r="F355" s="82" t="s">
        <v>40</v>
      </c>
      <c r="G355" s="100" t="s">
        <v>172</v>
      </c>
      <c r="H355" s="82" t="s">
        <v>274</v>
      </c>
      <c r="I355" s="100" t="s">
        <v>185</v>
      </c>
      <c r="J355" s="82" t="s">
        <v>199</v>
      </c>
      <c r="K355" s="110" t="s">
        <v>371</v>
      </c>
      <c r="L355" s="110" t="s">
        <v>371</v>
      </c>
      <c r="M355" s="82">
        <v>1</v>
      </c>
      <c r="N355" s="82" t="s">
        <v>187</v>
      </c>
      <c r="O355" s="117" t="s">
        <v>367</v>
      </c>
      <c r="P355" s="123" t="e">
        <f t="shared" si="4"/>
        <v>#N/A</v>
      </c>
      <c r="Q355" s="119" t="str">
        <f>VLOOKUP($B355,'Component List'!$A$2:$B$30,2,FALSE)</f>
        <v>MD9</v>
      </c>
      <c r="R355" s="77" t="str">
        <f>VLOOKUP($C355,'Component List'!C$2:D$28,2,FALSE)</f>
        <v>PLS</v>
      </c>
      <c r="S355" s="77" t="str">
        <f>VLOOKUP($D355,'Component List'!E$2:F$30,2,FALSE)</f>
        <v>D</v>
      </c>
      <c r="T355" s="77">
        <f>VLOOKUP($E355,'Component List'!G$2:H$30,2,FALSE)</f>
        <v>301</v>
      </c>
      <c r="U355" s="77">
        <f>VLOOKUP($F355,'Component List'!I$2:J$30,2,FALSE)</f>
        <v>202</v>
      </c>
      <c r="V355" s="77">
        <f>VLOOKUP(G355,'Component List'!K$2:L$30,2,FALSE)</f>
        <v>100</v>
      </c>
      <c r="W355" s="77">
        <f>VLOOKUP(H355,'Component List'!M$2:N$31,2,FALSE)</f>
        <v>300</v>
      </c>
      <c r="X355" s="77">
        <f>VLOOKUP(I355,'Component List'!O$2:P$30,2,FALSE)</f>
        <v>200</v>
      </c>
      <c r="Y355" s="77">
        <f>VLOOKUP(J355,'Component List'!Q$2:R$30,2,FALSE)</f>
        <v>201</v>
      </c>
      <c r="Z355" s="77" t="e">
        <f>VLOOKUP(K355,'Component List'!S$2:T$30,2,FALSE)</f>
        <v>#N/A</v>
      </c>
      <c r="AA355" s="77" t="e">
        <f>VLOOKUP(L355,'Component List'!U$2:V$30,2,FALSE)</f>
        <v>#N/A</v>
      </c>
      <c r="AB355" s="77">
        <f>VLOOKUP(M355,'Component List'!AA$2:AB$30,2,FALSE)</f>
        <v>1</v>
      </c>
      <c r="AC355" s="77" t="str">
        <f>VLOOKUP(N355,'Component List'!Y$2:Z$30,2,FALSE)</f>
        <v>C</v>
      </c>
      <c r="AD355" s="159" t="e">
        <f>VLOOKUP(O355,'Component List'!W$3:X$30,2,FALSE)</f>
        <v>#N/A</v>
      </c>
    </row>
    <row r="356" spans="1:30" ht="30" customHeight="1" x14ac:dyDescent="0.3">
      <c r="A356" s="239"/>
      <c r="B356" s="101" t="s">
        <v>250</v>
      </c>
      <c r="C356" s="82" t="s">
        <v>237</v>
      </c>
      <c r="D356" s="80" t="s">
        <v>136</v>
      </c>
      <c r="E356" s="102" t="s">
        <v>246</v>
      </c>
      <c r="F356" s="82" t="s">
        <v>40</v>
      </c>
      <c r="G356" s="100" t="s">
        <v>172</v>
      </c>
      <c r="H356" s="82" t="s">
        <v>274</v>
      </c>
      <c r="I356" s="100" t="s">
        <v>185</v>
      </c>
      <c r="J356" s="82" t="s">
        <v>199</v>
      </c>
      <c r="K356" s="110" t="s">
        <v>371</v>
      </c>
      <c r="L356" s="110" t="s">
        <v>371</v>
      </c>
      <c r="M356" s="82">
        <v>2</v>
      </c>
      <c r="N356" s="82" t="s">
        <v>175</v>
      </c>
      <c r="O356" s="117" t="s">
        <v>367</v>
      </c>
      <c r="P356" s="123" t="e">
        <f t="shared" si="4"/>
        <v>#N/A</v>
      </c>
      <c r="Q356" s="119" t="str">
        <f>VLOOKUP($B356,'Component List'!$A$2:$B$30,2,FALSE)</f>
        <v>MD9</v>
      </c>
      <c r="R356" s="77" t="str">
        <f>VLOOKUP($C356,'Component List'!C$2:D$28,2,FALSE)</f>
        <v>PLS</v>
      </c>
      <c r="S356" s="77" t="str">
        <f>VLOOKUP($D356,'Component List'!E$2:F$30,2,FALSE)</f>
        <v>D</v>
      </c>
      <c r="T356" s="77">
        <f>VLOOKUP($E356,'Component List'!G$2:H$30,2,FALSE)</f>
        <v>301</v>
      </c>
      <c r="U356" s="77">
        <f>VLOOKUP($F356,'Component List'!I$2:J$30,2,FALSE)</f>
        <v>202</v>
      </c>
      <c r="V356" s="77">
        <f>VLOOKUP(G356,'Component List'!K$2:L$30,2,FALSE)</f>
        <v>100</v>
      </c>
      <c r="W356" s="77">
        <f>VLOOKUP(H356,'Component List'!M$2:N$31,2,FALSE)</f>
        <v>300</v>
      </c>
      <c r="X356" s="77">
        <f>VLOOKUP(I356,'Component List'!O$2:P$30,2,FALSE)</f>
        <v>200</v>
      </c>
      <c r="Y356" s="77">
        <f>VLOOKUP(J356,'Component List'!Q$2:R$30,2,FALSE)</f>
        <v>201</v>
      </c>
      <c r="Z356" s="77" t="e">
        <f>VLOOKUP(K356,'Component List'!S$2:T$30,2,FALSE)</f>
        <v>#N/A</v>
      </c>
      <c r="AA356" s="77" t="e">
        <f>VLOOKUP(L356,'Component List'!U$2:V$30,2,FALSE)</f>
        <v>#N/A</v>
      </c>
      <c r="AB356" s="77">
        <f>VLOOKUP(M356,'Component List'!AA$2:AB$30,2,FALSE)</f>
        <v>2</v>
      </c>
      <c r="AC356" s="77" t="str">
        <f>VLOOKUP(N356,'Component List'!Y$2:Z$30,2,FALSE)</f>
        <v>P</v>
      </c>
      <c r="AD356" s="159" t="e">
        <f>VLOOKUP(O356,'Component List'!W$3:X$30,2,FALSE)</f>
        <v>#N/A</v>
      </c>
    </row>
    <row r="357" spans="1:30" ht="30" customHeight="1" x14ac:dyDescent="0.3">
      <c r="A357" s="239"/>
      <c r="B357" s="101" t="s">
        <v>250</v>
      </c>
      <c r="C357" s="82" t="s">
        <v>237</v>
      </c>
      <c r="D357" s="80" t="s">
        <v>136</v>
      </c>
      <c r="E357" s="102" t="s">
        <v>246</v>
      </c>
      <c r="F357" s="82" t="s">
        <v>40</v>
      </c>
      <c r="G357" s="100" t="s">
        <v>172</v>
      </c>
      <c r="H357" s="82" t="s">
        <v>274</v>
      </c>
      <c r="I357" s="100" t="s">
        <v>185</v>
      </c>
      <c r="J357" s="82" t="s">
        <v>199</v>
      </c>
      <c r="K357" s="110" t="s">
        <v>371</v>
      </c>
      <c r="L357" s="110" t="s">
        <v>371</v>
      </c>
      <c r="M357" s="82">
        <v>2</v>
      </c>
      <c r="N357" s="82" t="s">
        <v>187</v>
      </c>
      <c r="O357" s="117" t="s">
        <v>367</v>
      </c>
      <c r="P357" s="123" t="e">
        <f t="shared" si="4"/>
        <v>#N/A</v>
      </c>
      <c r="Q357" s="119" t="str">
        <f>VLOOKUP($B357,'Component List'!$A$2:$B$30,2,FALSE)</f>
        <v>MD9</v>
      </c>
      <c r="R357" s="77" t="str">
        <f>VLOOKUP($C357,'Component List'!C$2:D$28,2,FALSE)</f>
        <v>PLS</v>
      </c>
      <c r="S357" s="77" t="str">
        <f>VLOOKUP($D357,'Component List'!E$2:F$30,2,FALSE)</f>
        <v>D</v>
      </c>
      <c r="T357" s="77">
        <f>VLOOKUP($E357,'Component List'!G$2:H$30,2,FALSE)</f>
        <v>301</v>
      </c>
      <c r="U357" s="77">
        <f>VLOOKUP($F357,'Component List'!I$2:J$30,2,FALSE)</f>
        <v>202</v>
      </c>
      <c r="V357" s="77">
        <f>VLOOKUP(G357,'Component List'!K$2:L$30,2,FALSE)</f>
        <v>100</v>
      </c>
      <c r="W357" s="77">
        <f>VLOOKUP(H362,'Component List'!M$2:N$31,2,FALSE)</f>
        <v>300</v>
      </c>
      <c r="X357" s="77">
        <f>VLOOKUP(I357,'Component List'!O$2:P$30,2,FALSE)</f>
        <v>200</v>
      </c>
      <c r="Y357" s="77">
        <f>VLOOKUP(J357,'Component List'!Q$2:R$30,2,FALSE)</f>
        <v>201</v>
      </c>
      <c r="Z357" s="77" t="e">
        <f>VLOOKUP(K357,'Component List'!S$2:T$30,2,FALSE)</f>
        <v>#N/A</v>
      </c>
      <c r="AA357" s="77" t="e">
        <f>VLOOKUP(L357,'Component List'!U$2:V$30,2,FALSE)</f>
        <v>#N/A</v>
      </c>
      <c r="AB357" s="77">
        <f>VLOOKUP(M357,'Component List'!AA$2:AB$30,2,FALSE)</f>
        <v>2</v>
      </c>
      <c r="AC357" s="77" t="str">
        <f>VLOOKUP(N357,'Component List'!Y$2:Z$30,2,FALSE)</f>
        <v>C</v>
      </c>
      <c r="AD357" s="159" t="e">
        <f>VLOOKUP(O357,'Component List'!W$3:X$30,2,FALSE)</f>
        <v>#N/A</v>
      </c>
    </row>
    <row r="358" spans="1:30" ht="30" customHeight="1" x14ac:dyDescent="0.3">
      <c r="A358" s="239"/>
      <c r="B358" s="101" t="s">
        <v>250</v>
      </c>
      <c r="C358" s="82" t="s">
        <v>237</v>
      </c>
      <c r="D358" s="80" t="s">
        <v>136</v>
      </c>
      <c r="E358" s="102" t="s">
        <v>246</v>
      </c>
      <c r="F358" s="82" t="s">
        <v>40</v>
      </c>
      <c r="G358" s="100" t="s">
        <v>172</v>
      </c>
      <c r="H358" s="82" t="s">
        <v>274</v>
      </c>
      <c r="I358" s="100" t="s">
        <v>185</v>
      </c>
      <c r="J358" s="82" t="s">
        <v>199</v>
      </c>
      <c r="K358" s="110" t="s">
        <v>371</v>
      </c>
      <c r="L358" s="110" t="s">
        <v>371</v>
      </c>
      <c r="M358" s="82">
        <v>3</v>
      </c>
      <c r="N358" s="82" t="s">
        <v>175</v>
      </c>
      <c r="O358" s="117" t="s">
        <v>367</v>
      </c>
      <c r="P358" s="123" t="e">
        <f t="shared" si="4"/>
        <v>#N/A</v>
      </c>
      <c r="Q358" s="119" t="str">
        <f>VLOOKUP($B358,'Component List'!$A$2:$B$30,2,FALSE)</f>
        <v>MD9</v>
      </c>
      <c r="R358" s="77" t="str">
        <f>VLOOKUP($C358,'Component List'!C$2:D$28,2,FALSE)</f>
        <v>PLS</v>
      </c>
      <c r="S358" s="77" t="str">
        <f>VLOOKUP($D358,'Component List'!E$2:F$30,2,FALSE)</f>
        <v>D</v>
      </c>
      <c r="T358" s="77">
        <f>VLOOKUP($E358,'Component List'!G$2:H$30,2,FALSE)</f>
        <v>301</v>
      </c>
      <c r="U358" s="77">
        <f>VLOOKUP($F358,'Component List'!I$2:J$30,2,FALSE)</f>
        <v>202</v>
      </c>
      <c r="V358" s="77">
        <f>VLOOKUP(G358,'Component List'!K$2:L$30,2,FALSE)</f>
        <v>100</v>
      </c>
      <c r="W358" s="77">
        <f>VLOOKUP(H374,'Component List'!M$2:N$31,2,FALSE)</f>
        <v>102</v>
      </c>
      <c r="X358" s="77">
        <f>VLOOKUP(I358,'Component List'!O$2:P$30,2,FALSE)</f>
        <v>200</v>
      </c>
      <c r="Y358" s="77">
        <f>VLOOKUP(J358,'Component List'!Q$2:R$30,2,FALSE)</f>
        <v>201</v>
      </c>
      <c r="Z358" s="77" t="e">
        <f>VLOOKUP(K358,'Component List'!S$2:T$30,2,FALSE)</f>
        <v>#N/A</v>
      </c>
      <c r="AA358" s="77" t="e">
        <f>VLOOKUP(L358,'Component List'!U$2:V$30,2,FALSE)</f>
        <v>#N/A</v>
      </c>
      <c r="AB358" s="77">
        <f>VLOOKUP(M358,'Component List'!AA$2:AB$30,2,FALSE)</f>
        <v>3</v>
      </c>
      <c r="AC358" s="77" t="str">
        <f>VLOOKUP(N358,'Component List'!Y$2:Z$30,2,FALSE)</f>
        <v>P</v>
      </c>
      <c r="AD358" s="159" t="e">
        <f>VLOOKUP(O358,'Component List'!W$3:X$30,2,FALSE)</f>
        <v>#N/A</v>
      </c>
    </row>
    <row r="359" spans="1:30" ht="30" customHeight="1" thickBot="1" x14ac:dyDescent="0.35">
      <c r="A359" s="239"/>
      <c r="B359" s="101" t="s">
        <v>250</v>
      </c>
      <c r="C359" s="82" t="s">
        <v>237</v>
      </c>
      <c r="D359" s="80" t="s">
        <v>136</v>
      </c>
      <c r="E359" s="102" t="s">
        <v>246</v>
      </c>
      <c r="F359" s="82" t="s">
        <v>40</v>
      </c>
      <c r="G359" s="100" t="s">
        <v>172</v>
      </c>
      <c r="H359" s="82" t="s">
        <v>274</v>
      </c>
      <c r="I359" s="100" t="s">
        <v>185</v>
      </c>
      <c r="J359" s="82" t="s">
        <v>199</v>
      </c>
      <c r="K359" s="110" t="s">
        <v>371</v>
      </c>
      <c r="L359" s="110" t="s">
        <v>371</v>
      </c>
      <c r="M359" s="82">
        <v>3</v>
      </c>
      <c r="N359" s="82" t="s">
        <v>187</v>
      </c>
      <c r="O359" s="117" t="s">
        <v>367</v>
      </c>
      <c r="P359" s="123" t="e">
        <f t="shared" si="4"/>
        <v>#N/A</v>
      </c>
      <c r="Q359" s="119" t="str">
        <f>VLOOKUP($B359,'Component List'!$A$2:$B$30,2,FALSE)</f>
        <v>MD9</v>
      </c>
      <c r="R359" s="77" t="str">
        <f>VLOOKUP($C359,'Component List'!C$2:D$28,2,FALSE)</f>
        <v>PLS</v>
      </c>
      <c r="S359" s="77" t="str">
        <f>VLOOKUP($D359,'Component List'!E$2:F$30,2,FALSE)</f>
        <v>D</v>
      </c>
      <c r="T359" s="77">
        <f>VLOOKUP($E359,'Component List'!G$2:H$30,2,FALSE)</f>
        <v>301</v>
      </c>
      <c r="U359" s="77">
        <f>VLOOKUP($F359,'Component List'!I$2:J$30,2,FALSE)</f>
        <v>202</v>
      </c>
      <c r="V359" s="77">
        <f>VLOOKUP(G359,'Component List'!K$2:L$30,2,FALSE)</f>
        <v>100</v>
      </c>
      <c r="W359" s="77">
        <f>VLOOKUP(H359,'Component List'!M$2:N$31,2,FALSE)</f>
        <v>300</v>
      </c>
      <c r="X359" s="77">
        <f>VLOOKUP(I359,'Component List'!O$2:P$30,2,FALSE)</f>
        <v>200</v>
      </c>
      <c r="Y359" s="77">
        <f>VLOOKUP(J359,'Component List'!Q$2:R$30,2,FALSE)</f>
        <v>201</v>
      </c>
      <c r="Z359" s="77" t="e">
        <f>VLOOKUP(K359,'Component List'!S$2:T$30,2,FALSE)</f>
        <v>#N/A</v>
      </c>
      <c r="AA359" s="77" t="e">
        <f>VLOOKUP(L359,'Component List'!U$2:V$30,2,FALSE)</f>
        <v>#N/A</v>
      </c>
      <c r="AB359" s="77">
        <f>VLOOKUP(M359,'Component List'!AA$2:AB$30,2,FALSE)</f>
        <v>3</v>
      </c>
      <c r="AC359" s="77" t="str">
        <f>VLOOKUP(N359,'Component List'!Y$2:Z$30,2,FALSE)</f>
        <v>C</v>
      </c>
      <c r="AD359" s="159" t="e">
        <f>VLOOKUP(O359,'Component List'!W$3:X$30,2,FALSE)</f>
        <v>#N/A</v>
      </c>
    </row>
    <row r="360" spans="1:30" ht="30" customHeight="1" x14ac:dyDescent="0.3">
      <c r="A360" s="239"/>
      <c r="B360" s="101" t="s">
        <v>250</v>
      </c>
      <c r="C360" s="82" t="s">
        <v>237</v>
      </c>
      <c r="D360" s="80" t="s">
        <v>136</v>
      </c>
      <c r="E360" s="102" t="s">
        <v>246</v>
      </c>
      <c r="F360" s="82" t="s">
        <v>240</v>
      </c>
      <c r="G360" s="100" t="s">
        <v>172</v>
      </c>
      <c r="H360" s="82" t="s">
        <v>274</v>
      </c>
      <c r="I360" s="121" t="s">
        <v>198</v>
      </c>
      <c r="J360" s="121" t="s">
        <v>143</v>
      </c>
      <c r="K360" s="110" t="s">
        <v>371</v>
      </c>
      <c r="L360" s="110" t="s">
        <v>371</v>
      </c>
      <c r="M360" s="82">
        <v>1</v>
      </c>
      <c r="N360" s="82" t="s">
        <v>175</v>
      </c>
      <c r="O360" s="117" t="s">
        <v>367</v>
      </c>
      <c r="P360" s="123" t="e">
        <f t="shared" si="4"/>
        <v>#N/A</v>
      </c>
      <c r="Q360" s="119" t="str">
        <f>VLOOKUP($B360,'Component List'!$A$2:$B$30,2,FALSE)</f>
        <v>MD9</v>
      </c>
      <c r="R360" s="77" t="str">
        <f>VLOOKUP($C360,'Component List'!C$2:D$28,2,FALSE)</f>
        <v>PLS</v>
      </c>
      <c r="S360" s="77" t="str">
        <f>VLOOKUP($D360,'Component List'!E$2:F$30,2,FALSE)</f>
        <v>D</v>
      </c>
      <c r="T360" s="77">
        <f>VLOOKUP($E360,'Component List'!G$2:H$30,2,FALSE)</f>
        <v>301</v>
      </c>
      <c r="U360" s="77">
        <f>VLOOKUP($F360,'Component List'!I$2:J$30,2,FALSE)</f>
        <v>107</v>
      </c>
      <c r="V360" s="77">
        <f>VLOOKUP(G360,'Component List'!K$2:L$30,2,FALSE)</f>
        <v>100</v>
      </c>
      <c r="W360" s="77">
        <f>VLOOKUP(H360,'Component List'!M$2:N$31,2,FALSE)</f>
        <v>300</v>
      </c>
      <c r="X360" s="77">
        <f>VLOOKUP(I360,'Component List'!O$2:P$30,2,FALSE)</f>
        <v>100</v>
      </c>
      <c r="Y360" s="77" t="str">
        <f>VLOOKUP(J360,'Component List'!Q$2:R$30,2,FALSE)</f>
        <v>000</v>
      </c>
      <c r="Z360" s="77" t="e">
        <f>VLOOKUP(K360,'Component List'!S$2:T$30,2,FALSE)</f>
        <v>#N/A</v>
      </c>
      <c r="AA360" s="77" t="e">
        <f>VLOOKUP(L360,'Component List'!U$2:V$30,2,FALSE)</f>
        <v>#N/A</v>
      </c>
      <c r="AB360" s="77">
        <f>VLOOKUP(M360,'Component List'!AA$2:AB$30,2,FALSE)</f>
        <v>1</v>
      </c>
      <c r="AC360" s="77" t="str">
        <f>VLOOKUP(N360,'Component List'!Y$2:Z$30,2,FALSE)</f>
        <v>P</v>
      </c>
      <c r="AD360" s="159" t="e">
        <f>VLOOKUP(O360,'Component List'!W$3:X$30,2,FALSE)</f>
        <v>#N/A</v>
      </c>
    </row>
    <row r="361" spans="1:30" ht="30" customHeight="1" x14ac:dyDescent="0.3">
      <c r="A361" s="239"/>
      <c r="B361" s="101" t="s">
        <v>250</v>
      </c>
      <c r="C361" s="82" t="s">
        <v>237</v>
      </c>
      <c r="D361" s="80" t="s">
        <v>136</v>
      </c>
      <c r="E361" s="102" t="s">
        <v>246</v>
      </c>
      <c r="F361" s="82" t="s">
        <v>240</v>
      </c>
      <c r="G361" s="100" t="s">
        <v>172</v>
      </c>
      <c r="H361" s="82" t="s">
        <v>274</v>
      </c>
      <c r="I361" s="110" t="s">
        <v>198</v>
      </c>
      <c r="J361" s="110" t="s">
        <v>143</v>
      </c>
      <c r="K361" s="110" t="s">
        <v>371</v>
      </c>
      <c r="L361" s="110" t="s">
        <v>371</v>
      </c>
      <c r="M361" s="82">
        <v>1</v>
      </c>
      <c r="N361" s="82" t="s">
        <v>187</v>
      </c>
      <c r="O361" s="117" t="s">
        <v>367</v>
      </c>
      <c r="P361" s="123" t="e">
        <f t="shared" si="4"/>
        <v>#N/A</v>
      </c>
      <c r="Q361" s="119" t="str">
        <f>VLOOKUP($B361,'Component List'!$A$2:$B$30,2,FALSE)</f>
        <v>MD9</v>
      </c>
      <c r="R361" s="77" t="str">
        <f>VLOOKUP($C361,'Component List'!C$2:D$28,2,FALSE)</f>
        <v>PLS</v>
      </c>
      <c r="S361" s="77" t="str">
        <f>VLOOKUP($D361,'Component List'!E$2:F$30,2,FALSE)</f>
        <v>D</v>
      </c>
      <c r="T361" s="77">
        <f>VLOOKUP($E361,'Component List'!G$2:H$30,2,FALSE)</f>
        <v>301</v>
      </c>
      <c r="U361" s="77">
        <f>VLOOKUP($F361,'Component List'!I$2:J$30,2,FALSE)</f>
        <v>107</v>
      </c>
      <c r="V361" s="77">
        <f>VLOOKUP(G361,'Component List'!K$2:L$30,2,FALSE)</f>
        <v>100</v>
      </c>
      <c r="W361" s="77">
        <f>VLOOKUP(H372,'Component List'!M$2:N$31,2,FALSE)</f>
        <v>102</v>
      </c>
      <c r="X361" s="77">
        <f>VLOOKUP(I361,'Component List'!O$2:P$30,2,FALSE)</f>
        <v>100</v>
      </c>
      <c r="Y361" s="77" t="str">
        <f>VLOOKUP(J361,'Component List'!Q$2:R$30,2,FALSE)</f>
        <v>000</v>
      </c>
      <c r="Z361" s="77" t="e">
        <f>VLOOKUP(K361,'Component List'!S$2:T$30,2,FALSE)</f>
        <v>#N/A</v>
      </c>
      <c r="AA361" s="77" t="e">
        <f>VLOOKUP(L361,'Component List'!U$2:V$30,2,FALSE)</f>
        <v>#N/A</v>
      </c>
      <c r="AB361" s="77">
        <f>VLOOKUP(M361,'Component List'!AA$2:AB$30,2,FALSE)</f>
        <v>1</v>
      </c>
      <c r="AC361" s="77" t="str">
        <f>VLOOKUP(N361,'Component List'!Y$2:Z$30,2,FALSE)</f>
        <v>C</v>
      </c>
      <c r="AD361" s="159" t="e">
        <f>VLOOKUP(O361,'Component List'!W$3:X$30,2,FALSE)</f>
        <v>#N/A</v>
      </c>
    </row>
    <row r="362" spans="1:30" ht="30" customHeight="1" x14ac:dyDescent="0.3">
      <c r="A362" s="239"/>
      <c r="B362" s="101" t="s">
        <v>250</v>
      </c>
      <c r="C362" s="82" t="s">
        <v>237</v>
      </c>
      <c r="D362" s="80" t="s">
        <v>136</v>
      </c>
      <c r="E362" s="102" t="s">
        <v>246</v>
      </c>
      <c r="F362" s="82" t="s">
        <v>240</v>
      </c>
      <c r="G362" s="100" t="s">
        <v>172</v>
      </c>
      <c r="H362" s="82" t="s">
        <v>274</v>
      </c>
      <c r="I362" s="110" t="s">
        <v>198</v>
      </c>
      <c r="J362" s="110" t="s">
        <v>143</v>
      </c>
      <c r="K362" s="110" t="s">
        <v>371</v>
      </c>
      <c r="L362" s="110" t="s">
        <v>371</v>
      </c>
      <c r="M362" s="82">
        <v>2</v>
      </c>
      <c r="N362" s="82" t="s">
        <v>175</v>
      </c>
      <c r="O362" s="117" t="s">
        <v>367</v>
      </c>
      <c r="P362" s="123" t="e">
        <f t="shared" si="4"/>
        <v>#N/A</v>
      </c>
      <c r="Q362" s="119" t="str">
        <f>VLOOKUP($B362,'Component List'!$A$2:$B$30,2,FALSE)</f>
        <v>MD9</v>
      </c>
      <c r="R362" s="77" t="str">
        <f>VLOOKUP($C362,'Component List'!C$2:D$28,2,FALSE)</f>
        <v>PLS</v>
      </c>
      <c r="S362" s="77" t="str">
        <f>VLOOKUP($D362,'Component List'!E$2:F$30,2,FALSE)</f>
        <v>D</v>
      </c>
      <c r="T362" s="77">
        <f>VLOOKUP($E362,'Component List'!G$2:H$30,2,FALSE)</f>
        <v>301</v>
      </c>
      <c r="U362" s="77">
        <f>VLOOKUP($F362,'Component List'!I$2:J$30,2,FALSE)</f>
        <v>107</v>
      </c>
      <c r="V362" s="77">
        <f>VLOOKUP(G362,'Component List'!K$2:L$30,2,FALSE)</f>
        <v>100</v>
      </c>
      <c r="W362" s="77">
        <f>VLOOKUP(H378,'Component List'!M$2:N$31,2,FALSE)</f>
        <v>102</v>
      </c>
      <c r="X362" s="77">
        <f>VLOOKUP(I362,'Component List'!O$2:P$30,2,FALSE)</f>
        <v>100</v>
      </c>
      <c r="Y362" s="77" t="str">
        <f>VLOOKUP(J362,'Component List'!Q$2:R$30,2,FALSE)</f>
        <v>000</v>
      </c>
      <c r="Z362" s="77" t="e">
        <f>VLOOKUP(K362,'Component List'!S$2:T$30,2,FALSE)</f>
        <v>#N/A</v>
      </c>
      <c r="AA362" s="77" t="e">
        <f>VLOOKUP(L362,'Component List'!U$2:V$30,2,FALSE)</f>
        <v>#N/A</v>
      </c>
      <c r="AB362" s="77">
        <f>VLOOKUP(M362,'Component List'!AA$2:AB$30,2,FALSE)</f>
        <v>2</v>
      </c>
      <c r="AC362" s="77" t="str">
        <f>VLOOKUP(N362,'Component List'!Y$2:Z$30,2,FALSE)</f>
        <v>P</v>
      </c>
      <c r="AD362" s="159" t="e">
        <f>VLOOKUP(O362,'Component List'!W$3:X$30,2,FALSE)</f>
        <v>#N/A</v>
      </c>
    </row>
    <row r="363" spans="1:30" ht="30" customHeight="1" x14ac:dyDescent="0.3">
      <c r="A363" s="239"/>
      <c r="B363" s="101" t="s">
        <v>250</v>
      </c>
      <c r="C363" s="82" t="s">
        <v>237</v>
      </c>
      <c r="D363" s="80" t="s">
        <v>136</v>
      </c>
      <c r="E363" s="102" t="s">
        <v>246</v>
      </c>
      <c r="F363" s="82" t="s">
        <v>240</v>
      </c>
      <c r="G363" s="100" t="s">
        <v>172</v>
      </c>
      <c r="H363" s="82" t="s">
        <v>274</v>
      </c>
      <c r="I363" s="110" t="s">
        <v>198</v>
      </c>
      <c r="J363" s="110" t="s">
        <v>143</v>
      </c>
      <c r="K363" s="110" t="s">
        <v>371</v>
      </c>
      <c r="L363" s="110" t="s">
        <v>371</v>
      </c>
      <c r="M363" s="82">
        <v>2</v>
      </c>
      <c r="N363" s="82" t="s">
        <v>187</v>
      </c>
      <c r="O363" s="117" t="s">
        <v>367</v>
      </c>
      <c r="P363" s="123" t="e">
        <f t="shared" si="4"/>
        <v>#N/A</v>
      </c>
      <c r="Q363" s="119" t="str">
        <f>VLOOKUP($B363,'Component List'!$A$2:$B$30,2,FALSE)</f>
        <v>MD9</v>
      </c>
      <c r="R363" s="77" t="str">
        <f>VLOOKUP($C363,'Component List'!C$2:D$28,2,FALSE)</f>
        <v>PLS</v>
      </c>
      <c r="S363" s="77" t="str">
        <f>VLOOKUP($D363,'Component List'!E$2:F$30,2,FALSE)</f>
        <v>D</v>
      </c>
      <c r="T363" s="77">
        <f>VLOOKUP($E363,'Component List'!G$2:H$30,2,FALSE)</f>
        <v>301</v>
      </c>
      <c r="U363" s="77">
        <f>VLOOKUP($F363,'Component List'!I$2:J$30,2,FALSE)</f>
        <v>107</v>
      </c>
      <c r="V363" s="77">
        <f>VLOOKUP(G363,'Component List'!K$2:L$30,2,FALSE)</f>
        <v>100</v>
      </c>
      <c r="W363" s="77">
        <f>VLOOKUP(H363,'Component List'!M$2:N$31,2,FALSE)</f>
        <v>300</v>
      </c>
      <c r="X363" s="77">
        <f>VLOOKUP(I363,'Component List'!O$2:P$30,2,FALSE)</f>
        <v>100</v>
      </c>
      <c r="Y363" s="77" t="str">
        <f>VLOOKUP(J363,'Component List'!Q$2:R$30,2,FALSE)</f>
        <v>000</v>
      </c>
      <c r="Z363" s="77" t="e">
        <f>VLOOKUP(K363,'Component List'!S$2:T$30,2,FALSE)</f>
        <v>#N/A</v>
      </c>
      <c r="AA363" s="77" t="e">
        <f>VLOOKUP(L363,'Component List'!U$2:V$30,2,FALSE)</f>
        <v>#N/A</v>
      </c>
      <c r="AB363" s="77">
        <f>VLOOKUP(M363,'Component List'!AA$2:AB$30,2,FALSE)</f>
        <v>2</v>
      </c>
      <c r="AC363" s="77" t="str">
        <f>VLOOKUP(N363,'Component List'!Y$2:Z$30,2,FALSE)</f>
        <v>C</v>
      </c>
      <c r="AD363" s="159" t="e">
        <f>VLOOKUP(O363,'Component List'!W$3:X$30,2,FALSE)</f>
        <v>#N/A</v>
      </c>
    </row>
    <row r="364" spans="1:30" ht="30" customHeight="1" x14ac:dyDescent="0.3">
      <c r="A364" s="239"/>
      <c r="B364" s="101" t="s">
        <v>250</v>
      </c>
      <c r="C364" s="82" t="s">
        <v>237</v>
      </c>
      <c r="D364" s="80" t="s">
        <v>136</v>
      </c>
      <c r="E364" s="102" t="s">
        <v>246</v>
      </c>
      <c r="F364" s="82" t="s">
        <v>240</v>
      </c>
      <c r="G364" s="100" t="s">
        <v>172</v>
      </c>
      <c r="H364" s="82" t="s">
        <v>274</v>
      </c>
      <c r="I364" s="110" t="s">
        <v>198</v>
      </c>
      <c r="J364" s="110" t="s">
        <v>143</v>
      </c>
      <c r="K364" s="110" t="s">
        <v>371</v>
      </c>
      <c r="L364" s="110" t="s">
        <v>371</v>
      </c>
      <c r="M364" s="82">
        <v>3</v>
      </c>
      <c r="N364" s="82" t="s">
        <v>175</v>
      </c>
      <c r="O364" s="117" t="s">
        <v>367</v>
      </c>
      <c r="P364" s="123" t="e">
        <f t="shared" si="4"/>
        <v>#N/A</v>
      </c>
      <c r="Q364" s="119" t="str">
        <f>VLOOKUP($B364,'Component List'!$A$2:$B$30,2,FALSE)</f>
        <v>MD9</v>
      </c>
      <c r="R364" s="77" t="str">
        <f>VLOOKUP($C364,'Component List'!C$2:D$28,2,FALSE)</f>
        <v>PLS</v>
      </c>
      <c r="S364" s="77" t="str">
        <f>VLOOKUP($D364,'Component List'!E$2:F$30,2,FALSE)</f>
        <v>D</v>
      </c>
      <c r="T364" s="77">
        <f>VLOOKUP($E364,'Component List'!G$2:H$30,2,FALSE)</f>
        <v>301</v>
      </c>
      <c r="U364" s="77">
        <f>VLOOKUP($F364,'Component List'!I$2:J$30,2,FALSE)</f>
        <v>107</v>
      </c>
      <c r="V364" s="77">
        <f>VLOOKUP(G364,'Component List'!K$2:L$30,2,FALSE)</f>
        <v>100</v>
      </c>
      <c r="W364" s="77">
        <f>VLOOKUP(H364,'Component List'!M$2:N$31,2,FALSE)</f>
        <v>300</v>
      </c>
      <c r="X364" s="77">
        <f>VLOOKUP(I364,'Component List'!O$2:P$30,2,FALSE)</f>
        <v>100</v>
      </c>
      <c r="Y364" s="77" t="str">
        <f>VLOOKUP(J364,'Component List'!Q$2:R$30,2,FALSE)</f>
        <v>000</v>
      </c>
      <c r="Z364" s="77" t="e">
        <f>VLOOKUP(K364,'Component List'!S$2:T$30,2,FALSE)</f>
        <v>#N/A</v>
      </c>
      <c r="AA364" s="77" t="e">
        <f>VLOOKUP(L364,'Component List'!U$2:V$30,2,FALSE)</f>
        <v>#N/A</v>
      </c>
      <c r="AB364" s="77">
        <f>VLOOKUP(M364,'Component List'!AA$2:AB$30,2,FALSE)</f>
        <v>3</v>
      </c>
      <c r="AC364" s="77" t="str">
        <f>VLOOKUP(N364,'Component List'!Y$2:Z$30,2,FALSE)</f>
        <v>P</v>
      </c>
      <c r="AD364" s="159" t="e">
        <f>VLOOKUP(O364,'Component List'!W$3:X$30,2,FALSE)</f>
        <v>#N/A</v>
      </c>
    </row>
    <row r="365" spans="1:30" ht="30" customHeight="1" thickBot="1" x14ac:dyDescent="0.35">
      <c r="A365" s="239"/>
      <c r="B365" s="101" t="s">
        <v>250</v>
      </c>
      <c r="C365" s="82" t="s">
        <v>237</v>
      </c>
      <c r="D365" s="80" t="s">
        <v>136</v>
      </c>
      <c r="E365" s="102" t="s">
        <v>246</v>
      </c>
      <c r="F365" s="80" t="s">
        <v>240</v>
      </c>
      <c r="G365" s="100" t="s">
        <v>172</v>
      </c>
      <c r="H365" s="82" t="s">
        <v>274</v>
      </c>
      <c r="I365" s="110" t="s">
        <v>198</v>
      </c>
      <c r="J365" s="110" t="s">
        <v>143</v>
      </c>
      <c r="K365" s="110" t="s">
        <v>371</v>
      </c>
      <c r="L365" s="110" t="s">
        <v>371</v>
      </c>
      <c r="M365" s="82">
        <v>3</v>
      </c>
      <c r="N365" s="82" t="s">
        <v>187</v>
      </c>
      <c r="O365" s="117" t="s">
        <v>367</v>
      </c>
      <c r="P365" s="142" t="e">
        <f t="shared" si="4"/>
        <v>#N/A</v>
      </c>
      <c r="Q365" s="119" t="str">
        <f>VLOOKUP($B365,'Component List'!$A$2:$B$30,2,FALSE)</f>
        <v>MD9</v>
      </c>
      <c r="R365" s="77" t="str">
        <f>VLOOKUP($C365,'Component List'!C$2:D$28,2,FALSE)</f>
        <v>PLS</v>
      </c>
      <c r="S365" s="77" t="str">
        <f>VLOOKUP($D365,'Component List'!E$2:F$30,2,FALSE)</f>
        <v>D</v>
      </c>
      <c r="T365" s="77">
        <f>VLOOKUP($E365,'Component List'!G$2:H$30,2,FALSE)</f>
        <v>301</v>
      </c>
      <c r="U365" s="77">
        <f>VLOOKUP($F365,'Component List'!I$2:J$30,2,FALSE)</f>
        <v>107</v>
      </c>
      <c r="V365" s="77">
        <f>VLOOKUP(G365,'Component List'!K$2:L$30,2,FALSE)</f>
        <v>100</v>
      </c>
      <c r="W365" s="77">
        <f>VLOOKUP(H365,'Component List'!M$2:N$31,2,FALSE)</f>
        <v>300</v>
      </c>
      <c r="X365" s="77">
        <f>VLOOKUP(I365,'Component List'!O$2:P$30,2,FALSE)</f>
        <v>100</v>
      </c>
      <c r="Y365" s="77" t="str">
        <f>VLOOKUP(J365,'Component List'!Q$2:R$30,2,FALSE)</f>
        <v>000</v>
      </c>
      <c r="Z365" s="77" t="e">
        <f>VLOOKUP(K365,'Component List'!S$2:T$30,2,FALSE)</f>
        <v>#N/A</v>
      </c>
      <c r="AA365" s="77" t="e">
        <f>VLOOKUP(L365,'Component List'!U$2:V$30,2,FALSE)</f>
        <v>#N/A</v>
      </c>
      <c r="AB365" s="77">
        <f>VLOOKUP(M365,'Component List'!AA$2:AB$30,2,FALSE)</f>
        <v>3</v>
      </c>
      <c r="AC365" s="77" t="str">
        <f>VLOOKUP(N365,'Component List'!Y$2:Z$30,2,FALSE)</f>
        <v>C</v>
      </c>
      <c r="AD365" s="159" t="e">
        <f>VLOOKUP(O365,'Component List'!W$3:X$30,2,FALSE)</f>
        <v>#N/A</v>
      </c>
    </row>
    <row r="366" spans="1:30" ht="30" customHeight="1" x14ac:dyDescent="0.3">
      <c r="A366" s="239"/>
      <c r="B366" s="101" t="s">
        <v>250</v>
      </c>
      <c r="C366" s="100" t="s">
        <v>168</v>
      </c>
      <c r="D366" s="80" t="s">
        <v>136</v>
      </c>
      <c r="E366" s="102" t="s">
        <v>206</v>
      </c>
      <c r="F366" s="112" t="s">
        <v>41</v>
      </c>
      <c r="G366" s="100" t="s">
        <v>172</v>
      </c>
      <c r="H366" s="82" t="s">
        <v>274</v>
      </c>
      <c r="I366" s="121" t="s">
        <v>198</v>
      </c>
      <c r="J366" s="121" t="s">
        <v>143</v>
      </c>
      <c r="K366" s="110" t="s">
        <v>371</v>
      </c>
      <c r="L366" s="110" t="s">
        <v>371</v>
      </c>
      <c r="M366" s="82">
        <v>1</v>
      </c>
      <c r="N366" s="82" t="s">
        <v>175</v>
      </c>
      <c r="O366" s="117" t="s">
        <v>367</v>
      </c>
      <c r="P366" s="142" t="e">
        <f t="shared" si="4"/>
        <v>#N/A</v>
      </c>
      <c r="Q366" s="119" t="str">
        <f>VLOOKUP($B366,'Component List'!$A$2:$B$30,2,FALSE)</f>
        <v>MD9</v>
      </c>
      <c r="R366" s="77" t="str">
        <f>VLOOKUP($C366,'Component List'!C$2:D$28,2,FALSE)</f>
        <v>RHD</v>
      </c>
      <c r="S366" s="77" t="str">
        <f>VLOOKUP($D366,'Component List'!E$2:F$30,2,FALSE)</f>
        <v>D</v>
      </c>
      <c r="T366" s="77">
        <f>VLOOKUP($E366,'Component List'!G$2:H$30,2,FALSE)</f>
        <v>200</v>
      </c>
      <c r="U366" s="77">
        <f>VLOOKUP($F366,'Component List'!I$2:J$30,2,FALSE)</f>
        <v>101</v>
      </c>
      <c r="V366" s="77">
        <f>VLOOKUP(G366,'Component List'!K$2:L$30,2,FALSE)</f>
        <v>100</v>
      </c>
      <c r="W366" s="77">
        <f>VLOOKUP(H366,'Component List'!M$2:N$31,2,FALSE)</f>
        <v>300</v>
      </c>
      <c r="X366" s="77">
        <f>VLOOKUP(I366,'Component List'!O$2:P$30,2,FALSE)</f>
        <v>100</v>
      </c>
      <c r="Y366" s="77" t="str">
        <f>VLOOKUP(J366,'Component List'!Q$2:R$30,2,FALSE)</f>
        <v>000</v>
      </c>
      <c r="Z366" s="77" t="e">
        <f>VLOOKUP(K366,'Component List'!S$2:T$30,2,FALSE)</f>
        <v>#N/A</v>
      </c>
      <c r="AA366" s="77" t="e">
        <f>VLOOKUP(L366,'Component List'!U$2:V$30,2,FALSE)</f>
        <v>#N/A</v>
      </c>
      <c r="AB366" s="77">
        <f>VLOOKUP(M366,'Component List'!AA$2:AB$30,2,FALSE)</f>
        <v>1</v>
      </c>
      <c r="AC366" s="77" t="str">
        <f>VLOOKUP(N366,'Component List'!Y$2:Z$30,2,FALSE)</f>
        <v>P</v>
      </c>
      <c r="AD366" s="159" t="e">
        <f>VLOOKUP(O366,'Component List'!W$3:X$30,2,FALSE)</f>
        <v>#N/A</v>
      </c>
    </row>
    <row r="367" spans="1:30" ht="30" customHeight="1" x14ac:dyDescent="0.3">
      <c r="A367" s="239"/>
      <c r="B367" s="101" t="s">
        <v>250</v>
      </c>
      <c r="C367" s="100" t="s">
        <v>168</v>
      </c>
      <c r="D367" s="80" t="s">
        <v>136</v>
      </c>
      <c r="E367" s="102" t="s">
        <v>206</v>
      </c>
      <c r="F367" s="112" t="s">
        <v>41</v>
      </c>
      <c r="G367" s="100" t="s">
        <v>172</v>
      </c>
      <c r="H367" s="82" t="s">
        <v>274</v>
      </c>
      <c r="I367" s="110" t="s">
        <v>198</v>
      </c>
      <c r="J367" s="110" t="s">
        <v>143</v>
      </c>
      <c r="K367" s="110" t="s">
        <v>371</v>
      </c>
      <c r="L367" s="110" t="s">
        <v>371</v>
      </c>
      <c r="M367" s="82">
        <v>1</v>
      </c>
      <c r="N367" s="82" t="s">
        <v>187</v>
      </c>
      <c r="O367" s="117" t="s">
        <v>367</v>
      </c>
      <c r="P367" s="142" t="e">
        <f t="shared" si="4"/>
        <v>#N/A</v>
      </c>
      <c r="Q367" s="119" t="str">
        <f>VLOOKUP($B367,'Component List'!$A$2:$B$30,2,FALSE)</f>
        <v>MD9</v>
      </c>
      <c r="R367" s="77" t="str">
        <f>VLOOKUP($C367,'Component List'!C$2:D$28,2,FALSE)</f>
        <v>RHD</v>
      </c>
      <c r="S367" s="77" t="str">
        <f>VLOOKUP($D367,'Component List'!E$2:F$30,2,FALSE)</f>
        <v>D</v>
      </c>
      <c r="T367" s="77">
        <f>VLOOKUP($E367,'Component List'!G$2:H$30,2,FALSE)</f>
        <v>200</v>
      </c>
      <c r="U367" s="77">
        <f>VLOOKUP($F367,'Component List'!I$2:J$30,2,FALSE)</f>
        <v>101</v>
      </c>
      <c r="V367" s="77">
        <f>VLOOKUP(G367,'Component List'!K$2:L$30,2,FALSE)</f>
        <v>100</v>
      </c>
      <c r="W367" s="77">
        <f>VLOOKUP(H367,'Component List'!M$2:N$31,2,FALSE)</f>
        <v>300</v>
      </c>
      <c r="X367" s="77">
        <f>VLOOKUP(I367,'Component List'!O$2:P$30,2,FALSE)</f>
        <v>100</v>
      </c>
      <c r="Y367" s="77" t="str">
        <f>VLOOKUP(J367,'Component List'!Q$2:R$30,2,FALSE)</f>
        <v>000</v>
      </c>
      <c r="Z367" s="77" t="e">
        <f>VLOOKUP(K367,'Component List'!S$2:T$30,2,FALSE)</f>
        <v>#N/A</v>
      </c>
      <c r="AA367" s="77" t="e">
        <f>VLOOKUP(L367,'Component List'!U$2:V$30,2,FALSE)</f>
        <v>#N/A</v>
      </c>
      <c r="AB367" s="77">
        <f>VLOOKUP(M367,'Component List'!AA$2:AB$30,2,FALSE)</f>
        <v>1</v>
      </c>
      <c r="AC367" s="77" t="str">
        <f>VLOOKUP(N367,'Component List'!Y$2:Z$30,2,FALSE)</f>
        <v>C</v>
      </c>
      <c r="AD367" s="159" t="e">
        <f>VLOOKUP(O367,'Component List'!W$3:X$30,2,FALSE)</f>
        <v>#N/A</v>
      </c>
    </row>
    <row r="368" spans="1:30" ht="30" customHeight="1" x14ac:dyDescent="0.3">
      <c r="A368" s="239"/>
      <c r="B368" s="101" t="s">
        <v>250</v>
      </c>
      <c r="C368" s="100" t="s">
        <v>168</v>
      </c>
      <c r="D368" s="80" t="s">
        <v>136</v>
      </c>
      <c r="E368" s="102" t="s">
        <v>206</v>
      </c>
      <c r="F368" s="112" t="s">
        <v>41</v>
      </c>
      <c r="G368" s="100" t="s">
        <v>172</v>
      </c>
      <c r="H368" s="82" t="s">
        <v>274</v>
      </c>
      <c r="I368" s="110" t="s">
        <v>198</v>
      </c>
      <c r="J368" s="110" t="s">
        <v>143</v>
      </c>
      <c r="K368" s="110" t="s">
        <v>371</v>
      </c>
      <c r="L368" s="110" t="s">
        <v>371</v>
      </c>
      <c r="M368" s="82">
        <v>2</v>
      </c>
      <c r="N368" s="82" t="s">
        <v>175</v>
      </c>
      <c r="O368" s="117" t="s">
        <v>367</v>
      </c>
      <c r="P368" s="142" t="e">
        <f t="shared" si="4"/>
        <v>#N/A</v>
      </c>
      <c r="Q368" s="119" t="str">
        <f>VLOOKUP($B368,'Component List'!$A$2:$B$30,2,FALSE)</f>
        <v>MD9</v>
      </c>
      <c r="R368" s="77" t="str">
        <f>VLOOKUP($C368,'Component List'!C$2:D$28,2,FALSE)</f>
        <v>RHD</v>
      </c>
      <c r="S368" s="77" t="str">
        <f>VLOOKUP($D368,'Component List'!E$2:F$30,2,FALSE)</f>
        <v>D</v>
      </c>
      <c r="T368" s="77">
        <f>VLOOKUP($E368,'Component List'!G$2:H$30,2,FALSE)</f>
        <v>200</v>
      </c>
      <c r="U368" s="77">
        <f>VLOOKUP($F368,'Component List'!I$2:J$30,2,FALSE)</f>
        <v>101</v>
      </c>
      <c r="V368" s="77">
        <f>VLOOKUP(G368,'Component List'!K$2:L$30,2,FALSE)</f>
        <v>100</v>
      </c>
      <c r="W368" s="77">
        <f>VLOOKUP(H368,'Component List'!M$2:N$31,2,FALSE)</f>
        <v>300</v>
      </c>
      <c r="X368" s="77">
        <f>VLOOKUP(I368,'Component List'!O$2:P$30,2,FALSE)</f>
        <v>100</v>
      </c>
      <c r="Y368" s="77" t="str">
        <f>VLOOKUP(J368,'Component List'!Q$2:R$30,2,FALSE)</f>
        <v>000</v>
      </c>
      <c r="Z368" s="77" t="e">
        <f>VLOOKUP(K368,'Component List'!S$2:T$30,2,FALSE)</f>
        <v>#N/A</v>
      </c>
      <c r="AA368" s="77" t="e">
        <f>VLOOKUP(L368,'Component List'!U$2:V$30,2,FALSE)</f>
        <v>#N/A</v>
      </c>
      <c r="AB368" s="77">
        <f>VLOOKUP(M368,'Component List'!AA$2:AB$30,2,FALSE)</f>
        <v>2</v>
      </c>
      <c r="AC368" s="77" t="str">
        <f>VLOOKUP(N368,'Component List'!Y$2:Z$30,2,FALSE)</f>
        <v>P</v>
      </c>
      <c r="AD368" s="159" t="e">
        <f>VLOOKUP(O368,'Component List'!W$3:X$30,2,FALSE)</f>
        <v>#N/A</v>
      </c>
    </row>
    <row r="369" spans="1:30" ht="30" customHeight="1" x14ac:dyDescent="0.3">
      <c r="A369" s="239"/>
      <c r="B369" s="101" t="s">
        <v>250</v>
      </c>
      <c r="C369" s="100" t="s">
        <v>168</v>
      </c>
      <c r="D369" s="80" t="s">
        <v>136</v>
      </c>
      <c r="E369" s="111" t="s">
        <v>206</v>
      </c>
      <c r="F369" s="112" t="s">
        <v>41</v>
      </c>
      <c r="G369" s="100" t="s">
        <v>172</v>
      </c>
      <c r="H369" s="82" t="s">
        <v>274</v>
      </c>
      <c r="I369" s="110" t="s">
        <v>198</v>
      </c>
      <c r="J369" s="110" t="s">
        <v>143</v>
      </c>
      <c r="K369" s="110" t="s">
        <v>371</v>
      </c>
      <c r="L369" s="110" t="s">
        <v>371</v>
      </c>
      <c r="M369" s="82">
        <v>2</v>
      </c>
      <c r="N369" s="82" t="s">
        <v>187</v>
      </c>
      <c r="O369" s="117" t="s">
        <v>367</v>
      </c>
      <c r="P369" s="142" t="e">
        <f t="shared" si="4"/>
        <v>#N/A</v>
      </c>
      <c r="Q369" s="119" t="str">
        <f>VLOOKUP($B369,'Component List'!$A$2:$B$30,2,FALSE)</f>
        <v>MD9</v>
      </c>
      <c r="R369" s="77" t="str">
        <f>VLOOKUP($C369,'Component List'!C$2:D$28,2,FALSE)</f>
        <v>RHD</v>
      </c>
      <c r="S369" s="77" t="str">
        <f>VLOOKUP($D369,'Component List'!E$2:F$30,2,FALSE)</f>
        <v>D</v>
      </c>
      <c r="T369" s="77">
        <f>VLOOKUP($E369,'Component List'!G$2:H$30,2,FALSE)</f>
        <v>200</v>
      </c>
      <c r="U369" s="77">
        <f>VLOOKUP($F369,'Component List'!I$2:J$30,2,FALSE)</f>
        <v>101</v>
      </c>
      <c r="V369" s="77">
        <f>VLOOKUP(G369,'Component List'!K$2:L$30,2,FALSE)</f>
        <v>100</v>
      </c>
      <c r="W369" s="77">
        <f>VLOOKUP(H369,'Component List'!M$2:N$31,2,FALSE)</f>
        <v>300</v>
      </c>
      <c r="X369" s="77">
        <f>VLOOKUP(I369,'Component List'!O$2:P$30,2,FALSE)</f>
        <v>100</v>
      </c>
      <c r="Y369" s="77" t="str">
        <f>VLOOKUP(J369,'Component List'!Q$2:R$30,2,FALSE)</f>
        <v>000</v>
      </c>
      <c r="Z369" s="77" t="e">
        <f>VLOOKUP(K369,'Component List'!S$2:T$30,2,FALSE)</f>
        <v>#N/A</v>
      </c>
      <c r="AA369" s="77" t="e">
        <f>VLOOKUP(L369,'Component List'!U$2:V$30,2,FALSE)</f>
        <v>#N/A</v>
      </c>
      <c r="AB369" s="77">
        <f>VLOOKUP(M369,'Component List'!AA$2:AB$30,2,FALSE)</f>
        <v>2</v>
      </c>
      <c r="AC369" s="77" t="str">
        <f>VLOOKUP(N369,'Component List'!Y$2:Z$30,2,FALSE)</f>
        <v>C</v>
      </c>
      <c r="AD369" s="159" t="e">
        <f>VLOOKUP(O369,'Component List'!W$3:X$30,2,FALSE)</f>
        <v>#N/A</v>
      </c>
    </row>
    <row r="370" spans="1:30" ht="30" customHeight="1" x14ac:dyDescent="0.3">
      <c r="A370" s="239"/>
      <c r="B370" s="101" t="s">
        <v>250</v>
      </c>
      <c r="C370" s="100" t="s">
        <v>168</v>
      </c>
      <c r="D370" s="80" t="s">
        <v>136</v>
      </c>
      <c r="E370" s="111" t="s">
        <v>206</v>
      </c>
      <c r="F370" s="112" t="s">
        <v>41</v>
      </c>
      <c r="G370" s="100" t="s">
        <v>172</v>
      </c>
      <c r="H370" s="82" t="s">
        <v>274</v>
      </c>
      <c r="I370" s="110" t="s">
        <v>198</v>
      </c>
      <c r="J370" s="110" t="s">
        <v>143</v>
      </c>
      <c r="K370" s="110" t="s">
        <v>371</v>
      </c>
      <c r="L370" s="110" t="s">
        <v>371</v>
      </c>
      <c r="M370" s="82">
        <v>3</v>
      </c>
      <c r="N370" s="82" t="s">
        <v>175</v>
      </c>
      <c r="O370" s="117" t="s">
        <v>367</v>
      </c>
      <c r="P370" s="142" t="e">
        <f t="shared" si="4"/>
        <v>#N/A</v>
      </c>
      <c r="Q370" s="119" t="str">
        <f>VLOOKUP($B370,'Component List'!$A$2:$B$30,2,FALSE)</f>
        <v>MD9</v>
      </c>
      <c r="R370" s="77" t="str">
        <f>VLOOKUP($C370,'Component List'!C$2:D$28,2,FALSE)</f>
        <v>RHD</v>
      </c>
      <c r="S370" s="77" t="str">
        <f>VLOOKUP($D370,'Component List'!E$2:F$30,2,FALSE)</f>
        <v>D</v>
      </c>
      <c r="T370" s="77">
        <f>VLOOKUP($E370,'Component List'!G$2:H$30,2,FALSE)</f>
        <v>200</v>
      </c>
      <c r="U370" s="77">
        <f>VLOOKUP($F370,'Component List'!I$2:J$30,2,FALSE)</f>
        <v>101</v>
      </c>
      <c r="V370" s="77">
        <f>VLOOKUP(G370,'Component List'!K$2:L$30,2,FALSE)</f>
        <v>100</v>
      </c>
      <c r="W370" s="77">
        <f>VLOOKUP(H370,'Component List'!M$2:N$31,2,FALSE)</f>
        <v>300</v>
      </c>
      <c r="X370" s="77">
        <f>VLOOKUP(I370,'Component List'!O$2:P$30,2,FALSE)</f>
        <v>100</v>
      </c>
      <c r="Y370" s="77" t="str">
        <f>VLOOKUP(J370,'Component List'!Q$2:R$30,2,FALSE)</f>
        <v>000</v>
      </c>
      <c r="Z370" s="77" t="e">
        <f>VLOOKUP(K370,'Component List'!S$2:T$30,2,FALSE)</f>
        <v>#N/A</v>
      </c>
      <c r="AA370" s="77" t="e">
        <f>VLOOKUP(L370,'Component List'!U$2:V$30,2,FALSE)</f>
        <v>#N/A</v>
      </c>
      <c r="AB370" s="77">
        <f>VLOOKUP(M370,'Component List'!AA$2:AB$30,2,FALSE)</f>
        <v>3</v>
      </c>
      <c r="AC370" s="77" t="str">
        <f>VLOOKUP(N370,'Component List'!Y$2:Z$30,2,FALSE)</f>
        <v>P</v>
      </c>
      <c r="AD370" s="159" t="e">
        <f>VLOOKUP(O370,'Component List'!W$3:X$30,2,FALSE)</f>
        <v>#N/A</v>
      </c>
    </row>
    <row r="371" spans="1:30" ht="30" customHeight="1" thickBot="1" x14ac:dyDescent="0.35">
      <c r="A371" s="240"/>
      <c r="B371" s="129" t="s">
        <v>250</v>
      </c>
      <c r="C371" s="106" t="s">
        <v>168</v>
      </c>
      <c r="D371" s="94" t="s">
        <v>136</v>
      </c>
      <c r="E371" s="108" t="s">
        <v>206</v>
      </c>
      <c r="F371" s="106" t="s">
        <v>41</v>
      </c>
      <c r="G371" s="106" t="s">
        <v>172</v>
      </c>
      <c r="H371" s="94" t="s">
        <v>274</v>
      </c>
      <c r="I371" s="105" t="s">
        <v>198</v>
      </c>
      <c r="J371" s="105" t="s">
        <v>143</v>
      </c>
      <c r="K371" s="105" t="s">
        <v>371</v>
      </c>
      <c r="L371" s="105" t="s">
        <v>371</v>
      </c>
      <c r="M371" s="94">
        <v>3</v>
      </c>
      <c r="N371" s="94" t="s">
        <v>187</v>
      </c>
      <c r="O371" s="128" t="s">
        <v>367</v>
      </c>
      <c r="P371" s="124" t="e">
        <f t="shared" si="4"/>
        <v>#N/A</v>
      </c>
      <c r="Q371" s="119" t="str">
        <f>VLOOKUP($B371,'Component List'!$A$2:$B$30,2,FALSE)</f>
        <v>MD9</v>
      </c>
      <c r="R371" s="77" t="str">
        <f>VLOOKUP($C371,'Component List'!C$2:D$28,2,FALSE)</f>
        <v>RHD</v>
      </c>
      <c r="S371" s="77" t="str">
        <f>VLOOKUP($D371,'Component List'!E$2:F$30,2,FALSE)</f>
        <v>D</v>
      </c>
      <c r="T371" s="77">
        <f>VLOOKUP($E371,'Component List'!G$2:H$30,2,FALSE)</f>
        <v>200</v>
      </c>
      <c r="U371" s="77">
        <f>VLOOKUP($F371,'Component List'!I$2:J$30,2,FALSE)</f>
        <v>101</v>
      </c>
      <c r="V371" s="77">
        <f>VLOOKUP(G371,'Component List'!K$2:L$30,2,FALSE)</f>
        <v>100</v>
      </c>
      <c r="W371" s="77">
        <f>VLOOKUP(H371,'Component List'!M$2:N$31,2,FALSE)</f>
        <v>300</v>
      </c>
      <c r="X371" s="77">
        <f>VLOOKUP(I371,'Component List'!O$2:P$30,2,FALSE)</f>
        <v>100</v>
      </c>
      <c r="Y371" s="77" t="str">
        <f>VLOOKUP(J371,'Component List'!Q$2:R$30,2,FALSE)</f>
        <v>000</v>
      </c>
      <c r="Z371" s="77" t="e">
        <f>VLOOKUP(K371,'Component List'!S$2:T$30,2,FALSE)</f>
        <v>#N/A</v>
      </c>
      <c r="AA371" s="77" t="e">
        <f>VLOOKUP(L371,'Component List'!U$2:V$30,2,FALSE)</f>
        <v>#N/A</v>
      </c>
      <c r="AB371" s="77">
        <f>VLOOKUP(M371,'Component List'!AA$2:AB$30,2,FALSE)</f>
        <v>3</v>
      </c>
      <c r="AC371" s="77" t="str">
        <f>VLOOKUP(N371,'Component List'!Y$2:Z$30,2,FALSE)</f>
        <v>C</v>
      </c>
      <c r="AD371" s="159" t="e">
        <f>VLOOKUP(O371,'Component List'!W$3:X$30,2,FALSE)</f>
        <v>#N/A</v>
      </c>
    </row>
    <row r="372" spans="1:30" ht="30" customHeight="1" x14ac:dyDescent="0.3">
      <c r="A372" s="238" t="s">
        <v>257</v>
      </c>
      <c r="B372" s="171" t="s">
        <v>257</v>
      </c>
      <c r="C372" s="88" t="s">
        <v>251</v>
      </c>
      <c r="D372" s="89" t="s">
        <v>136</v>
      </c>
      <c r="E372" s="125" t="s">
        <v>232</v>
      </c>
      <c r="F372" s="88" t="s">
        <v>41</v>
      </c>
      <c r="G372" s="89" t="s">
        <v>196</v>
      </c>
      <c r="H372" s="88" t="s">
        <v>197</v>
      </c>
      <c r="I372" s="121" t="s">
        <v>198</v>
      </c>
      <c r="J372" s="121" t="s">
        <v>143</v>
      </c>
      <c r="K372" s="121" t="s">
        <v>372</v>
      </c>
      <c r="L372" s="121" t="s">
        <v>372</v>
      </c>
      <c r="M372" s="88">
        <v>1</v>
      </c>
      <c r="N372" s="88" t="s">
        <v>175</v>
      </c>
      <c r="O372" s="130" t="s">
        <v>367</v>
      </c>
      <c r="P372" s="122" t="e">
        <f t="shared" si="4"/>
        <v>#N/A</v>
      </c>
      <c r="Q372" s="119" t="str">
        <f>VLOOKUP($B372,'Component List'!$A$2:$B$30,2,FALSE)</f>
        <v>AVN</v>
      </c>
      <c r="R372" s="77" t="str">
        <f>VLOOKUP($C372,'Component List'!C$2:D$28,2,FALSE)</f>
        <v>LF2</v>
      </c>
      <c r="S372" s="77" t="str">
        <f>VLOOKUP($D372,'Component List'!E$2:F$30,2,FALSE)</f>
        <v>D</v>
      </c>
      <c r="T372" s="77">
        <f>VLOOKUP($E372,'Component List'!G$2:H$30,2,FALSE)</f>
        <v>203</v>
      </c>
      <c r="U372" s="77">
        <f>VLOOKUP($F372,'Component List'!I$2:J$30,2,FALSE)</f>
        <v>101</v>
      </c>
      <c r="V372" s="77">
        <f>VLOOKUP(G372,'Component List'!K$2:L$30,2,FALSE)</f>
        <v>102</v>
      </c>
      <c r="W372" s="77">
        <f>VLOOKUP(H372,'Component List'!M$2:N$31,2,FALSE)</f>
        <v>102</v>
      </c>
      <c r="X372" s="77">
        <f>VLOOKUP(I372,'Component List'!O$2:P$30,2,FALSE)</f>
        <v>100</v>
      </c>
      <c r="Y372" s="77" t="str">
        <f>VLOOKUP(J372,'Component List'!Q$2:R$30,2,FALSE)</f>
        <v>000</v>
      </c>
      <c r="Z372" s="77" t="e">
        <f>VLOOKUP(K372,'Component List'!S$2:T$30,2,FALSE)</f>
        <v>#N/A</v>
      </c>
      <c r="AA372" s="77" t="e">
        <f>VLOOKUP(L372,'Component List'!U$2:V$30,2,FALSE)</f>
        <v>#N/A</v>
      </c>
      <c r="AB372" s="77">
        <f>VLOOKUP(M372,'Component List'!AA$2:AB$30,2,FALSE)</f>
        <v>1</v>
      </c>
      <c r="AC372" s="77" t="str">
        <f>VLOOKUP(N372,'Component List'!Y$2:Z$30,2,FALSE)</f>
        <v>P</v>
      </c>
      <c r="AD372" s="159" t="e">
        <f>VLOOKUP(O372,'Component List'!W$3:X$30,2,FALSE)</f>
        <v>#N/A</v>
      </c>
    </row>
    <row r="373" spans="1:30" ht="30" customHeight="1" x14ac:dyDescent="0.3">
      <c r="A373" s="239"/>
      <c r="B373" s="101" t="s">
        <v>257</v>
      </c>
      <c r="C373" s="82" t="s">
        <v>251</v>
      </c>
      <c r="D373" s="80" t="s">
        <v>136</v>
      </c>
      <c r="E373" s="102" t="s">
        <v>232</v>
      </c>
      <c r="F373" s="82" t="s">
        <v>41</v>
      </c>
      <c r="G373" s="80" t="s">
        <v>196</v>
      </c>
      <c r="H373" s="82" t="s">
        <v>197</v>
      </c>
      <c r="I373" s="110" t="s">
        <v>198</v>
      </c>
      <c r="J373" s="110" t="s">
        <v>143</v>
      </c>
      <c r="K373" s="110" t="s">
        <v>372</v>
      </c>
      <c r="L373" s="110" t="s">
        <v>372</v>
      </c>
      <c r="M373" s="82">
        <v>1</v>
      </c>
      <c r="N373" s="82" t="s">
        <v>187</v>
      </c>
      <c r="O373" s="117" t="s">
        <v>367</v>
      </c>
      <c r="P373" s="123" t="e">
        <f t="shared" si="4"/>
        <v>#N/A</v>
      </c>
      <c r="Q373" s="119" t="str">
        <f>VLOOKUP($B373,'Component List'!$A$2:$B$30,2,FALSE)</f>
        <v>AVN</v>
      </c>
      <c r="R373" s="77" t="str">
        <f>VLOOKUP($C373,'Component List'!C$2:D$28,2,FALSE)</f>
        <v>LF2</v>
      </c>
      <c r="S373" s="77" t="str">
        <f>VLOOKUP($D373,'Component List'!E$2:F$30,2,FALSE)</f>
        <v>D</v>
      </c>
      <c r="T373" s="77">
        <f>VLOOKUP($E373,'Component List'!G$2:H$30,2,FALSE)</f>
        <v>203</v>
      </c>
      <c r="U373" s="77">
        <f>VLOOKUP($F373,'Component List'!I$2:J$30,2,FALSE)</f>
        <v>101</v>
      </c>
      <c r="V373" s="77">
        <f>VLOOKUP(G373,'Component List'!K$2:L$30,2,FALSE)</f>
        <v>102</v>
      </c>
      <c r="W373" s="77">
        <f>VLOOKUP(H373,'Component List'!M$2:N$31,2,FALSE)</f>
        <v>102</v>
      </c>
      <c r="X373" s="77">
        <f>VLOOKUP(I373,'Component List'!O$2:P$30,2,FALSE)</f>
        <v>100</v>
      </c>
      <c r="Y373" s="77" t="str">
        <f>VLOOKUP(J373,'Component List'!Q$2:R$30,2,FALSE)</f>
        <v>000</v>
      </c>
      <c r="Z373" s="77" t="e">
        <f>VLOOKUP(K373,'Component List'!S$2:T$30,2,FALSE)</f>
        <v>#N/A</v>
      </c>
      <c r="AA373" s="77" t="e">
        <f>VLOOKUP(L373,'Component List'!U$2:V$30,2,FALSE)</f>
        <v>#N/A</v>
      </c>
      <c r="AB373" s="77">
        <f>VLOOKUP(M373,'Component List'!AA$2:AB$30,2,FALSE)</f>
        <v>1</v>
      </c>
      <c r="AC373" s="77" t="str">
        <f>VLOOKUP(N373,'Component List'!Y$2:Z$30,2,FALSE)</f>
        <v>C</v>
      </c>
      <c r="AD373" s="159" t="e">
        <f>VLOOKUP(O373,'Component List'!W$3:X$30,2,FALSE)</f>
        <v>#N/A</v>
      </c>
    </row>
    <row r="374" spans="1:30" ht="30" customHeight="1" x14ac:dyDescent="0.3">
      <c r="A374" s="239"/>
      <c r="B374" s="101" t="s">
        <v>257</v>
      </c>
      <c r="C374" s="82" t="s">
        <v>251</v>
      </c>
      <c r="D374" s="80" t="s">
        <v>136</v>
      </c>
      <c r="E374" s="102" t="s">
        <v>232</v>
      </c>
      <c r="F374" s="82" t="s">
        <v>41</v>
      </c>
      <c r="G374" s="80" t="s">
        <v>196</v>
      </c>
      <c r="H374" s="82" t="s">
        <v>197</v>
      </c>
      <c r="I374" s="110" t="s">
        <v>198</v>
      </c>
      <c r="J374" s="110" t="s">
        <v>143</v>
      </c>
      <c r="K374" s="110" t="s">
        <v>372</v>
      </c>
      <c r="L374" s="110" t="s">
        <v>372</v>
      </c>
      <c r="M374" s="82">
        <v>2</v>
      </c>
      <c r="N374" s="82" t="s">
        <v>175</v>
      </c>
      <c r="O374" s="117" t="s">
        <v>367</v>
      </c>
      <c r="P374" s="123" t="e">
        <f t="shared" si="4"/>
        <v>#N/A</v>
      </c>
      <c r="Q374" s="119" t="str">
        <f>VLOOKUP($B374,'Component List'!$A$2:$B$30,2,FALSE)</f>
        <v>AVN</v>
      </c>
      <c r="R374" s="77" t="str">
        <f>VLOOKUP($C374,'Component List'!C$2:D$28,2,FALSE)</f>
        <v>LF2</v>
      </c>
      <c r="S374" s="77" t="str">
        <f>VLOOKUP($D374,'Component List'!E$2:F$30,2,FALSE)</f>
        <v>D</v>
      </c>
      <c r="T374" s="77">
        <f>VLOOKUP($E374,'Component List'!G$2:H$30,2,FALSE)</f>
        <v>203</v>
      </c>
      <c r="U374" s="77">
        <f>VLOOKUP($F374,'Component List'!I$2:J$30,2,FALSE)</f>
        <v>101</v>
      </c>
      <c r="V374" s="77">
        <f>VLOOKUP(G374,'Component List'!K$2:L$30,2,FALSE)</f>
        <v>102</v>
      </c>
      <c r="W374" s="77">
        <f>VLOOKUP(H374,'Component List'!M$2:N$31,2,FALSE)</f>
        <v>102</v>
      </c>
      <c r="X374" s="77">
        <f>VLOOKUP(I374,'Component List'!O$2:P$30,2,FALSE)</f>
        <v>100</v>
      </c>
      <c r="Y374" s="77" t="str">
        <f>VLOOKUP(J374,'Component List'!Q$2:R$30,2,FALSE)</f>
        <v>000</v>
      </c>
      <c r="Z374" s="77" t="e">
        <f>VLOOKUP(K374,'Component List'!S$2:T$30,2,FALSE)</f>
        <v>#N/A</v>
      </c>
      <c r="AA374" s="77" t="e">
        <f>VLOOKUP(L374,'Component List'!U$2:V$30,2,FALSE)</f>
        <v>#N/A</v>
      </c>
      <c r="AB374" s="77">
        <f>VLOOKUP(M374,'Component List'!AA$2:AB$30,2,FALSE)</f>
        <v>2</v>
      </c>
      <c r="AC374" s="77" t="str">
        <f>VLOOKUP(N374,'Component List'!Y$2:Z$30,2,FALSE)</f>
        <v>P</v>
      </c>
      <c r="AD374" s="159" t="e">
        <f>VLOOKUP(O374,'Component List'!W$3:X$30,2,FALSE)</f>
        <v>#N/A</v>
      </c>
    </row>
    <row r="375" spans="1:30" ht="30" customHeight="1" x14ac:dyDescent="0.3">
      <c r="A375" s="239"/>
      <c r="B375" s="101" t="s">
        <v>257</v>
      </c>
      <c r="C375" s="82" t="s">
        <v>251</v>
      </c>
      <c r="D375" s="80" t="s">
        <v>136</v>
      </c>
      <c r="E375" s="102" t="s">
        <v>232</v>
      </c>
      <c r="F375" s="82" t="s">
        <v>41</v>
      </c>
      <c r="G375" s="80" t="s">
        <v>196</v>
      </c>
      <c r="H375" s="82" t="s">
        <v>197</v>
      </c>
      <c r="I375" s="110" t="s">
        <v>198</v>
      </c>
      <c r="J375" s="110" t="s">
        <v>143</v>
      </c>
      <c r="K375" s="110" t="s">
        <v>372</v>
      </c>
      <c r="L375" s="110" t="s">
        <v>372</v>
      </c>
      <c r="M375" s="82">
        <v>2</v>
      </c>
      <c r="N375" s="82" t="s">
        <v>187</v>
      </c>
      <c r="O375" s="117" t="s">
        <v>367</v>
      </c>
      <c r="P375" s="123" t="e">
        <f t="shared" si="4"/>
        <v>#N/A</v>
      </c>
      <c r="Q375" s="119" t="str">
        <f>VLOOKUP($B375,'Component List'!$A$2:$B$30,2,FALSE)</f>
        <v>AVN</v>
      </c>
      <c r="R375" s="77" t="str">
        <f>VLOOKUP($C375,'Component List'!C$2:D$28,2,FALSE)</f>
        <v>LF2</v>
      </c>
      <c r="S375" s="77" t="str">
        <f>VLOOKUP($D375,'Component List'!E$2:F$30,2,FALSE)</f>
        <v>D</v>
      </c>
      <c r="T375" s="77">
        <f>VLOOKUP($E375,'Component List'!G$2:H$30,2,FALSE)</f>
        <v>203</v>
      </c>
      <c r="U375" s="77">
        <f>VLOOKUP($F375,'Component List'!I$2:J$30,2,FALSE)</f>
        <v>101</v>
      </c>
      <c r="V375" s="77">
        <f>VLOOKUP(G375,'Component List'!K$2:L$30,2,FALSE)</f>
        <v>102</v>
      </c>
      <c r="W375" s="77">
        <f>VLOOKUP(H375,'Component List'!M$2:N$31,2,FALSE)</f>
        <v>102</v>
      </c>
      <c r="X375" s="77">
        <f>VLOOKUP(I375,'Component List'!O$2:P$30,2,FALSE)</f>
        <v>100</v>
      </c>
      <c r="Y375" s="77" t="str">
        <f>VLOOKUP(J375,'Component List'!Q$2:R$30,2,FALSE)</f>
        <v>000</v>
      </c>
      <c r="Z375" s="77" t="e">
        <f>VLOOKUP(K375,'Component List'!S$2:T$30,2,FALSE)</f>
        <v>#N/A</v>
      </c>
      <c r="AA375" s="77" t="e">
        <f>VLOOKUP(L375,'Component List'!U$2:V$30,2,FALSE)</f>
        <v>#N/A</v>
      </c>
      <c r="AB375" s="77">
        <f>VLOOKUP(M375,'Component List'!AA$2:AB$30,2,FALSE)</f>
        <v>2</v>
      </c>
      <c r="AC375" s="77" t="str">
        <f>VLOOKUP(N375,'Component List'!Y$2:Z$30,2,FALSE)</f>
        <v>C</v>
      </c>
      <c r="AD375" s="159" t="e">
        <f>VLOOKUP(O375,'Component List'!W$3:X$30,2,FALSE)</f>
        <v>#N/A</v>
      </c>
    </row>
    <row r="376" spans="1:30" ht="30" customHeight="1" x14ac:dyDescent="0.3">
      <c r="A376" s="239"/>
      <c r="B376" s="101" t="s">
        <v>257</v>
      </c>
      <c r="C376" s="82" t="s">
        <v>251</v>
      </c>
      <c r="D376" s="80" t="s">
        <v>136</v>
      </c>
      <c r="E376" s="102" t="s">
        <v>232</v>
      </c>
      <c r="F376" s="82" t="s">
        <v>41</v>
      </c>
      <c r="G376" s="80" t="s">
        <v>196</v>
      </c>
      <c r="H376" s="82" t="s">
        <v>197</v>
      </c>
      <c r="I376" s="110" t="s">
        <v>198</v>
      </c>
      <c r="J376" s="110" t="s">
        <v>143</v>
      </c>
      <c r="K376" s="110" t="s">
        <v>372</v>
      </c>
      <c r="L376" s="110" t="s">
        <v>372</v>
      </c>
      <c r="M376" s="82">
        <v>3</v>
      </c>
      <c r="N376" s="82" t="s">
        <v>175</v>
      </c>
      <c r="O376" s="117" t="s">
        <v>367</v>
      </c>
      <c r="P376" s="123" t="e">
        <f t="shared" si="4"/>
        <v>#N/A</v>
      </c>
      <c r="Q376" s="119" t="str">
        <f>VLOOKUP($B376,'Component List'!$A$2:$B$30,2,FALSE)</f>
        <v>AVN</v>
      </c>
      <c r="R376" s="77" t="str">
        <f>VLOOKUP($C376,'Component List'!C$2:D$28,2,FALSE)</f>
        <v>LF2</v>
      </c>
      <c r="S376" s="77" t="str">
        <f>VLOOKUP($D376,'Component List'!E$2:F$30,2,FALSE)</f>
        <v>D</v>
      </c>
      <c r="T376" s="77">
        <f>VLOOKUP($E376,'Component List'!G$2:H$30,2,FALSE)</f>
        <v>203</v>
      </c>
      <c r="U376" s="77">
        <f>VLOOKUP($F376,'Component List'!I$2:J$30,2,FALSE)</f>
        <v>101</v>
      </c>
      <c r="V376" s="77">
        <f>VLOOKUP(G376,'Component List'!K$2:L$30,2,FALSE)</f>
        <v>102</v>
      </c>
      <c r="W376" s="77">
        <f>VLOOKUP(H376,'Component List'!M$2:N$31,2,FALSE)</f>
        <v>102</v>
      </c>
      <c r="X376" s="77">
        <f>VLOOKUP(I376,'Component List'!O$2:P$30,2,FALSE)</f>
        <v>100</v>
      </c>
      <c r="Y376" s="77" t="str">
        <f>VLOOKUP(J376,'Component List'!Q$2:R$30,2,FALSE)</f>
        <v>000</v>
      </c>
      <c r="Z376" s="77" t="e">
        <f>VLOOKUP(K376,'Component List'!S$2:T$30,2,FALSE)</f>
        <v>#N/A</v>
      </c>
      <c r="AA376" s="77" t="e">
        <f>VLOOKUP(L376,'Component List'!U$2:V$30,2,FALSE)</f>
        <v>#N/A</v>
      </c>
      <c r="AB376" s="77">
        <f>VLOOKUP(M376,'Component List'!AA$2:AB$30,2,FALSE)</f>
        <v>3</v>
      </c>
      <c r="AC376" s="77" t="str">
        <f>VLOOKUP(N376,'Component List'!Y$2:Z$30,2,FALSE)</f>
        <v>P</v>
      </c>
      <c r="AD376" s="159" t="e">
        <f>VLOOKUP(O376,'Component List'!W$3:X$30,2,FALSE)</f>
        <v>#N/A</v>
      </c>
    </row>
    <row r="377" spans="1:30" ht="30" customHeight="1" x14ac:dyDescent="0.3">
      <c r="A377" s="239"/>
      <c r="B377" s="101" t="s">
        <v>257</v>
      </c>
      <c r="C377" s="82" t="s">
        <v>251</v>
      </c>
      <c r="D377" s="80" t="s">
        <v>136</v>
      </c>
      <c r="E377" s="102" t="s">
        <v>232</v>
      </c>
      <c r="F377" s="82" t="s">
        <v>41</v>
      </c>
      <c r="G377" s="80" t="s">
        <v>196</v>
      </c>
      <c r="H377" s="82" t="s">
        <v>197</v>
      </c>
      <c r="I377" s="110" t="s">
        <v>198</v>
      </c>
      <c r="J377" s="110" t="s">
        <v>143</v>
      </c>
      <c r="K377" s="110" t="s">
        <v>372</v>
      </c>
      <c r="L377" s="110" t="s">
        <v>372</v>
      </c>
      <c r="M377" s="82">
        <v>3</v>
      </c>
      <c r="N377" s="82" t="s">
        <v>187</v>
      </c>
      <c r="O377" s="117" t="s">
        <v>367</v>
      </c>
      <c r="P377" s="123" t="e">
        <f t="shared" si="4"/>
        <v>#N/A</v>
      </c>
      <c r="Q377" s="119" t="str">
        <f>VLOOKUP($B377,'Component List'!$A$2:$B$30,2,FALSE)</f>
        <v>AVN</v>
      </c>
      <c r="R377" s="77" t="str">
        <f>VLOOKUP($C377,'Component List'!C$2:D$28,2,FALSE)</f>
        <v>LF2</v>
      </c>
      <c r="S377" s="77" t="str">
        <f>VLOOKUP($D377,'Component List'!E$2:F$30,2,FALSE)</f>
        <v>D</v>
      </c>
      <c r="T377" s="77">
        <f>VLOOKUP($E377,'Component List'!G$2:H$30,2,FALSE)</f>
        <v>203</v>
      </c>
      <c r="U377" s="77">
        <f>VLOOKUP($F377,'Component List'!I$2:J$30,2,FALSE)</f>
        <v>101</v>
      </c>
      <c r="V377" s="77">
        <f>VLOOKUP(G377,'Component List'!K$2:L$30,2,FALSE)</f>
        <v>102</v>
      </c>
      <c r="W377" s="77">
        <f>VLOOKUP(H377,'Component List'!M$2:N$31,2,FALSE)</f>
        <v>102</v>
      </c>
      <c r="X377" s="77">
        <f>VLOOKUP(I377,'Component List'!O$2:P$30,2,FALSE)</f>
        <v>100</v>
      </c>
      <c r="Y377" s="77" t="str">
        <f>VLOOKUP(J377,'Component List'!Q$2:R$30,2,FALSE)</f>
        <v>000</v>
      </c>
      <c r="Z377" s="77" t="e">
        <f>VLOOKUP(K377,'Component List'!S$2:T$30,2,FALSE)</f>
        <v>#N/A</v>
      </c>
      <c r="AA377" s="77" t="e">
        <f>VLOOKUP(L377,'Component List'!U$2:V$30,2,FALSE)</f>
        <v>#N/A</v>
      </c>
      <c r="AB377" s="77">
        <f>VLOOKUP(M377,'Component List'!AA$2:AB$30,2,FALSE)</f>
        <v>3</v>
      </c>
      <c r="AC377" s="77" t="str">
        <f>VLOOKUP(N377,'Component List'!Y$2:Z$30,2,FALSE)</f>
        <v>C</v>
      </c>
      <c r="AD377" s="159" t="e">
        <f>VLOOKUP(O377,'Component List'!W$3:X$30,2,FALSE)</f>
        <v>#N/A</v>
      </c>
    </row>
    <row r="378" spans="1:30" ht="30" customHeight="1" x14ac:dyDescent="0.3">
      <c r="A378" s="239"/>
      <c r="B378" s="101" t="s">
        <v>257</v>
      </c>
      <c r="C378" s="82" t="s">
        <v>251</v>
      </c>
      <c r="D378" s="80" t="s">
        <v>136</v>
      </c>
      <c r="E378" s="102" t="s">
        <v>225</v>
      </c>
      <c r="F378" s="82" t="s">
        <v>41</v>
      </c>
      <c r="G378" s="80" t="s">
        <v>196</v>
      </c>
      <c r="H378" s="82" t="s">
        <v>197</v>
      </c>
      <c r="I378" s="110" t="s">
        <v>198</v>
      </c>
      <c r="J378" s="110" t="s">
        <v>143</v>
      </c>
      <c r="K378" s="110" t="s">
        <v>372</v>
      </c>
      <c r="L378" s="110" t="s">
        <v>372</v>
      </c>
      <c r="M378" s="82">
        <v>1</v>
      </c>
      <c r="N378" s="82" t="s">
        <v>175</v>
      </c>
      <c r="O378" s="117" t="s">
        <v>367</v>
      </c>
      <c r="P378" s="123" t="e">
        <f t="shared" si="4"/>
        <v>#N/A</v>
      </c>
      <c r="Q378" s="119" t="str">
        <f>VLOOKUP($B378,'Component List'!$A$2:$B$30,2,FALSE)</f>
        <v>AVN</v>
      </c>
      <c r="R378" s="77" t="str">
        <f>VLOOKUP($C378,'Component List'!C$2:D$28,2,FALSE)</f>
        <v>LF2</v>
      </c>
      <c r="S378" s="77" t="str">
        <f>VLOOKUP($D378,'Component List'!E$2:F$30,2,FALSE)</f>
        <v>D</v>
      </c>
      <c r="T378" s="77">
        <f>VLOOKUP($E378,'Component List'!G$2:H$30,2,FALSE)</f>
        <v>202</v>
      </c>
      <c r="U378" s="77">
        <f>VLOOKUP($F378,'Component List'!I$2:J$30,2,FALSE)</f>
        <v>101</v>
      </c>
      <c r="V378" s="77">
        <f>VLOOKUP(G378,'Component List'!K$2:L$30,2,FALSE)</f>
        <v>102</v>
      </c>
      <c r="W378" s="77">
        <f>VLOOKUP(H378,'Component List'!M$2:N$31,2,FALSE)</f>
        <v>102</v>
      </c>
      <c r="X378" s="77">
        <f>VLOOKUP(I378,'Component List'!O$2:P$30,2,FALSE)</f>
        <v>100</v>
      </c>
      <c r="Y378" s="77" t="str">
        <f>VLOOKUP(J378,'Component List'!Q$2:R$30,2,FALSE)</f>
        <v>000</v>
      </c>
      <c r="Z378" s="77" t="e">
        <f>VLOOKUP(K378,'Component List'!S$2:T$30,2,FALSE)</f>
        <v>#N/A</v>
      </c>
      <c r="AA378" s="77" t="e">
        <f>VLOOKUP(L378,'Component List'!U$2:V$30,2,FALSE)</f>
        <v>#N/A</v>
      </c>
      <c r="AB378" s="77">
        <f>VLOOKUP(M378,'Component List'!AA$2:AB$30,2,FALSE)</f>
        <v>1</v>
      </c>
      <c r="AC378" s="77" t="str">
        <f>VLOOKUP(N378,'Component List'!Y$2:Z$30,2,FALSE)</f>
        <v>P</v>
      </c>
      <c r="AD378" s="159" t="e">
        <f>VLOOKUP(O378,'Component List'!W$3:X$30,2,FALSE)</f>
        <v>#N/A</v>
      </c>
    </row>
    <row r="379" spans="1:30" ht="30" customHeight="1" x14ac:dyDescent="0.3">
      <c r="A379" s="239"/>
      <c r="B379" s="101" t="s">
        <v>257</v>
      </c>
      <c r="C379" s="82" t="s">
        <v>251</v>
      </c>
      <c r="D379" s="80" t="s">
        <v>136</v>
      </c>
      <c r="E379" s="102" t="s">
        <v>225</v>
      </c>
      <c r="F379" s="82" t="s">
        <v>41</v>
      </c>
      <c r="G379" s="80" t="s">
        <v>196</v>
      </c>
      <c r="H379" s="82" t="s">
        <v>197</v>
      </c>
      <c r="I379" s="110" t="s">
        <v>198</v>
      </c>
      <c r="J379" s="110" t="s">
        <v>143</v>
      </c>
      <c r="K379" s="110" t="s">
        <v>372</v>
      </c>
      <c r="L379" s="110" t="s">
        <v>372</v>
      </c>
      <c r="M379" s="82">
        <v>1</v>
      </c>
      <c r="N379" s="82" t="s">
        <v>187</v>
      </c>
      <c r="O379" s="117" t="s">
        <v>367</v>
      </c>
      <c r="P379" s="123" t="e">
        <f t="shared" si="4"/>
        <v>#N/A</v>
      </c>
      <c r="Q379" s="119" t="str">
        <f>VLOOKUP($B379,'Component List'!$A$2:$B$30,2,FALSE)</f>
        <v>AVN</v>
      </c>
      <c r="R379" s="77" t="str">
        <f>VLOOKUP($C379,'Component List'!C$2:D$28,2,FALSE)</f>
        <v>LF2</v>
      </c>
      <c r="S379" s="77" t="str">
        <f>VLOOKUP($D379,'Component List'!E$2:F$30,2,FALSE)</f>
        <v>D</v>
      </c>
      <c r="T379" s="77">
        <f>VLOOKUP($E379,'Component List'!G$2:H$30,2,FALSE)</f>
        <v>202</v>
      </c>
      <c r="U379" s="77">
        <f>VLOOKUP($F379,'Component List'!I$2:J$30,2,FALSE)</f>
        <v>101</v>
      </c>
      <c r="V379" s="77">
        <f>VLOOKUP(G379,'Component List'!K$2:L$30,2,FALSE)</f>
        <v>102</v>
      </c>
      <c r="W379" s="77">
        <f>VLOOKUP(H379,'Component List'!M$2:N$31,2,FALSE)</f>
        <v>102</v>
      </c>
      <c r="X379" s="77">
        <f>VLOOKUP(I379,'Component List'!O$2:P$30,2,FALSE)</f>
        <v>100</v>
      </c>
      <c r="Y379" s="77" t="str">
        <f>VLOOKUP(J379,'Component List'!Q$2:R$30,2,FALSE)</f>
        <v>000</v>
      </c>
      <c r="Z379" s="77" t="e">
        <f>VLOOKUP(K379,'Component List'!S$2:T$30,2,FALSE)</f>
        <v>#N/A</v>
      </c>
      <c r="AA379" s="77" t="e">
        <f>VLOOKUP(L379,'Component List'!U$2:V$30,2,FALSE)</f>
        <v>#N/A</v>
      </c>
      <c r="AB379" s="77">
        <f>VLOOKUP(M379,'Component List'!AA$2:AB$30,2,FALSE)</f>
        <v>1</v>
      </c>
      <c r="AC379" s="77" t="str">
        <f>VLOOKUP(N379,'Component List'!Y$2:Z$30,2,FALSE)</f>
        <v>C</v>
      </c>
      <c r="AD379" s="159" t="e">
        <f>VLOOKUP(O379,'Component List'!W$3:X$30,2,FALSE)</f>
        <v>#N/A</v>
      </c>
    </row>
    <row r="380" spans="1:30" ht="30" customHeight="1" x14ac:dyDescent="0.3">
      <c r="A380" s="239"/>
      <c r="B380" s="101" t="s">
        <v>257</v>
      </c>
      <c r="C380" s="82" t="s">
        <v>251</v>
      </c>
      <c r="D380" s="80" t="s">
        <v>136</v>
      </c>
      <c r="E380" s="102" t="s">
        <v>225</v>
      </c>
      <c r="F380" s="82" t="s">
        <v>41</v>
      </c>
      <c r="G380" s="80" t="s">
        <v>196</v>
      </c>
      <c r="H380" s="82" t="s">
        <v>197</v>
      </c>
      <c r="I380" s="110" t="s">
        <v>198</v>
      </c>
      <c r="J380" s="110" t="s">
        <v>143</v>
      </c>
      <c r="K380" s="110" t="s">
        <v>372</v>
      </c>
      <c r="L380" s="110" t="s">
        <v>372</v>
      </c>
      <c r="M380" s="82">
        <v>2</v>
      </c>
      <c r="N380" s="82" t="s">
        <v>175</v>
      </c>
      <c r="O380" s="117" t="s">
        <v>367</v>
      </c>
      <c r="P380" s="123" t="e">
        <f t="shared" si="4"/>
        <v>#N/A</v>
      </c>
      <c r="Q380" s="119" t="str">
        <f>VLOOKUP($B380,'Component List'!$A$2:$B$30,2,FALSE)</f>
        <v>AVN</v>
      </c>
      <c r="R380" s="77" t="str">
        <f>VLOOKUP($C380,'Component List'!C$2:D$28,2,FALSE)</f>
        <v>LF2</v>
      </c>
      <c r="S380" s="77" t="str">
        <f>VLOOKUP($D380,'Component List'!E$2:F$30,2,FALSE)</f>
        <v>D</v>
      </c>
      <c r="T380" s="77">
        <f>VLOOKUP($E380,'Component List'!G$2:H$30,2,FALSE)</f>
        <v>202</v>
      </c>
      <c r="U380" s="77">
        <f>VLOOKUP($F380,'Component List'!I$2:J$30,2,FALSE)</f>
        <v>101</v>
      </c>
      <c r="V380" s="77">
        <f>VLOOKUP(G380,'Component List'!K$2:L$30,2,FALSE)</f>
        <v>102</v>
      </c>
      <c r="W380" s="77">
        <f>VLOOKUP(H380,'Component List'!M$2:N$31,2,FALSE)</f>
        <v>102</v>
      </c>
      <c r="X380" s="77">
        <f>VLOOKUP(I380,'Component List'!O$2:P$30,2,FALSE)</f>
        <v>100</v>
      </c>
      <c r="Y380" s="77" t="str">
        <f>VLOOKUP(J380,'Component List'!Q$2:R$30,2,FALSE)</f>
        <v>000</v>
      </c>
      <c r="Z380" s="77" t="e">
        <f>VLOOKUP(K380,'Component List'!S$2:T$30,2,FALSE)</f>
        <v>#N/A</v>
      </c>
      <c r="AA380" s="77" t="e">
        <f>VLOOKUP(L380,'Component List'!U$2:V$30,2,FALSE)</f>
        <v>#N/A</v>
      </c>
      <c r="AB380" s="77">
        <f>VLOOKUP(M380,'Component List'!AA$2:AB$30,2,FALSE)</f>
        <v>2</v>
      </c>
      <c r="AC380" s="77" t="str">
        <f>VLOOKUP(N380,'Component List'!Y$2:Z$30,2,FALSE)</f>
        <v>P</v>
      </c>
      <c r="AD380" s="159" t="e">
        <f>VLOOKUP(O380,'Component List'!W$3:X$30,2,FALSE)</f>
        <v>#N/A</v>
      </c>
    </row>
    <row r="381" spans="1:30" ht="30" customHeight="1" x14ac:dyDescent="0.3">
      <c r="A381" s="239"/>
      <c r="B381" s="101" t="s">
        <v>257</v>
      </c>
      <c r="C381" s="82" t="s">
        <v>251</v>
      </c>
      <c r="D381" s="80" t="s">
        <v>136</v>
      </c>
      <c r="E381" s="102" t="s">
        <v>225</v>
      </c>
      <c r="F381" s="82" t="s">
        <v>41</v>
      </c>
      <c r="G381" s="80" t="s">
        <v>196</v>
      </c>
      <c r="H381" s="82" t="s">
        <v>197</v>
      </c>
      <c r="I381" s="110" t="s">
        <v>198</v>
      </c>
      <c r="J381" s="110" t="s">
        <v>143</v>
      </c>
      <c r="K381" s="110" t="s">
        <v>372</v>
      </c>
      <c r="L381" s="110" t="s">
        <v>372</v>
      </c>
      <c r="M381" s="82">
        <v>2</v>
      </c>
      <c r="N381" s="82" t="s">
        <v>187</v>
      </c>
      <c r="O381" s="117" t="s">
        <v>367</v>
      </c>
      <c r="P381" s="123" t="e">
        <f t="shared" si="4"/>
        <v>#N/A</v>
      </c>
      <c r="Q381" s="119" t="str">
        <f>VLOOKUP($B381,'Component List'!$A$2:$B$30,2,FALSE)</f>
        <v>AVN</v>
      </c>
      <c r="R381" s="77" t="str">
        <f>VLOOKUP($C381,'Component List'!C$2:D$28,2,FALSE)</f>
        <v>LF2</v>
      </c>
      <c r="S381" s="77" t="str">
        <f>VLOOKUP($D381,'Component List'!E$2:F$30,2,FALSE)</f>
        <v>D</v>
      </c>
      <c r="T381" s="77">
        <f>VLOOKUP($E381,'Component List'!G$2:H$30,2,FALSE)</f>
        <v>202</v>
      </c>
      <c r="U381" s="77">
        <f>VLOOKUP($F381,'Component List'!I$2:J$30,2,FALSE)</f>
        <v>101</v>
      </c>
      <c r="V381" s="77">
        <f>VLOOKUP(G381,'Component List'!K$2:L$30,2,FALSE)</f>
        <v>102</v>
      </c>
      <c r="W381" s="77">
        <f>VLOOKUP(H381,'Component List'!M$2:N$31,2,FALSE)</f>
        <v>102</v>
      </c>
      <c r="X381" s="77">
        <f>VLOOKUP(I381,'Component List'!O$2:P$30,2,FALSE)</f>
        <v>100</v>
      </c>
      <c r="Y381" s="77" t="str">
        <f>VLOOKUP(J381,'Component List'!Q$2:R$30,2,FALSE)</f>
        <v>000</v>
      </c>
      <c r="Z381" s="77" t="e">
        <f>VLOOKUP(K381,'Component List'!S$2:T$30,2,FALSE)</f>
        <v>#N/A</v>
      </c>
      <c r="AA381" s="77" t="e">
        <f>VLOOKUP(L381,'Component List'!U$2:V$30,2,FALSE)</f>
        <v>#N/A</v>
      </c>
      <c r="AB381" s="77">
        <f>VLOOKUP(M381,'Component List'!AA$2:AB$30,2,FALSE)</f>
        <v>2</v>
      </c>
      <c r="AC381" s="77" t="str">
        <f>VLOOKUP(N381,'Component List'!Y$2:Z$30,2,FALSE)</f>
        <v>C</v>
      </c>
      <c r="AD381" s="159" t="e">
        <f>VLOOKUP(O381,'Component List'!W$3:X$30,2,FALSE)</f>
        <v>#N/A</v>
      </c>
    </row>
    <row r="382" spans="1:30" ht="30" customHeight="1" x14ac:dyDescent="0.3">
      <c r="A382" s="239"/>
      <c r="B382" s="101" t="s">
        <v>257</v>
      </c>
      <c r="C382" s="82" t="s">
        <v>251</v>
      </c>
      <c r="D382" s="80" t="s">
        <v>136</v>
      </c>
      <c r="E382" s="102" t="s">
        <v>225</v>
      </c>
      <c r="F382" s="82" t="s">
        <v>41</v>
      </c>
      <c r="G382" s="80" t="s">
        <v>196</v>
      </c>
      <c r="H382" s="82" t="s">
        <v>197</v>
      </c>
      <c r="I382" s="110" t="s">
        <v>198</v>
      </c>
      <c r="J382" s="110" t="s">
        <v>143</v>
      </c>
      <c r="K382" s="110" t="s">
        <v>372</v>
      </c>
      <c r="L382" s="110" t="s">
        <v>372</v>
      </c>
      <c r="M382" s="82">
        <v>3</v>
      </c>
      <c r="N382" s="82" t="s">
        <v>175</v>
      </c>
      <c r="O382" s="117" t="s">
        <v>367</v>
      </c>
      <c r="P382" s="123" t="e">
        <f t="shared" si="4"/>
        <v>#N/A</v>
      </c>
      <c r="Q382" s="119" t="str">
        <f>VLOOKUP($B382,'Component List'!$A$2:$B$30,2,FALSE)</f>
        <v>AVN</v>
      </c>
      <c r="R382" s="77" t="str">
        <f>VLOOKUP($C382,'Component List'!C$2:D$28,2,FALSE)</f>
        <v>LF2</v>
      </c>
      <c r="S382" s="77" t="str">
        <f>VLOOKUP($D382,'Component List'!E$2:F$30,2,FALSE)</f>
        <v>D</v>
      </c>
      <c r="T382" s="77">
        <f>VLOOKUP($E382,'Component List'!G$2:H$30,2,FALSE)</f>
        <v>202</v>
      </c>
      <c r="U382" s="77">
        <f>VLOOKUP($F382,'Component List'!I$2:J$30,2,FALSE)</f>
        <v>101</v>
      </c>
      <c r="V382" s="77">
        <f>VLOOKUP(G382,'Component List'!K$2:L$30,2,FALSE)</f>
        <v>102</v>
      </c>
      <c r="W382" s="77">
        <f>VLOOKUP(H382,'Component List'!M$2:N$31,2,FALSE)</f>
        <v>102</v>
      </c>
      <c r="X382" s="77">
        <f>VLOOKUP(I382,'Component List'!O$2:P$30,2,FALSE)</f>
        <v>100</v>
      </c>
      <c r="Y382" s="77" t="str">
        <f>VLOOKUP(J382,'Component List'!Q$2:R$30,2,FALSE)</f>
        <v>000</v>
      </c>
      <c r="Z382" s="77" t="e">
        <f>VLOOKUP(K382,'Component List'!S$2:T$30,2,FALSE)</f>
        <v>#N/A</v>
      </c>
      <c r="AA382" s="77" t="e">
        <f>VLOOKUP(L382,'Component List'!U$2:V$30,2,FALSE)</f>
        <v>#N/A</v>
      </c>
      <c r="AB382" s="77">
        <f>VLOOKUP(M382,'Component List'!AA$2:AB$30,2,FALSE)</f>
        <v>3</v>
      </c>
      <c r="AC382" s="77" t="str">
        <f>VLOOKUP(N382,'Component List'!Y$2:Z$30,2,FALSE)</f>
        <v>P</v>
      </c>
      <c r="AD382" s="159" t="e">
        <f>VLOOKUP(O382,'Component List'!W$3:X$30,2,FALSE)</f>
        <v>#N/A</v>
      </c>
    </row>
    <row r="383" spans="1:30" ht="30" customHeight="1" thickBot="1" x14ac:dyDescent="0.35">
      <c r="A383" s="240"/>
      <c r="B383" s="129" t="s">
        <v>257</v>
      </c>
      <c r="C383" s="94" t="s">
        <v>251</v>
      </c>
      <c r="D383" s="94" t="s">
        <v>136</v>
      </c>
      <c r="E383" s="95" t="s">
        <v>225</v>
      </c>
      <c r="F383" s="94" t="s">
        <v>41</v>
      </c>
      <c r="G383" s="94" t="s">
        <v>196</v>
      </c>
      <c r="H383" s="94" t="s">
        <v>197</v>
      </c>
      <c r="I383" s="105" t="s">
        <v>198</v>
      </c>
      <c r="J383" s="105" t="s">
        <v>143</v>
      </c>
      <c r="K383" s="105" t="s">
        <v>372</v>
      </c>
      <c r="L383" s="105" t="s">
        <v>372</v>
      </c>
      <c r="M383" s="94">
        <v>3</v>
      </c>
      <c r="N383" s="94" t="s">
        <v>187</v>
      </c>
      <c r="O383" s="128" t="s">
        <v>367</v>
      </c>
      <c r="P383" s="124" t="e">
        <f t="shared" si="4"/>
        <v>#N/A</v>
      </c>
      <c r="Q383" s="119" t="str">
        <f>VLOOKUP($B383,'Component List'!$A$2:$B$30,2,FALSE)</f>
        <v>AVN</v>
      </c>
      <c r="R383" s="77" t="str">
        <f>VLOOKUP($C383,'Component List'!C$2:D$28,2,FALSE)</f>
        <v>LF2</v>
      </c>
      <c r="S383" s="77" t="str">
        <f>VLOOKUP($D383,'Component List'!E$2:F$30,2,FALSE)</f>
        <v>D</v>
      </c>
      <c r="T383" s="77">
        <f>VLOOKUP($E383,'Component List'!G$2:H$30,2,FALSE)</f>
        <v>202</v>
      </c>
      <c r="U383" s="77">
        <f>VLOOKUP($F383,'Component List'!I$2:J$30,2,FALSE)</f>
        <v>101</v>
      </c>
      <c r="V383" s="77">
        <f>VLOOKUP(G383,'Component List'!K$2:L$30,2,FALSE)</f>
        <v>102</v>
      </c>
      <c r="W383" s="77">
        <f>VLOOKUP(H383,'Component List'!M$2:N$31,2,FALSE)</f>
        <v>102</v>
      </c>
      <c r="X383" s="77">
        <f>VLOOKUP(I383,'Component List'!O$2:P$30,2,FALSE)</f>
        <v>100</v>
      </c>
      <c r="Y383" s="77" t="str">
        <f>VLOOKUP(J383,'Component List'!Q$2:R$30,2,FALSE)</f>
        <v>000</v>
      </c>
      <c r="Z383" s="77" t="e">
        <f>VLOOKUP(K383,'Component List'!S$2:T$30,2,FALSE)</f>
        <v>#N/A</v>
      </c>
      <c r="AA383" s="77" t="e">
        <f>VLOOKUP(L383,'Component List'!U$2:V$30,2,FALSE)</f>
        <v>#N/A</v>
      </c>
      <c r="AB383" s="77">
        <f>VLOOKUP(M383,'Component List'!AA$2:AB$30,2,FALSE)</f>
        <v>3</v>
      </c>
      <c r="AC383" s="77" t="str">
        <f>VLOOKUP(N383,'Component List'!Y$2:Z$30,2,FALSE)</f>
        <v>C</v>
      </c>
      <c r="AD383" s="159" t="e">
        <f>VLOOKUP(O383,'Component List'!W$3:X$30,2,FALSE)</f>
        <v>#N/A</v>
      </c>
    </row>
    <row r="384" spans="1:30" ht="30" customHeight="1" x14ac:dyDescent="0.3">
      <c r="A384" s="236"/>
      <c r="B384" s="172"/>
      <c r="C384" s="86"/>
      <c r="D384" s="86"/>
      <c r="E384" s="87"/>
      <c r="F384" s="86"/>
      <c r="G384" s="86"/>
      <c r="H384" s="86"/>
      <c r="I384" s="86"/>
      <c r="J384" s="86"/>
      <c r="K384" s="118"/>
      <c r="L384" s="118"/>
      <c r="M384" s="86"/>
      <c r="N384" s="86"/>
      <c r="O384" s="141"/>
      <c r="P384" s="120" t="e">
        <f t="shared" si="4"/>
        <v>#N/A</v>
      </c>
      <c r="Q384" s="77" t="e">
        <f>VLOOKUP($B384,'Component List'!$A$2:$B$30,2,FALSE)</f>
        <v>#N/A</v>
      </c>
      <c r="R384" s="77" t="e">
        <f>VLOOKUP($C384,'Component List'!C$2:D$28,2,FALSE)</f>
        <v>#N/A</v>
      </c>
      <c r="S384" s="77" t="e">
        <f>VLOOKUP($D384,'Component List'!E$2:F$30,2,FALSE)</f>
        <v>#N/A</v>
      </c>
      <c r="T384" s="77" t="e">
        <f>VLOOKUP($E384,'Component List'!G$2:H$30,2,FALSE)</f>
        <v>#N/A</v>
      </c>
      <c r="U384" s="77" t="e">
        <f>VLOOKUP($F384,'Component List'!I$2:J$30,2,FALSE)</f>
        <v>#N/A</v>
      </c>
      <c r="V384" s="77" t="e">
        <f>VLOOKUP(G384,'Component List'!K$2:L$30,2,FALSE)</f>
        <v>#N/A</v>
      </c>
      <c r="W384" s="77" t="e">
        <f>VLOOKUP(H384,'Component List'!M$2:N$31,2,FALSE)</f>
        <v>#N/A</v>
      </c>
      <c r="X384" s="77" t="e">
        <f>VLOOKUP(I384,'Component List'!O$2:P$30,2,FALSE)</f>
        <v>#N/A</v>
      </c>
      <c r="Y384" s="77" t="e">
        <f>VLOOKUP(J384,'Component List'!Q$2:R$30,2,FALSE)</f>
        <v>#N/A</v>
      </c>
      <c r="Z384" s="77" t="e">
        <f>VLOOKUP(K384,'Component List'!S$2:T$30,2,FALSE)</f>
        <v>#N/A</v>
      </c>
      <c r="AA384" s="77" t="e">
        <f>VLOOKUP(L384,'Component List'!U$2:V$30,2,FALSE)</f>
        <v>#N/A</v>
      </c>
      <c r="AB384" s="77" t="e">
        <f>VLOOKUP(M384,'Component List'!AA$2:AB$30,2,FALSE)</f>
        <v>#N/A</v>
      </c>
      <c r="AC384" s="77" t="e">
        <f>VLOOKUP(N384,'Component List'!Y$2:Z$30,2,FALSE)</f>
        <v>#N/A</v>
      </c>
      <c r="AD384" s="159" t="e">
        <f>VLOOKUP(O384,'Component List'!W$3:X$30,2,FALSE)</f>
        <v>#N/A</v>
      </c>
    </row>
    <row r="385" spans="1:30" ht="30" customHeight="1" x14ac:dyDescent="0.3">
      <c r="A385" s="236"/>
      <c r="B385" s="173"/>
      <c r="C385" s="78"/>
      <c r="D385" s="78"/>
      <c r="E385" s="79"/>
      <c r="F385" s="78"/>
      <c r="G385" s="78"/>
      <c r="H385" s="78"/>
      <c r="I385" s="78"/>
      <c r="J385" s="78"/>
      <c r="K385" s="110"/>
      <c r="L385" s="110"/>
      <c r="M385" s="78"/>
      <c r="N385" s="78"/>
      <c r="O385" s="117"/>
      <c r="P385" s="114" t="e">
        <f t="shared" si="4"/>
        <v>#N/A</v>
      </c>
      <c r="Q385" s="77" t="e">
        <f>VLOOKUP($B385,'Component List'!$A$2:$B$30,2,FALSE)</f>
        <v>#N/A</v>
      </c>
      <c r="R385" s="77" t="e">
        <f>VLOOKUP($C385,'Component List'!C$2:D$28,2,FALSE)</f>
        <v>#N/A</v>
      </c>
      <c r="S385" s="77" t="e">
        <f>VLOOKUP($D385,'Component List'!E$2:F$30,2,FALSE)</f>
        <v>#N/A</v>
      </c>
      <c r="T385" s="77" t="e">
        <f>VLOOKUP($E385,'Component List'!G$2:H$30,2,FALSE)</f>
        <v>#N/A</v>
      </c>
      <c r="U385" s="77" t="e">
        <f>VLOOKUP($F385,'Component List'!I$2:J$30,2,FALSE)</f>
        <v>#N/A</v>
      </c>
      <c r="V385" s="77" t="e">
        <f>VLOOKUP(G385,'Component List'!K$2:L$30,2,FALSE)</f>
        <v>#N/A</v>
      </c>
      <c r="W385" s="77" t="e">
        <f>VLOOKUP(H385,'Component List'!M$2:N$31,2,FALSE)</f>
        <v>#N/A</v>
      </c>
      <c r="X385" s="77" t="e">
        <f>VLOOKUP(I385,'Component List'!O$2:P$30,2,FALSE)</f>
        <v>#N/A</v>
      </c>
      <c r="Y385" s="77" t="e">
        <f>VLOOKUP(J385,'Component List'!Q$2:R$30,2,FALSE)</f>
        <v>#N/A</v>
      </c>
      <c r="Z385" s="77" t="e">
        <f>VLOOKUP(K385,'Component List'!S$2:T$30,2,FALSE)</f>
        <v>#N/A</v>
      </c>
      <c r="AA385" s="77" t="e">
        <f>VLOOKUP(L385,'Component List'!U$2:V$30,2,FALSE)</f>
        <v>#N/A</v>
      </c>
      <c r="AB385" s="77" t="e">
        <f>VLOOKUP(M385,'Component List'!AA$2:AB$30,2,FALSE)</f>
        <v>#N/A</v>
      </c>
      <c r="AC385" s="77" t="e">
        <f>VLOOKUP(N385,'Component List'!Y$2:Z$30,2,FALSE)</f>
        <v>#N/A</v>
      </c>
      <c r="AD385" s="159" t="e">
        <f>VLOOKUP(O385,'Component List'!W$3:X$30,2,FALSE)</f>
        <v>#N/A</v>
      </c>
    </row>
    <row r="386" spans="1:30" ht="30" customHeight="1" x14ac:dyDescent="0.3">
      <c r="A386" s="236"/>
      <c r="B386" s="173"/>
      <c r="C386" s="78"/>
      <c r="D386" s="78"/>
      <c r="E386" s="79"/>
      <c r="F386" s="78"/>
      <c r="G386" s="78"/>
      <c r="H386" s="78"/>
      <c r="I386" s="78"/>
      <c r="J386" s="78"/>
      <c r="K386" s="110"/>
      <c r="L386" s="110"/>
      <c r="M386" s="78"/>
      <c r="N386" s="78"/>
      <c r="O386" s="117"/>
      <c r="P386" s="114" t="e">
        <f t="shared" si="4"/>
        <v>#N/A</v>
      </c>
      <c r="Q386" s="77" t="e">
        <f>VLOOKUP($B386,'Component List'!$A$2:$B$30,2,FALSE)</f>
        <v>#N/A</v>
      </c>
      <c r="R386" s="77" t="e">
        <f>VLOOKUP($C386,'Component List'!C$2:D$28,2,FALSE)</f>
        <v>#N/A</v>
      </c>
      <c r="S386" s="77" t="e">
        <f>VLOOKUP($D386,'Component List'!E$2:F$30,2,FALSE)</f>
        <v>#N/A</v>
      </c>
      <c r="T386" s="77" t="e">
        <f>VLOOKUP($E386,'Component List'!G$2:H$30,2,FALSE)</f>
        <v>#N/A</v>
      </c>
      <c r="U386" s="77" t="e">
        <f>VLOOKUP($F386,'Component List'!I$2:J$30,2,FALSE)</f>
        <v>#N/A</v>
      </c>
      <c r="V386" s="77" t="e">
        <f>VLOOKUP(G386,'Component List'!K$2:L$30,2,FALSE)</f>
        <v>#N/A</v>
      </c>
      <c r="W386" s="77" t="e">
        <f>VLOOKUP(H386,'Component List'!M$2:N$31,2,FALSE)</f>
        <v>#N/A</v>
      </c>
      <c r="X386" s="77" t="e">
        <f>VLOOKUP(I386,'Component List'!O$2:P$30,2,FALSE)</f>
        <v>#N/A</v>
      </c>
      <c r="Y386" s="77" t="e">
        <f>VLOOKUP(J386,'Component List'!Q$2:R$30,2,FALSE)</f>
        <v>#N/A</v>
      </c>
      <c r="Z386" s="77" t="e">
        <f>VLOOKUP(K386,'Component List'!S$2:T$30,2,FALSE)</f>
        <v>#N/A</v>
      </c>
      <c r="AA386" s="77" t="e">
        <f>VLOOKUP(L386,'Component List'!U$2:V$30,2,FALSE)</f>
        <v>#N/A</v>
      </c>
      <c r="AB386" s="77" t="e">
        <f>VLOOKUP(M386,'Component List'!AA$2:AB$30,2,FALSE)</f>
        <v>#N/A</v>
      </c>
      <c r="AC386" s="77" t="e">
        <f>VLOOKUP(N386,'Component List'!Y$2:Z$30,2,FALSE)</f>
        <v>#N/A</v>
      </c>
      <c r="AD386" s="159" t="e">
        <f>VLOOKUP(O386,'Component List'!W$3:X$30,2,FALSE)</f>
        <v>#N/A</v>
      </c>
    </row>
    <row r="387" spans="1:30" ht="30" customHeight="1" x14ac:dyDescent="0.3">
      <c r="A387" s="236"/>
      <c r="B387" s="173"/>
      <c r="C387" s="78"/>
      <c r="D387" s="78"/>
      <c r="E387" s="79"/>
      <c r="F387" s="78"/>
      <c r="G387" s="78"/>
      <c r="H387" s="78"/>
      <c r="I387" s="78"/>
      <c r="J387" s="78"/>
      <c r="K387" s="110"/>
      <c r="L387" s="110"/>
      <c r="M387" s="78"/>
      <c r="N387" s="78"/>
      <c r="O387" s="117"/>
      <c r="P387" s="114" t="e">
        <f t="shared" si="4"/>
        <v>#N/A</v>
      </c>
      <c r="Q387" s="77" t="e">
        <f>VLOOKUP($B387,'Component List'!$A$2:$B$30,2,FALSE)</f>
        <v>#N/A</v>
      </c>
      <c r="R387" s="77" t="e">
        <f>VLOOKUP($C387,'Component List'!C$2:D$28,2,FALSE)</f>
        <v>#N/A</v>
      </c>
      <c r="S387" s="77" t="e">
        <f>VLOOKUP($D387,'Component List'!E$2:F$30,2,FALSE)</f>
        <v>#N/A</v>
      </c>
      <c r="T387" s="77" t="e">
        <f>VLOOKUP($E387,'Component List'!G$2:H$30,2,FALSE)</f>
        <v>#N/A</v>
      </c>
      <c r="U387" s="77" t="e">
        <f>VLOOKUP($F387,'Component List'!I$2:J$30,2,FALSE)</f>
        <v>#N/A</v>
      </c>
      <c r="V387" s="77" t="e">
        <f>VLOOKUP(G387,'Component List'!K$2:L$30,2,FALSE)</f>
        <v>#N/A</v>
      </c>
      <c r="W387" s="77" t="e">
        <f>VLOOKUP(H387,'Component List'!M$2:N$31,2,FALSE)</f>
        <v>#N/A</v>
      </c>
      <c r="X387" s="77" t="e">
        <f>VLOOKUP(I387,'Component List'!O$2:P$30,2,FALSE)</f>
        <v>#N/A</v>
      </c>
      <c r="Y387" s="77" t="e">
        <f>VLOOKUP(J387,'Component List'!Q$2:R$30,2,FALSE)</f>
        <v>#N/A</v>
      </c>
      <c r="Z387" s="77" t="e">
        <f>VLOOKUP(K387,'Component List'!S$2:T$30,2,FALSE)</f>
        <v>#N/A</v>
      </c>
      <c r="AA387" s="77" t="e">
        <f>VLOOKUP(L387,'Component List'!U$2:V$30,2,FALSE)</f>
        <v>#N/A</v>
      </c>
      <c r="AB387" s="77" t="e">
        <f>VLOOKUP(M387,'Component List'!AA$2:AB$30,2,FALSE)</f>
        <v>#N/A</v>
      </c>
      <c r="AC387" s="77" t="e">
        <f>VLOOKUP(N387,'Component List'!Y$2:Z$30,2,FALSE)</f>
        <v>#N/A</v>
      </c>
      <c r="AD387" s="159" t="e">
        <f>VLOOKUP(O387,'Component List'!W$3:X$30,2,FALSE)</f>
        <v>#N/A</v>
      </c>
    </row>
    <row r="388" spans="1:30" ht="30" customHeight="1" x14ac:dyDescent="0.3">
      <c r="A388" s="236"/>
      <c r="B388" s="173"/>
      <c r="C388" s="78"/>
      <c r="D388" s="78"/>
      <c r="E388" s="79"/>
      <c r="F388" s="78"/>
      <c r="G388" s="78"/>
      <c r="H388" s="78"/>
      <c r="I388" s="78"/>
      <c r="J388" s="78"/>
      <c r="K388" s="110"/>
      <c r="L388" s="110"/>
      <c r="M388" s="78"/>
      <c r="N388" s="78"/>
      <c r="O388" s="117"/>
      <c r="P388" s="114" t="e">
        <f t="shared" si="4"/>
        <v>#N/A</v>
      </c>
      <c r="Q388" s="77" t="e">
        <f>VLOOKUP($B388,'Component List'!$A$2:$B$30,2,FALSE)</f>
        <v>#N/A</v>
      </c>
      <c r="R388" s="77" t="e">
        <f>VLOOKUP($C388,'Component List'!C$2:D$28,2,FALSE)</f>
        <v>#N/A</v>
      </c>
      <c r="S388" s="77" t="e">
        <f>VLOOKUP($D388,'Component List'!E$2:F$30,2,FALSE)</f>
        <v>#N/A</v>
      </c>
      <c r="T388" s="77" t="e">
        <f>VLOOKUP($E388,'Component List'!G$2:H$30,2,FALSE)</f>
        <v>#N/A</v>
      </c>
      <c r="U388" s="77" t="e">
        <f>VLOOKUP($F388,'Component List'!I$2:J$30,2,FALSE)</f>
        <v>#N/A</v>
      </c>
      <c r="V388" s="77" t="e">
        <f>VLOOKUP(G388,'Component List'!K$2:L$30,2,FALSE)</f>
        <v>#N/A</v>
      </c>
      <c r="W388" s="77" t="e">
        <f>VLOOKUP(H388,'Component List'!M$2:N$31,2,FALSE)</f>
        <v>#N/A</v>
      </c>
      <c r="X388" s="77" t="e">
        <f>VLOOKUP(I388,'Component List'!O$2:P$30,2,FALSE)</f>
        <v>#N/A</v>
      </c>
      <c r="Y388" s="77" t="e">
        <f>VLOOKUP(J388,'Component List'!Q$2:R$30,2,FALSE)</f>
        <v>#N/A</v>
      </c>
      <c r="Z388" s="77" t="e">
        <f>VLOOKUP(K388,'Component List'!S$2:T$30,2,FALSE)</f>
        <v>#N/A</v>
      </c>
      <c r="AA388" s="77" t="e">
        <f>VLOOKUP(L388,'Component List'!U$2:V$30,2,FALSE)</f>
        <v>#N/A</v>
      </c>
      <c r="AB388" s="77" t="e">
        <f>VLOOKUP(M388,'Component List'!AA$2:AB$30,2,FALSE)</f>
        <v>#N/A</v>
      </c>
      <c r="AC388" s="77" t="e">
        <f>VLOOKUP(N388,'Component List'!Y$2:Z$30,2,FALSE)</f>
        <v>#N/A</v>
      </c>
      <c r="AD388" s="159" t="e">
        <f>VLOOKUP(O388,'Component List'!W$3:X$30,2,FALSE)</f>
        <v>#N/A</v>
      </c>
    </row>
    <row r="389" spans="1:30" ht="30" customHeight="1" x14ac:dyDescent="0.3">
      <c r="A389" s="236"/>
      <c r="B389" s="173"/>
      <c r="C389" s="78"/>
      <c r="D389" s="78"/>
      <c r="E389" s="79"/>
      <c r="F389" s="78"/>
      <c r="G389" s="78"/>
      <c r="H389" s="78"/>
      <c r="I389" s="78"/>
      <c r="J389" s="78"/>
      <c r="K389" s="110"/>
      <c r="L389" s="110"/>
      <c r="M389" s="78"/>
      <c r="N389" s="78"/>
      <c r="O389" s="117"/>
      <c r="P389" s="114" t="e">
        <f t="shared" si="4"/>
        <v>#N/A</v>
      </c>
      <c r="Q389" s="77" t="e">
        <f>VLOOKUP($B389,'Component List'!$A$2:$B$30,2,FALSE)</f>
        <v>#N/A</v>
      </c>
      <c r="R389" s="77" t="e">
        <f>VLOOKUP($C389,'Component List'!C$2:D$28,2,FALSE)</f>
        <v>#N/A</v>
      </c>
      <c r="S389" s="77" t="e">
        <f>VLOOKUP($D389,'Component List'!E$2:F$30,2,FALSE)</f>
        <v>#N/A</v>
      </c>
      <c r="T389" s="77" t="e">
        <f>VLOOKUP($E389,'Component List'!G$2:H$30,2,FALSE)</f>
        <v>#N/A</v>
      </c>
      <c r="U389" s="77" t="e">
        <f>VLOOKUP($F389,'Component List'!I$2:J$30,2,FALSE)</f>
        <v>#N/A</v>
      </c>
      <c r="V389" s="77" t="e">
        <f>VLOOKUP(G389,'Component List'!K$2:L$30,2,FALSE)</f>
        <v>#N/A</v>
      </c>
      <c r="W389" s="77" t="e">
        <f>VLOOKUP(H389,'Component List'!M$2:N$31,2,FALSE)</f>
        <v>#N/A</v>
      </c>
      <c r="X389" s="77" t="e">
        <f>VLOOKUP(I389,'Component List'!O$2:P$30,2,FALSE)</f>
        <v>#N/A</v>
      </c>
      <c r="Y389" s="77" t="e">
        <f>VLOOKUP(J389,'Component List'!Q$2:R$30,2,FALSE)</f>
        <v>#N/A</v>
      </c>
      <c r="Z389" s="77" t="e">
        <f>VLOOKUP(K389,'Component List'!S$2:T$30,2,FALSE)</f>
        <v>#N/A</v>
      </c>
      <c r="AA389" s="77" t="e">
        <f>VLOOKUP(L389,'Component List'!U$2:V$30,2,FALSE)</f>
        <v>#N/A</v>
      </c>
      <c r="AB389" s="77" t="e">
        <f>VLOOKUP(M389,'Component List'!AA$2:AB$30,2,FALSE)</f>
        <v>#N/A</v>
      </c>
      <c r="AC389" s="77" t="e">
        <f>VLOOKUP(N389,'Component List'!Y$2:Z$30,2,FALSE)</f>
        <v>#N/A</v>
      </c>
      <c r="AD389" s="159" t="e">
        <f>VLOOKUP(O389,'Component List'!W$3:X$30,2,FALSE)</f>
        <v>#N/A</v>
      </c>
    </row>
    <row r="390" spans="1:30" ht="30" customHeight="1" x14ac:dyDescent="0.3">
      <c r="A390" s="236"/>
      <c r="B390" s="173"/>
      <c r="C390" s="78"/>
      <c r="D390" s="78"/>
      <c r="E390" s="79"/>
      <c r="F390" s="78"/>
      <c r="G390" s="78"/>
      <c r="H390" s="78"/>
      <c r="I390" s="78"/>
      <c r="J390" s="78"/>
      <c r="K390" s="110"/>
      <c r="L390" s="110"/>
      <c r="M390" s="78"/>
      <c r="N390" s="78"/>
      <c r="O390" s="117"/>
      <c r="P390" s="114" t="e">
        <f t="shared" si="4"/>
        <v>#N/A</v>
      </c>
      <c r="Q390" s="77" t="e">
        <f>VLOOKUP($B390,'Component List'!$A$2:$B$30,2,FALSE)</f>
        <v>#N/A</v>
      </c>
      <c r="R390" s="77" t="e">
        <f>VLOOKUP($C390,'Component List'!C$2:D$28,2,FALSE)</f>
        <v>#N/A</v>
      </c>
      <c r="S390" s="77" t="e">
        <f>VLOOKUP($D390,'Component List'!E$2:F$30,2,FALSE)</f>
        <v>#N/A</v>
      </c>
      <c r="T390" s="77" t="e">
        <f>VLOOKUP($E390,'Component List'!G$2:H$30,2,FALSE)</f>
        <v>#N/A</v>
      </c>
      <c r="U390" s="77" t="e">
        <f>VLOOKUP($F390,'Component List'!I$2:J$30,2,FALSE)</f>
        <v>#N/A</v>
      </c>
      <c r="V390" s="77" t="e">
        <f>VLOOKUP(G390,'Component List'!K$2:L$30,2,FALSE)</f>
        <v>#N/A</v>
      </c>
      <c r="W390" s="77" t="e">
        <f>VLOOKUP(H390,'Component List'!M$2:N$31,2,FALSE)</f>
        <v>#N/A</v>
      </c>
      <c r="X390" s="77" t="e">
        <f>VLOOKUP(I390,'Component List'!O$2:P$30,2,FALSE)</f>
        <v>#N/A</v>
      </c>
      <c r="Y390" s="77" t="e">
        <f>VLOOKUP(J390,'Component List'!Q$2:R$30,2,FALSE)</f>
        <v>#N/A</v>
      </c>
      <c r="Z390" s="77" t="e">
        <f>VLOOKUP(K390,'Component List'!S$2:T$30,2,FALSE)</f>
        <v>#N/A</v>
      </c>
      <c r="AA390" s="77" t="e">
        <f>VLOOKUP(L390,'Component List'!U$2:V$30,2,FALSE)</f>
        <v>#N/A</v>
      </c>
      <c r="AB390" s="77" t="e">
        <f>VLOOKUP(M390,'Component List'!AA$2:AB$30,2,FALSE)</f>
        <v>#N/A</v>
      </c>
      <c r="AC390" s="77" t="e">
        <f>VLOOKUP(N390,'Component List'!Y$2:Z$30,2,FALSE)</f>
        <v>#N/A</v>
      </c>
      <c r="AD390" s="159" t="e">
        <f>VLOOKUP(O390,'Component List'!W$3:X$30,2,FALSE)</f>
        <v>#N/A</v>
      </c>
    </row>
    <row r="391" spans="1:30" ht="30" customHeight="1" x14ac:dyDescent="0.3">
      <c r="A391" s="236"/>
      <c r="B391" s="173"/>
      <c r="C391" s="78"/>
      <c r="D391" s="78"/>
      <c r="E391" s="79"/>
      <c r="F391" s="78"/>
      <c r="G391" s="78"/>
      <c r="H391" s="78"/>
      <c r="I391" s="78"/>
      <c r="J391" s="78"/>
      <c r="K391" s="110"/>
      <c r="L391" s="110"/>
      <c r="M391" s="78"/>
      <c r="N391" s="78"/>
      <c r="O391" s="117"/>
      <c r="P391" s="114" t="e">
        <f t="shared" si="4"/>
        <v>#N/A</v>
      </c>
      <c r="Q391" s="77" t="e">
        <f>VLOOKUP($B391,'Component List'!$A$2:$B$30,2,FALSE)</f>
        <v>#N/A</v>
      </c>
      <c r="R391" s="77" t="e">
        <f>VLOOKUP($C391,'Component List'!C$2:D$28,2,FALSE)</f>
        <v>#N/A</v>
      </c>
      <c r="S391" s="77" t="e">
        <f>VLOOKUP($D391,'Component List'!E$2:F$30,2,FALSE)</f>
        <v>#N/A</v>
      </c>
      <c r="T391" s="77" t="e">
        <f>VLOOKUP($E391,'Component List'!G$2:H$30,2,FALSE)</f>
        <v>#N/A</v>
      </c>
      <c r="U391" s="77" t="e">
        <f>VLOOKUP($F391,'Component List'!I$2:J$30,2,FALSE)</f>
        <v>#N/A</v>
      </c>
      <c r="V391" s="77" t="e">
        <f>VLOOKUP(G391,'Component List'!K$2:L$30,2,FALSE)</f>
        <v>#N/A</v>
      </c>
      <c r="W391" s="77" t="e">
        <f>VLOOKUP(H391,'Component List'!M$2:N$31,2,FALSE)</f>
        <v>#N/A</v>
      </c>
      <c r="X391" s="77" t="e">
        <f>VLOOKUP(I391,'Component List'!O$2:P$30,2,FALSE)</f>
        <v>#N/A</v>
      </c>
      <c r="Y391" s="77" t="e">
        <f>VLOOKUP(J391,'Component List'!Q$2:R$30,2,FALSE)</f>
        <v>#N/A</v>
      </c>
      <c r="Z391" s="77" t="e">
        <f>VLOOKUP(K391,'Component List'!S$2:T$30,2,FALSE)</f>
        <v>#N/A</v>
      </c>
      <c r="AA391" s="77" t="e">
        <f>VLOOKUP(L391,'Component List'!U$2:V$30,2,FALSE)</f>
        <v>#N/A</v>
      </c>
      <c r="AB391" s="77" t="e">
        <f>VLOOKUP(M391,'Component List'!AA$2:AB$30,2,FALSE)</f>
        <v>#N/A</v>
      </c>
      <c r="AC391" s="77" t="e">
        <f>VLOOKUP(N391,'Component List'!Y$2:Z$30,2,FALSE)</f>
        <v>#N/A</v>
      </c>
      <c r="AD391" s="159" t="e">
        <f>VLOOKUP(O391,'Component List'!W$3:X$30,2,FALSE)</f>
        <v>#N/A</v>
      </c>
    </row>
    <row r="392" spans="1:30" ht="30" customHeight="1" x14ac:dyDescent="0.3">
      <c r="A392" s="236"/>
      <c r="B392" s="173"/>
      <c r="C392" s="78"/>
      <c r="D392" s="78"/>
      <c r="E392" s="79"/>
      <c r="F392" s="78"/>
      <c r="G392" s="78"/>
      <c r="H392" s="78"/>
      <c r="I392" s="78"/>
      <c r="J392" s="78"/>
      <c r="K392" s="110"/>
      <c r="L392" s="110"/>
      <c r="M392" s="78"/>
      <c r="N392" s="78"/>
      <c r="O392" s="117"/>
      <c r="P392" s="114" t="e">
        <f t="shared" si="4"/>
        <v>#N/A</v>
      </c>
      <c r="Q392" s="77" t="e">
        <f>VLOOKUP($B392,'Component List'!$A$2:$B$30,2,FALSE)</f>
        <v>#N/A</v>
      </c>
      <c r="R392" s="77" t="e">
        <f>VLOOKUP($C392,'Component List'!C$2:D$28,2,FALSE)</f>
        <v>#N/A</v>
      </c>
      <c r="S392" s="77" t="e">
        <f>VLOOKUP($D392,'Component List'!E$2:F$30,2,FALSE)</f>
        <v>#N/A</v>
      </c>
      <c r="T392" s="77" t="e">
        <f>VLOOKUP($E392,'Component List'!G$2:H$30,2,FALSE)</f>
        <v>#N/A</v>
      </c>
      <c r="U392" s="77" t="e">
        <f>VLOOKUP($F392,'Component List'!I$2:J$30,2,FALSE)</f>
        <v>#N/A</v>
      </c>
      <c r="V392" s="77" t="e">
        <f>VLOOKUP(G392,'Component List'!K$2:L$30,2,FALSE)</f>
        <v>#N/A</v>
      </c>
      <c r="W392" s="77" t="e">
        <f>VLOOKUP(H392,'Component List'!M$2:N$31,2,FALSE)</f>
        <v>#N/A</v>
      </c>
      <c r="X392" s="77" t="e">
        <f>VLOOKUP(I392,'Component List'!O$2:P$30,2,FALSE)</f>
        <v>#N/A</v>
      </c>
      <c r="Y392" s="77" t="e">
        <f>VLOOKUP(J392,'Component List'!Q$2:R$30,2,FALSE)</f>
        <v>#N/A</v>
      </c>
      <c r="Z392" s="77" t="e">
        <f>VLOOKUP(K392,'Component List'!S$2:T$30,2,FALSE)</f>
        <v>#N/A</v>
      </c>
      <c r="AA392" s="77" t="e">
        <f>VLOOKUP(L392,'Component List'!U$2:V$30,2,FALSE)</f>
        <v>#N/A</v>
      </c>
      <c r="AB392" s="77" t="e">
        <f>VLOOKUP(M392,'Component List'!AA$2:AB$30,2,FALSE)</f>
        <v>#N/A</v>
      </c>
      <c r="AC392" s="77" t="e">
        <f>VLOOKUP(N392,'Component List'!Y$2:Z$30,2,FALSE)</f>
        <v>#N/A</v>
      </c>
      <c r="AD392" s="159" t="e">
        <f>VLOOKUP(O392,'Component List'!W$3:X$30,2,FALSE)</f>
        <v>#N/A</v>
      </c>
    </row>
    <row r="393" spans="1:30" ht="30" customHeight="1" x14ac:dyDescent="0.3">
      <c r="A393" s="236"/>
      <c r="B393" s="173"/>
      <c r="C393" s="78"/>
      <c r="D393" s="78"/>
      <c r="E393" s="79"/>
      <c r="F393" s="78"/>
      <c r="G393" s="78"/>
      <c r="H393" s="78"/>
      <c r="I393" s="78"/>
      <c r="J393" s="78"/>
      <c r="K393" s="110"/>
      <c r="L393" s="110"/>
      <c r="M393" s="78"/>
      <c r="N393" s="78"/>
      <c r="O393" s="117"/>
      <c r="P393" s="114" t="e">
        <f t="shared" si="4"/>
        <v>#N/A</v>
      </c>
      <c r="Q393" s="77" t="e">
        <f>VLOOKUP($B393,'Component List'!$A$2:$B$30,2,FALSE)</f>
        <v>#N/A</v>
      </c>
      <c r="R393" s="77" t="e">
        <f>VLOOKUP($C393,'Component List'!C$2:D$28,2,FALSE)</f>
        <v>#N/A</v>
      </c>
      <c r="S393" s="77" t="e">
        <f>VLOOKUP($D393,'Component List'!E$2:F$30,2,FALSE)</f>
        <v>#N/A</v>
      </c>
      <c r="T393" s="77" t="e">
        <f>VLOOKUP($E393,'Component List'!G$2:H$30,2,FALSE)</f>
        <v>#N/A</v>
      </c>
      <c r="U393" s="77" t="e">
        <f>VLOOKUP($F393,'Component List'!I$2:J$30,2,FALSE)</f>
        <v>#N/A</v>
      </c>
      <c r="V393" s="77" t="e">
        <f>VLOOKUP(G393,'Component List'!K$2:L$30,2,FALSE)</f>
        <v>#N/A</v>
      </c>
      <c r="W393" s="77" t="e">
        <f>VLOOKUP(H393,'Component List'!M$2:N$31,2,FALSE)</f>
        <v>#N/A</v>
      </c>
      <c r="X393" s="77" t="e">
        <f>VLOOKUP(I393,'Component List'!O$2:P$30,2,FALSE)</f>
        <v>#N/A</v>
      </c>
      <c r="Y393" s="77" t="e">
        <f>VLOOKUP(J393,'Component List'!Q$2:R$30,2,FALSE)</f>
        <v>#N/A</v>
      </c>
      <c r="Z393" s="77" t="e">
        <f>VLOOKUP(K393,'Component List'!S$2:T$30,2,FALSE)</f>
        <v>#N/A</v>
      </c>
      <c r="AA393" s="77" t="e">
        <f>VLOOKUP(L393,'Component List'!U$2:V$30,2,FALSE)</f>
        <v>#N/A</v>
      </c>
      <c r="AB393" s="77" t="e">
        <f>VLOOKUP(M393,'Component List'!AA$2:AB$30,2,FALSE)</f>
        <v>#N/A</v>
      </c>
      <c r="AC393" s="77" t="e">
        <f>VLOOKUP(N393,'Component List'!Y$2:Z$30,2,FALSE)</f>
        <v>#N/A</v>
      </c>
      <c r="AD393" s="159" t="e">
        <f>VLOOKUP(O393,'Component List'!W$3:X$30,2,FALSE)</f>
        <v>#N/A</v>
      </c>
    </row>
    <row r="394" spans="1:30" ht="30" customHeight="1" x14ac:dyDescent="0.3">
      <c r="A394" s="236"/>
      <c r="B394" s="173"/>
      <c r="C394" s="78"/>
      <c r="D394" s="78"/>
      <c r="E394" s="79"/>
      <c r="F394" s="78"/>
      <c r="G394" s="78"/>
      <c r="H394" s="78"/>
      <c r="I394" s="78"/>
      <c r="J394" s="78"/>
      <c r="K394" s="110"/>
      <c r="L394" s="110"/>
      <c r="M394" s="78"/>
      <c r="N394" s="78"/>
      <c r="O394" s="117"/>
      <c r="P394" s="114" t="e">
        <f t="shared" si="4"/>
        <v>#N/A</v>
      </c>
      <c r="Q394" s="77" t="e">
        <f>VLOOKUP($B394,'Component List'!$A$2:$B$30,2,FALSE)</f>
        <v>#N/A</v>
      </c>
      <c r="R394" s="77" t="e">
        <f>VLOOKUP($C394,'Component List'!C$2:D$28,2,FALSE)</f>
        <v>#N/A</v>
      </c>
      <c r="S394" s="77" t="e">
        <f>VLOOKUP($D394,'Component List'!E$2:F$30,2,FALSE)</f>
        <v>#N/A</v>
      </c>
      <c r="T394" s="77" t="e">
        <f>VLOOKUP($E394,'Component List'!G$2:H$30,2,FALSE)</f>
        <v>#N/A</v>
      </c>
      <c r="U394" s="77" t="e">
        <f>VLOOKUP($F394,'Component List'!I$2:J$30,2,FALSE)</f>
        <v>#N/A</v>
      </c>
      <c r="V394" s="77" t="e">
        <f>VLOOKUP(G394,'Component List'!K$2:L$30,2,FALSE)</f>
        <v>#N/A</v>
      </c>
      <c r="W394" s="77" t="e">
        <f>VLOOKUP(H394,'Component List'!M$2:N$31,2,FALSE)</f>
        <v>#N/A</v>
      </c>
      <c r="X394" s="77" t="e">
        <f>VLOOKUP(I394,'Component List'!O$2:P$30,2,FALSE)</f>
        <v>#N/A</v>
      </c>
      <c r="Y394" s="77" t="e">
        <f>VLOOKUP(J394,'Component List'!Q$2:R$30,2,FALSE)</f>
        <v>#N/A</v>
      </c>
      <c r="Z394" s="77" t="e">
        <f>VLOOKUP(K394,'Component List'!S$2:T$30,2,FALSE)</f>
        <v>#N/A</v>
      </c>
      <c r="AA394" s="77" t="e">
        <f>VLOOKUP(L394,'Component List'!U$2:V$30,2,FALSE)</f>
        <v>#N/A</v>
      </c>
      <c r="AB394" s="77" t="e">
        <f>VLOOKUP(M394,'Component List'!AA$2:AB$30,2,FALSE)</f>
        <v>#N/A</v>
      </c>
      <c r="AC394" s="77" t="e">
        <f>VLOOKUP(N394,'Component List'!Y$2:Z$30,2,FALSE)</f>
        <v>#N/A</v>
      </c>
      <c r="AD394" s="159" t="e">
        <f>VLOOKUP(O394,'Component List'!W$3:X$30,2,FALSE)</f>
        <v>#N/A</v>
      </c>
    </row>
    <row r="395" spans="1:30" ht="30" customHeight="1" x14ac:dyDescent="0.3">
      <c r="A395" s="236"/>
      <c r="B395" s="173"/>
      <c r="C395" s="78"/>
      <c r="D395" s="78"/>
      <c r="E395" s="79"/>
      <c r="F395" s="78"/>
      <c r="G395" s="78"/>
      <c r="H395" s="78"/>
      <c r="I395" s="78"/>
      <c r="J395" s="78"/>
      <c r="K395" s="110"/>
      <c r="L395" s="110"/>
      <c r="M395" s="78"/>
      <c r="N395" s="78"/>
      <c r="O395" s="117"/>
      <c r="P395" s="114" t="e">
        <f t="shared" si="4"/>
        <v>#N/A</v>
      </c>
      <c r="Q395" s="77" t="e">
        <f>VLOOKUP($B395,'Component List'!$A$2:$B$30,2,FALSE)</f>
        <v>#N/A</v>
      </c>
      <c r="R395" s="77" t="e">
        <f>VLOOKUP($C395,'Component List'!C$2:D$28,2,FALSE)</f>
        <v>#N/A</v>
      </c>
      <c r="S395" s="77" t="e">
        <f>VLOOKUP($D395,'Component List'!E$2:F$30,2,FALSE)</f>
        <v>#N/A</v>
      </c>
      <c r="T395" s="77" t="e">
        <f>VLOOKUP($E395,'Component List'!G$2:H$30,2,FALSE)</f>
        <v>#N/A</v>
      </c>
      <c r="U395" s="77" t="e">
        <f>VLOOKUP($F395,'Component List'!I$2:J$30,2,FALSE)</f>
        <v>#N/A</v>
      </c>
      <c r="V395" s="77" t="e">
        <f>VLOOKUP(G395,'Component List'!K$2:L$30,2,FALSE)</f>
        <v>#N/A</v>
      </c>
      <c r="W395" s="77" t="e">
        <f>VLOOKUP(H395,'Component List'!M$2:N$31,2,FALSE)</f>
        <v>#N/A</v>
      </c>
      <c r="X395" s="77" t="e">
        <f>VLOOKUP(I395,'Component List'!O$2:P$30,2,FALSE)</f>
        <v>#N/A</v>
      </c>
      <c r="Y395" s="77" t="e">
        <f>VLOOKUP(J395,'Component List'!Q$2:R$30,2,FALSE)</f>
        <v>#N/A</v>
      </c>
      <c r="Z395" s="77" t="e">
        <f>VLOOKUP(K395,'Component List'!S$2:T$30,2,FALSE)</f>
        <v>#N/A</v>
      </c>
      <c r="AA395" s="77" t="e">
        <f>VLOOKUP(L395,'Component List'!U$2:V$30,2,FALSE)</f>
        <v>#N/A</v>
      </c>
      <c r="AB395" s="77" t="e">
        <f>VLOOKUP(M395,'Component List'!AA$2:AB$30,2,FALSE)</f>
        <v>#N/A</v>
      </c>
      <c r="AC395" s="77" t="e">
        <f>VLOOKUP(N395,'Component List'!Y$2:Z$30,2,FALSE)</f>
        <v>#N/A</v>
      </c>
      <c r="AD395" s="159" t="e">
        <f>VLOOKUP(O395,'Component List'!W$3:X$30,2,FALSE)</f>
        <v>#N/A</v>
      </c>
    </row>
    <row r="396" spans="1:30" ht="30" customHeight="1" x14ac:dyDescent="0.3">
      <c r="A396" s="236"/>
      <c r="B396" s="173"/>
      <c r="C396" s="78"/>
      <c r="D396" s="78"/>
      <c r="E396" s="79"/>
      <c r="F396" s="78"/>
      <c r="G396" s="78"/>
      <c r="H396" s="78"/>
      <c r="I396" s="78"/>
      <c r="J396" s="78"/>
      <c r="K396" s="110"/>
      <c r="L396" s="110"/>
      <c r="M396" s="78"/>
      <c r="N396" s="78"/>
      <c r="O396" s="117"/>
      <c r="P396" s="114" t="e">
        <f t="shared" si="4"/>
        <v>#N/A</v>
      </c>
      <c r="Q396" s="77" t="e">
        <f>VLOOKUP($B396,'Component List'!$A$2:$B$30,2,FALSE)</f>
        <v>#N/A</v>
      </c>
      <c r="R396" s="77" t="e">
        <f>VLOOKUP($C396,'Component List'!C$2:D$28,2,FALSE)</f>
        <v>#N/A</v>
      </c>
      <c r="S396" s="77" t="e">
        <f>VLOOKUP($D396,'Component List'!E$2:F$30,2,FALSE)</f>
        <v>#N/A</v>
      </c>
      <c r="T396" s="77" t="e">
        <f>VLOOKUP($E396,'Component List'!G$2:H$30,2,FALSE)</f>
        <v>#N/A</v>
      </c>
      <c r="U396" s="77" t="e">
        <f>VLOOKUP($F396,'Component List'!I$2:J$30,2,FALSE)</f>
        <v>#N/A</v>
      </c>
      <c r="V396" s="77" t="e">
        <f>VLOOKUP(G396,'Component List'!K$2:L$30,2,FALSE)</f>
        <v>#N/A</v>
      </c>
      <c r="W396" s="77" t="e">
        <f>VLOOKUP(H396,'Component List'!M$2:N$31,2,FALSE)</f>
        <v>#N/A</v>
      </c>
      <c r="X396" s="77" t="e">
        <f>VLOOKUP(I396,'Component List'!O$2:P$30,2,FALSE)</f>
        <v>#N/A</v>
      </c>
      <c r="Y396" s="77" t="e">
        <f>VLOOKUP(J396,'Component List'!Q$2:R$30,2,FALSE)</f>
        <v>#N/A</v>
      </c>
      <c r="Z396" s="77" t="e">
        <f>VLOOKUP(K396,'Component List'!S$2:T$30,2,FALSE)</f>
        <v>#N/A</v>
      </c>
      <c r="AA396" s="77" t="e">
        <f>VLOOKUP(L396,'Component List'!U$2:V$30,2,FALSE)</f>
        <v>#N/A</v>
      </c>
      <c r="AB396" s="77" t="e">
        <f>VLOOKUP(M396,'Component List'!AA$2:AB$30,2,FALSE)</f>
        <v>#N/A</v>
      </c>
      <c r="AC396" s="77" t="e">
        <f>VLOOKUP(N396,'Component List'!Y$2:Z$30,2,FALSE)</f>
        <v>#N/A</v>
      </c>
      <c r="AD396" s="159" t="e">
        <f>VLOOKUP(O396,'Component List'!W$3:X$30,2,FALSE)</f>
        <v>#N/A</v>
      </c>
    </row>
    <row r="397" spans="1:30" ht="30" customHeight="1" x14ac:dyDescent="0.3">
      <c r="A397" s="236"/>
      <c r="B397" s="173"/>
      <c r="C397" s="78"/>
      <c r="D397" s="78"/>
      <c r="E397" s="79"/>
      <c r="F397" s="78"/>
      <c r="G397" s="78"/>
      <c r="H397" s="78"/>
      <c r="I397" s="78"/>
      <c r="J397" s="78"/>
      <c r="K397" s="110"/>
      <c r="L397" s="110"/>
      <c r="M397" s="78"/>
      <c r="N397" s="78"/>
      <c r="O397" s="117"/>
      <c r="P397" s="114" t="e">
        <f t="shared" ref="P397:P460" si="5">Q397&amp;R397&amp;S397&amp;T397&amp;U397&amp;V397&amp;W397&amp;X397&amp;Y397&amp;Z397&amp;AA397&amp;AD397&amp;AC397&amp;AB397</f>
        <v>#N/A</v>
      </c>
      <c r="Q397" s="77" t="e">
        <f>VLOOKUP($B397,'Component List'!$A$2:$B$30,2,FALSE)</f>
        <v>#N/A</v>
      </c>
      <c r="R397" s="77" t="e">
        <f>VLOOKUP($C397,'Component List'!C$2:D$28,2,FALSE)</f>
        <v>#N/A</v>
      </c>
      <c r="S397" s="77" t="e">
        <f>VLOOKUP($D397,'Component List'!E$2:F$30,2,FALSE)</f>
        <v>#N/A</v>
      </c>
      <c r="T397" s="77" t="e">
        <f>VLOOKUP($E397,'Component List'!G$2:H$30,2,FALSE)</f>
        <v>#N/A</v>
      </c>
      <c r="U397" s="77" t="e">
        <f>VLOOKUP($F397,'Component List'!I$2:J$30,2,FALSE)</f>
        <v>#N/A</v>
      </c>
      <c r="V397" s="77" t="e">
        <f>VLOOKUP(G397,'Component List'!K$2:L$30,2,FALSE)</f>
        <v>#N/A</v>
      </c>
      <c r="W397" s="77" t="e">
        <f>VLOOKUP(H397,'Component List'!M$2:N$31,2,FALSE)</f>
        <v>#N/A</v>
      </c>
      <c r="X397" s="77" t="e">
        <f>VLOOKUP(I397,'Component List'!O$2:P$30,2,FALSE)</f>
        <v>#N/A</v>
      </c>
      <c r="Y397" s="77" t="e">
        <f>VLOOKUP(J397,'Component List'!Q$2:R$30,2,FALSE)</f>
        <v>#N/A</v>
      </c>
      <c r="Z397" s="77" t="e">
        <f>VLOOKUP(K397,'Component List'!S$2:T$30,2,FALSE)</f>
        <v>#N/A</v>
      </c>
      <c r="AA397" s="77" t="e">
        <f>VLOOKUP(L397,'Component List'!U$2:V$30,2,FALSE)</f>
        <v>#N/A</v>
      </c>
      <c r="AB397" s="77" t="e">
        <f>VLOOKUP(M397,'Component List'!AA$2:AB$30,2,FALSE)</f>
        <v>#N/A</v>
      </c>
      <c r="AC397" s="77" t="e">
        <f>VLOOKUP(N397,'Component List'!Y$2:Z$30,2,FALSE)</f>
        <v>#N/A</v>
      </c>
      <c r="AD397" s="159" t="e">
        <f>VLOOKUP(O397,'Component List'!W$3:X$30,2,FALSE)</f>
        <v>#N/A</v>
      </c>
    </row>
    <row r="398" spans="1:30" ht="30" customHeight="1" x14ac:dyDescent="0.3">
      <c r="A398" s="236"/>
      <c r="B398" s="173"/>
      <c r="C398" s="78"/>
      <c r="D398" s="78"/>
      <c r="E398" s="79"/>
      <c r="F398" s="78"/>
      <c r="G398" s="78"/>
      <c r="H398" s="78"/>
      <c r="I398" s="78"/>
      <c r="J398" s="78"/>
      <c r="K398" s="110"/>
      <c r="L398" s="110"/>
      <c r="M398" s="78"/>
      <c r="N398" s="78"/>
      <c r="O398" s="117"/>
      <c r="P398" s="114" t="e">
        <f t="shared" si="5"/>
        <v>#N/A</v>
      </c>
      <c r="Q398" s="77" t="e">
        <f>VLOOKUP($B398,'Component List'!$A$2:$B$30,2,FALSE)</f>
        <v>#N/A</v>
      </c>
      <c r="R398" s="77" t="e">
        <f>VLOOKUP($C398,'Component List'!C$2:D$28,2,FALSE)</f>
        <v>#N/A</v>
      </c>
      <c r="S398" s="77" t="e">
        <f>VLOOKUP($D398,'Component List'!E$2:F$30,2,FALSE)</f>
        <v>#N/A</v>
      </c>
      <c r="T398" s="77" t="e">
        <f>VLOOKUP($E398,'Component List'!G$2:H$30,2,FALSE)</f>
        <v>#N/A</v>
      </c>
      <c r="U398" s="77" t="e">
        <f>VLOOKUP($F398,'Component List'!I$2:J$30,2,FALSE)</f>
        <v>#N/A</v>
      </c>
      <c r="V398" s="77" t="e">
        <f>VLOOKUP(G398,'Component List'!K$2:L$30,2,FALSE)</f>
        <v>#N/A</v>
      </c>
      <c r="W398" s="77" t="e">
        <f>VLOOKUP(H398,'Component List'!M$2:N$31,2,FALSE)</f>
        <v>#N/A</v>
      </c>
      <c r="X398" s="77" t="e">
        <f>VLOOKUP(I398,'Component List'!O$2:P$30,2,FALSE)</f>
        <v>#N/A</v>
      </c>
      <c r="Y398" s="77" t="e">
        <f>VLOOKUP(J398,'Component List'!Q$2:R$30,2,FALSE)</f>
        <v>#N/A</v>
      </c>
      <c r="Z398" s="77" t="e">
        <f>VLOOKUP(K398,'Component List'!S$2:T$30,2,FALSE)</f>
        <v>#N/A</v>
      </c>
      <c r="AA398" s="77" t="e">
        <f>VLOOKUP(L398,'Component List'!U$2:V$30,2,FALSE)</f>
        <v>#N/A</v>
      </c>
      <c r="AB398" s="77" t="e">
        <f>VLOOKUP(M398,'Component List'!AA$2:AB$30,2,FALSE)</f>
        <v>#N/A</v>
      </c>
      <c r="AC398" s="77" t="e">
        <f>VLOOKUP(N398,'Component List'!Y$2:Z$30,2,FALSE)</f>
        <v>#N/A</v>
      </c>
      <c r="AD398" s="159" t="e">
        <f>VLOOKUP(O398,'Component List'!W$3:X$30,2,FALSE)</f>
        <v>#N/A</v>
      </c>
    </row>
    <row r="399" spans="1:30" ht="30" customHeight="1" x14ac:dyDescent="0.3">
      <c r="A399" s="236"/>
      <c r="B399" s="173"/>
      <c r="C399" s="78"/>
      <c r="D399" s="78"/>
      <c r="E399" s="79"/>
      <c r="F399" s="78"/>
      <c r="G399" s="78"/>
      <c r="H399" s="78"/>
      <c r="I399" s="78"/>
      <c r="J399" s="78"/>
      <c r="K399" s="110"/>
      <c r="L399" s="110"/>
      <c r="M399" s="78"/>
      <c r="N399" s="78"/>
      <c r="O399" s="117"/>
      <c r="P399" s="114" t="e">
        <f t="shared" si="5"/>
        <v>#N/A</v>
      </c>
      <c r="Q399" s="77" t="e">
        <f>VLOOKUP($B399,'Component List'!$A$2:$B$30,2,FALSE)</f>
        <v>#N/A</v>
      </c>
      <c r="R399" s="77" t="e">
        <f>VLOOKUP($C399,'Component List'!C$2:D$28,2,FALSE)</f>
        <v>#N/A</v>
      </c>
      <c r="S399" s="77" t="e">
        <f>VLOOKUP($D399,'Component List'!E$2:F$30,2,FALSE)</f>
        <v>#N/A</v>
      </c>
      <c r="T399" s="77" t="e">
        <f>VLOOKUP($E399,'Component List'!G$2:H$30,2,FALSE)</f>
        <v>#N/A</v>
      </c>
      <c r="U399" s="77" t="e">
        <f>VLOOKUP($F399,'Component List'!I$2:J$30,2,FALSE)</f>
        <v>#N/A</v>
      </c>
      <c r="V399" s="77" t="e">
        <f>VLOOKUP(G399,'Component List'!K$2:L$30,2,FALSE)</f>
        <v>#N/A</v>
      </c>
      <c r="W399" s="77" t="e">
        <f>VLOOKUP(H399,'Component List'!M$2:N$31,2,FALSE)</f>
        <v>#N/A</v>
      </c>
      <c r="X399" s="77" t="e">
        <f>VLOOKUP(I399,'Component List'!O$2:P$30,2,FALSE)</f>
        <v>#N/A</v>
      </c>
      <c r="Y399" s="77" t="e">
        <f>VLOOKUP(J399,'Component List'!Q$2:R$30,2,FALSE)</f>
        <v>#N/A</v>
      </c>
      <c r="Z399" s="77" t="e">
        <f>VLOOKUP(K399,'Component List'!S$2:T$30,2,FALSE)</f>
        <v>#N/A</v>
      </c>
      <c r="AA399" s="77" t="e">
        <f>VLOOKUP(L399,'Component List'!U$2:V$30,2,FALSE)</f>
        <v>#N/A</v>
      </c>
      <c r="AB399" s="77" t="e">
        <f>VLOOKUP(M399,'Component List'!AA$2:AB$30,2,FALSE)</f>
        <v>#N/A</v>
      </c>
      <c r="AC399" s="77" t="e">
        <f>VLOOKUP(N399,'Component List'!Y$2:Z$30,2,FALSE)</f>
        <v>#N/A</v>
      </c>
      <c r="AD399" s="159" t="e">
        <f>VLOOKUP(O399,'Component List'!W$3:X$30,2,FALSE)</f>
        <v>#N/A</v>
      </c>
    </row>
    <row r="400" spans="1:30" ht="30" customHeight="1" x14ac:dyDescent="0.3">
      <c r="A400" s="236"/>
      <c r="B400" s="173"/>
      <c r="C400" s="78"/>
      <c r="D400" s="78"/>
      <c r="E400" s="79"/>
      <c r="F400" s="78"/>
      <c r="G400" s="78"/>
      <c r="H400" s="78"/>
      <c r="I400" s="78"/>
      <c r="J400" s="78"/>
      <c r="K400" s="110"/>
      <c r="L400" s="110"/>
      <c r="M400" s="78"/>
      <c r="N400" s="78"/>
      <c r="O400" s="117"/>
      <c r="P400" s="114" t="e">
        <f t="shared" si="5"/>
        <v>#N/A</v>
      </c>
      <c r="Q400" s="77" t="e">
        <f>VLOOKUP($B400,'Component List'!$A$2:$B$30,2,FALSE)</f>
        <v>#N/A</v>
      </c>
      <c r="R400" s="77" t="e">
        <f>VLOOKUP($C400,'Component List'!C$2:D$28,2,FALSE)</f>
        <v>#N/A</v>
      </c>
      <c r="S400" s="77" t="e">
        <f>VLOOKUP($D400,'Component List'!E$2:F$30,2,FALSE)</f>
        <v>#N/A</v>
      </c>
      <c r="T400" s="77" t="e">
        <f>VLOOKUP($E400,'Component List'!G$2:H$30,2,FALSE)</f>
        <v>#N/A</v>
      </c>
      <c r="U400" s="77" t="e">
        <f>VLOOKUP($F400,'Component List'!I$2:J$30,2,FALSE)</f>
        <v>#N/A</v>
      </c>
      <c r="V400" s="77" t="e">
        <f>VLOOKUP(G400,'Component List'!K$2:L$30,2,FALSE)</f>
        <v>#N/A</v>
      </c>
      <c r="W400" s="77" t="e">
        <f>VLOOKUP(H400,'Component List'!M$2:N$31,2,FALSE)</f>
        <v>#N/A</v>
      </c>
      <c r="X400" s="77" t="e">
        <f>VLOOKUP(I400,'Component List'!O$2:P$30,2,FALSE)</f>
        <v>#N/A</v>
      </c>
      <c r="Y400" s="77" t="e">
        <f>VLOOKUP(J400,'Component List'!Q$2:R$30,2,FALSE)</f>
        <v>#N/A</v>
      </c>
      <c r="Z400" s="77" t="e">
        <f>VLOOKUP(K400,'Component List'!S$2:T$30,2,FALSE)</f>
        <v>#N/A</v>
      </c>
      <c r="AA400" s="77" t="e">
        <f>VLOOKUP(L400,'Component List'!U$2:V$30,2,FALSE)</f>
        <v>#N/A</v>
      </c>
      <c r="AB400" s="77" t="e">
        <f>VLOOKUP(M400,'Component List'!AA$2:AB$30,2,FALSE)</f>
        <v>#N/A</v>
      </c>
      <c r="AC400" s="77" t="e">
        <f>VLOOKUP(N400,'Component List'!Y$2:Z$30,2,FALSE)</f>
        <v>#N/A</v>
      </c>
      <c r="AD400" s="159" t="e">
        <f>VLOOKUP(O400,'Component List'!W$3:X$30,2,FALSE)</f>
        <v>#N/A</v>
      </c>
    </row>
    <row r="401" spans="1:30" ht="30" customHeight="1" x14ac:dyDescent="0.3">
      <c r="A401" s="236"/>
      <c r="B401" s="173"/>
      <c r="C401" s="78"/>
      <c r="D401" s="78"/>
      <c r="E401" s="79"/>
      <c r="F401" s="78"/>
      <c r="G401" s="78"/>
      <c r="H401" s="78"/>
      <c r="I401" s="78"/>
      <c r="J401" s="78"/>
      <c r="K401" s="110"/>
      <c r="L401" s="110"/>
      <c r="M401" s="78"/>
      <c r="N401" s="78"/>
      <c r="O401" s="117"/>
      <c r="P401" s="114" t="e">
        <f t="shared" si="5"/>
        <v>#N/A</v>
      </c>
      <c r="Q401" s="77" t="e">
        <f>VLOOKUP($B401,'Component List'!$A$2:$B$30,2,FALSE)</f>
        <v>#N/A</v>
      </c>
      <c r="R401" s="77" t="e">
        <f>VLOOKUP($C401,'Component List'!C$2:D$28,2,FALSE)</f>
        <v>#N/A</v>
      </c>
      <c r="S401" s="77" t="e">
        <f>VLOOKUP($D401,'Component List'!E$2:F$30,2,FALSE)</f>
        <v>#N/A</v>
      </c>
      <c r="T401" s="77" t="e">
        <f>VLOOKUP($E401,'Component List'!G$2:H$30,2,FALSE)</f>
        <v>#N/A</v>
      </c>
      <c r="U401" s="77" t="e">
        <f>VLOOKUP($F401,'Component List'!I$2:J$30,2,FALSE)</f>
        <v>#N/A</v>
      </c>
      <c r="V401" s="77" t="e">
        <f>VLOOKUP(G401,'Component List'!K$2:L$30,2,FALSE)</f>
        <v>#N/A</v>
      </c>
      <c r="W401" s="77" t="e">
        <f>VLOOKUP(H401,'Component List'!M$2:N$31,2,FALSE)</f>
        <v>#N/A</v>
      </c>
      <c r="X401" s="77" t="e">
        <f>VLOOKUP(I401,'Component List'!O$2:P$30,2,FALSE)</f>
        <v>#N/A</v>
      </c>
      <c r="Y401" s="77" t="e">
        <f>VLOOKUP(J401,'Component List'!Q$2:R$30,2,FALSE)</f>
        <v>#N/A</v>
      </c>
      <c r="Z401" s="77" t="e">
        <f>VLOOKUP(K401,'Component List'!S$2:T$30,2,FALSE)</f>
        <v>#N/A</v>
      </c>
      <c r="AA401" s="77" t="e">
        <f>VLOOKUP(L401,'Component List'!U$2:V$30,2,FALSE)</f>
        <v>#N/A</v>
      </c>
      <c r="AB401" s="77" t="e">
        <f>VLOOKUP(M401,'Component List'!AA$2:AB$30,2,FALSE)</f>
        <v>#N/A</v>
      </c>
      <c r="AC401" s="77" t="e">
        <f>VLOOKUP(N401,'Component List'!Y$2:Z$30,2,FALSE)</f>
        <v>#N/A</v>
      </c>
      <c r="AD401" s="159" t="e">
        <f>VLOOKUP(O401,'Component List'!W$3:X$30,2,FALSE)</f>
        <v>#N/A</v>
      </c>
    </row>
    <row r="402" spans="1:30" ht="30" customHeight="1" x14ac:dyDescent="0.3">
      <c r="A402" s="236"/>
      <c r="B402" s="173"/>
      <c r="C402" s="78"/>
      <c r="D402" s="78"/>
      <c r="E402" s="79"/>
      <c r="F402" s="78"/>
      <c r="G402" s="78"/>
      <c r="H402" s="78"/>
      <c r="I402" s="78"/>
      <c r="J402" s="78"/>
      <c r="K402" s="110"/>
      <c r="L402" s="110"/>
      <c r="M402" s="78"/>
      <c r="N402" s="78"/>
      <c r="O402" s="117"/>
      <c r="P402" s="114" t="e">
        <f t="shared" si="5"/>
        <v>#N/A</v>
      </c>
      <c r="Q402" s="77" t="e">
        <f>VLOOKUP($B402,'Component List'!$A$2:$B$30,2,FALSE)</f>
        <v>#N/A</v>
      </c>
      <c r="R402" s="77" t="e">
        <f>VLOOKUP($C402,'Component List'!C$2:D$28,2,FALSE)</f>
        <v>#N/A</v>
      </c>
      <c r="S402" s="77" t="e">
        <f>VLOOKUP($D402,'Component List'!E$2:F$30,2,FALSE)</f>
        <v>#N/A</v>
      </c>
      <c r="T402" s="77" t="e">
        <f>VLOOKUP($E402,'Component List'!G$2:H$30,2,FALSE)</f>
        <v>#N/A</v>
      </c>
      <c r="U402" s="77" t="e">
        <f>VLOOKUP($F402,'Component List'!I$2:J$30,2,FALSE)</f>
        <v>#N/A</v>
      </c>
      <c r="V402" s="77" t="e">
        <f>VLOOKUP(G402,'Component List'!K$2:L$30,2,FALSE)</f>
        <v>#N/A</v>
      </c>
      <c r="W402" s="77" t="e">
        <f>VLOOKUP(H402,'Component List'!M$2:N$31,2,FALSE)</f>
        <v>#N/A</v>
      </c>
      <c r="X402" s="77" t="e">
        <f>VLOOKUP(I402,'Component List'!O$2:P$30,2,FALSE)</f>
        <v>#N/A</v>
      </c>
      <c r="Y402" s="77" t="e">
        <f>VLOOKUP(J402,'Component List'!Q$2:R$30,2,FALSE)</f>
        <v>#N/A</v>
      </c>
      <c r="Z402" s="77" t="e">
        <f>VLOOKUP(K402,'Component List'!S$2:T$30,2,FALSE)</f>
        <v>#N/A</v>
      </c>
      <c r="AA402" s="77" t="e">
        <f>VLOOKUP(L402,'Component List'!U$2:V$30,2,FALSE)</f>
        <v>#N/A</v>
      </c>
      <c r="AB402" s="77" t="e">
        <f>VLOOKUP(M402,'Component List'!AA$2:AB$30,2,FALSE)</f>
        <v>#N/A</v>
      </c>
      <c r="AC402" s="77" t="e">
        <f>VLOOKUP(N402,'Component List'!Y$2:Z$30,2,FALSE)</f>
        <v>#N/A</v>
      </c>
      <c r="AD402" s="159" t="e">
        <f>VLOOKUP(O402,'Component List'!W$3:X$30,2,FALSE)</f>
        <v>#N/A</v>
      </c>
    </row>
    <row r="403" spans="1:30" ht="30" customHeight="1" x14ac:dyDescent="0.3">
      <c r="A403" s="236"/>
      <c r="B403" s="173"/>
      <c r="C403" s="78"/>
      <c r="D403" s="78"/>
      <c r="E403" s="79"/>
      <c r="F403" s="78"/>
      <c r="G403" s="78"/>
      <c r="H403" s="78"/>
      <c r="I403" s="78"/>
      <c r="J403" s="78"/>
      <c r="K403" s="110"/>
      <c r="L403" s="110"/>
      <c r="M403" s="78"/>
      <c r="N403" s="78"/>
      <c r="O403" s="117"/>
      <c r="P403" s="114" t="e">
        <f t="shared" si="5"/>
        <v>#N/A</v>
      </c>
      <c r="Q403" s="77" t="e">
        <f>VLOOKUP($B403,'Component List'!$A$2:$B$30,2,FALSE)</f>
        <v>#N/A</v>
      </c>
      <c r="R403" s="77" t="e">
        <f>VLOOKUP($C403,'Component List'!C$2:D$28,2,FALSE)</f>
        <v>#N/A</v>
      </c>
      <c r="S403" s="77" t="e">
        <f>VLOOKUP($D403,'Component List'!E$2:F$30,2,FALSE)</f>
        <v>#N/A</v>
      </c>
      <c r="T403" s="77" t="e">
        <f>VLOOKUP($E403,'Component List'!G$2:H$30,2,FALSE)</f>
        <v>#N/A</v>
      </c>
      <c r="U403" s="77" t="e">
        <f>VLOOKUP($F403,'Component List'!I$2:J$30,2,FALSE)</f>
        <v>#N/A</v>
      </c>
      <c r="V403" s="77" t="e">
        <f>VLOOKUP(G403,'Component List'!K$2:L$30,2,FALSE)</f>
        <v>#N/A</v>
      </c>
      <c r="W403" s="77" t="e">
        <f>VLOOKUP(H403,'Component List'!M$2:N$31,2,FALSE)</f>
        <v>#N/A</v>
      </c>
      <c r="X403" s="77" t="e">
        <f>VLOOKUP(I403,'Component List'!O$2:P$30,2,FALSE)</f>
        <v>#N/A</v>
      </c>
      <c r="Y403" s="77" t="e">
        <f>VLOOKUP(J403,'Component List'!Q$2:R$30,2,FALSE)</f>
        <v>#N/A</v>
      </c>
      <c r="Z403" s="77" t="e">
        <f>VLOOKUP(K403,'Component List'!S$2:T$30,2,FALSE)</f>
        <v>#N/A</v>
      </c>
      <c r="AA403" s="77" t="e">
        <f>VLOOKUP(L403,'Component List'!U$2:V$30,2,FALSE)</f>
        <v>#N/A</v>
      </c>
      <c r="AB403" s="77" t="e">
        <f>VLOOKUP(M403,'Component List'!AA$2:AB$30,2,FALSE)</f>
        <v>#N/A</v>
      </c>
      <c r="AC403" s="77" t="e">
        <f>VLOOKUP(N403,'Component List'!Y$2:Z$30,2,FALSE)</f>
        <v>#N/A</v>
      </c>
      <c r="AD403" s="159" t="e">
        <f>VLOOKUP(O403,'Component List'!W$3:X$30,2,FALSE)</f>
        <v>#N/A</v>
      </c>
    </row>
    <row r="404" spans="1:30" ht="30" customHeight="1" x14ac:dyDescent="0.3">
      <c r="A404" s="236"/>
      <c r="B404" s="173"/>
      <c r="C404" s="78"/>
      <c r="D404" s="78"/>
      <c r="E404" s="79"/>
      <c r="F404" s="78"/>
      <c r="G404" s="78"/>
      <c r="H404" s="78"/>
      <c r="I404" s="78"/>
      <c r="J404" s="78"/>
      <c r="K404" s="110"/>
      <c r="L404" s="110"/>
      <c r="M404" s="78"/>
      <c r="N404" s="78"/>
      <c r="O404" s="117"/>
      <c r="P404" s="114" t="e">
        <f t="shared" si="5"/>
        <v>#N/A</v>
      </c>
      <c r="Q404" s="77" t="e">
        <f>VLOOKUP($B404,'Component List'!$A$2:$B$30,2,FALSE)</f>
        <v>#N/A</v>
      </c>
      <c r="R404" s="77" t="e">
        <f>VLOOKUP($C404,'Component List'!C$2:D$28,2,FALSE)</f>
        <v>#N/A</v>
      </c>
      <c r="S404" s="77" t="e">
        <f>VLOOKUP($D404,'Component List'!E$2:F$30,2,FALSE)</f>
        <v>#N/A</v>
      </c>
      <c r="T404" s="77" t="e">
        <f>VLOOKUP($E404,'Component List'!G$2:H$30,2,FALSE)</f>
        <v>#N/A</v>
      </c>
      <c r="U404" s="77" t="e">
        <f>VLOOKUP($F404,'Component List'!I$2:J$30,2,FALSE)</f>
        <v>#N/A</v>
      </c>
      <c r="V404" s="77" t="e">
        <f>VLOOKUP(G404,'Component List'!K$2:L$30,2,FALSE)</f>
        <v>#N/A</v>
      </c>
      <c r="W404" s="77" t="e">
        <f>VLOOKUP(H404,'Component List'!M$2:N$31,2,FALSE)</f>
        <v>#N/A</v>
      </c>
      <c r="X404" s="77" t="e">
        <f>VLOOKUP(I404,'Component List'!O$2:P$30,2,FALSE)</f>
        <v>#N/A</v>
      </c>
      <c r="Y404" s="77" t="e">
        <f>VLOOKUP(J404,'Component List'!Q$2:R$30,2,FALSE)</f>
        <v>#N/A</v>
      </c>
      <c r="Z404" s="77" t="e">
        <f>VLOOKUP(K404,'Component List'!S$2:T$30,2,FALSE)</f>
        <v>#N/A</v>
      </c>
      <c r="AA404" s="77" t="e">
        <f>VLOOKUP(L404,'Component List'!U$2:V$30,2,FALSE)</f>
        <v>#N/A</v>
      </c>
      <c r="AB404" s="77" t="e">
        <f>VLOOKUP(M404,'Component List'!AA$2:AB$30,2,FALSE)</f>
        <v>#N/A</v>
      </c>
      <c r="AC404" s="77" t="e">
        <f>VLOOKUP(N404,'Component List'!Y$2:Z$30,2,FALSE)</f>
        <v>#N/A</v>
      </c>
      <c r="AD404" s="159" t="e">
        <f>VLOOKUP(O404,'Component List'!W$3:X$30,2,FALSE)</f>
        <v>#N/A</v>
      </c>
    </row>
    <row r="405" spans="1:30" ht="30" customHeight="1" x14ac:dyDescent="0.3">
      <c r="A405" s="236"/>
      <c r="B405" s="173"/>
      <c r="C405" s="78"/>
      <c r="D405" s="78"/>
      <c r="E405" s="79"/>
      <c r="F405" s="78"/>
      <c r="G405" s="78"/>
      <c r="H405" s="78"/>
      <c r="I405" s="78"/>
      <c r="J405" s="78"/>
      <c r="K405" s="110"/>
      <c r="L405" s="110"/>
      <c r="M405" s="78"/>
      <c r="N405" s="78"/>
      <c r="O405" s="117"/>
      <c r="P405" s="114" t="e">
        <f t="shared" si="5"/>
        <v>#N/A</v>
      </c>
      <c r="Q405" s="77" t="e">
        <f>VLOOKUP($B405,'Component List'!$A$2:$B$30,2,FALSE)</f>
        <v>#N/A</v>
      </c>
      <c r="R405" s="77" t="e">
        <f>VLOOKUP($C405,'Component List'!C$2:D$28,2,FALSE)</f>
        <v>#N/A</v>
      </c>
      <c r="S405" s="77" t="e">
        <f>VLOOKUP($D405,'Component List'!E$2:F$30,2,FALSE)</f>
        <v>#N/A</v>
      </c>
      <c r="T405" s="77" t="e">
        <f>VLOOKUP($E405,'Component List'!G$2:H$30,2,FALSE)</f>
        <v>#N/A</v>
      </c>
      <c r="U405" s="77" t="e">
        <f>VLOOKUP($F405,'Component List'!I$2:J$30,2,FALSE)</f>
        <v>#N/A</v>
      </c>
      <c r="V405" s="77" t="e">
        <f>VLOOKUP(G405,'Component List'!K$2:L$30,2,FALSE)</f>
        <v>#N/A</v>
      </c>
      <c r="W405" s="77" t="e">
        <f>VLOOKUP(H405,'Component List'!M$2:N$31,2,FALSE)</f>
        <v>#N/A</v>
      </c>
      <c r="X405" s="77" t="e">
        <f>VLOOKUP(I405,'Component List'!O$2:P$30,2,FALSE)</f>
        <v>#N/A</v>
      </c>
      <c r="Y405" s="77" t="e">
        <f>VLOOKUP(J405,'Component List'!Q$2:R$30,2,FALSE)</f>
        <v>#N/A</v>
      </c>
      <c r="Z405" s="77" t="e">
        <f>VLOOKUP(K405,'Component List'!S$2:T$30,2,FALSE)</f>
        <v>#N/A</v>
      </c>
      <c r="AA405" s="77" t="e">
        <f>VLOOKUP(L405,'Component List'!U$2:V$30,2,FALSE)</f>
        <v>#N/A</v>
      </c>
      <c r="AB405" s="77" t="e">
        <f>VLOOKUP(M405,'Component List'!AA$2:AB$30,2,FALSE)</f>
        <v>#N/A</v>
      </c>
      <c r="AC405" s="77" t="e">
        <f>VLOOKUP(N405,'Component List'!Y$2:Z$30,2,FALSE)</f>
        <v>#N/A</v>
      </c>
      <c r="AD405" s="159" t="e">
        <f>VLOOKUP(O405,'Component List'!W$3:X$30,2,FALSE)</f>
        <v>#N/A</v>
      </c>
    </row>
    <row r="406" spans="1:30" ht="30" customHeight="1" x14ac:dyDescent="0.3">
      <c r="A406" s="236"/>
      <c r="B406" s="173"/>
      <c r="C406" s="78"/>
      <c r="D406" s="78"/>
      <c r="E406" s="79"/>
      <c r="F406" s="78"/>
      <c r="G406" s="78"/>
      <c r="H406" s="78"/>
      <c r="I406" s="78"/>
      <c r="J406" s="78"/>
      <c r="K406" s="110"/>
      <c r="L406" s="110"/>
      <c r="M406" s="78"/>
      <c r="N406" s="78"/>
      <c r="O406" s="117"/>
      <c r="P406" s="114" t="e">
        <f t="shared" si="5"/>
        <v>#N/A</v>
      </c>
      <c r="Q406" s="77" t="e">
        <f>VLOOKUP($B406,'Component List'!$A$2:$B$30,2,FALSE)</f>
        <v>#N/A</v>
      </c>
      <c r="R406" s="77" t="e">
        <f>VLOOKUP($C406,'Component List'!C$2:D$28,2,FALSE)</f>
        <v>#N/A</v>
      </c>
      <c r="S406" s="77" t="e">
        <f>VLOOKUP($D406,'Component List'!E$2:F$30,2,FALSE)</f>
        <v>#N/A</v>
      </c>
      <c r="T406" s="77" t="e">
        <f>VLOOKUP($E406,'Component List'!G$2:H$30,2,FALSE)</f>
        <v>#N/A</v>
      </c>
      <c r="U406" s="77" t="e">
        <f>VLOOKUP($F406,'Component List'!I$2:J$30,2,FALSE)</f>
        <v>#N/A</v>
      </c>
      <c r="V406" s="77" t="e">
        <f>VLOOKUP(G406,'Component List'!K$2:L$30,2,FALSE)</f>
        <v>#N/A</v>
      </c>
      <c r="W406" s="77" t="e">
        <f>VLOOKUP(H406,'Component List'!M$2:N$31,2,FALSE)</f>
        <v>#N/A</v>
      </c>
      <c r="X406" s="77" t="e">
        <f>VLOOKUP(I406,'Component List'!O$2:P$30,2,FALSE)</f>
        <v>#N/A</v>
      </c>
      <c r="Y406" s="77" t="e">
        <f>VLOOKUP(J406,'Component List'!Q$2:R$30,2,FALSE)</f>
        <v>#N/A</v>
      </c>
      <c r="Z406" s="77" t="e">
        <f>VLOOKUP(K406,'Component List'!S$2:T$30,2,FALSE)</f>
        <v>#N/A</v>
      </c>
      <c r="AA406" s="77" t="e">
        <f>VLOOKUP(L406,'Component List'!U$2:V$30,2,FALSE)</f>
        <v>#N/A</v>
      </c>
      <c r="AB406" s="77" t="e">
        <f>VLOOKUP(M406,'Component List'!AA$2:AB$30,2,FALSE)</f>
        <v>#N/A</v>
      </c>
      <c r="AC406" s="77" t="e">
        <f>VLOOKUP(N406,'Component List'!Y$2:Z$30,2,FALSE)</f>
        <v>#N/A</v>
      </c>
      <c r="AD406" s="159" t="e">
        <f>VLOOKUP(O406,'Component List'!W$3:X$30,2,FALSE)</f>
        <v>#N/A</v>
      </c>
    </row>
    <row r="407" spans="1:30" ht="30" customHeight="1" x14ac:dyDescent="0.3">
      <c r="A407" s="236"/>
      <c r="B407" s="173"/>
      <c r="C407" s="78"/>
      <c r="D407" s="78"/>
      <c r="E407" s="79"/>
      <c r="F407" s="78"/>
      <c r="G407" s="78"/>
      <c r="H407" s="78"/>
      <c r="I407" s="78"/>
      <c r="J407" s="78"/>
      <c r="K407" s="110"/>
      <c r="L407" s="110"/>
      <c r="M407" s="78"/>
      <c r="N407" s="78"/>
      <c r="O407" s="117"/>
      <c r="P407" s="114" t="e">
        <f t="shared" si="5"/>
        <v>#N/A</v>
      </c>
      <c r="Q407" s="77" t="e">
        <f>VLOOKUP($B407,'Component List'!$A$2:$B$30,2,FALSE)</f>
        <v>#N/A</v>
      </c>
      <c r="R407" s="77" t="e">
        <f>VLOOKUP($C407,'Component List'!C$2:D$28,2,FALSE)</f>
        <v>#N/A</v>
      </c>
      <c r="S407" s="77" t="e">
        <f>VLOOKUP($D407,'Component List'!E$2:F$30,2,FALSE)</f>
        <v>#N/A</v>
      </c>
      <c r="T407" s="77" t="e">
        <f>VLOOKUP($E407,'Component List'!G$2:H$30,2,FALSE)</f>
        <v>#N/A</v>
      </c>
      <c r="U407" s="77" t="e">
        <f>VLOOKUP($F407,'Component List'!I$2:J$30,2,FALSE)</f>
        <v>#N/A</v>
      </c>
      <c r="V407" s="77" t="e">
        <f>VLOOKUP(G407,'Component List'!K$2:L$30,2,FALSE)</f>
        <v>#N/A</v>
      </c>
      <c r="W407" s="77" t="e">
        <f>VLOOKUP(H407,'Component List'!M$2:N$31,2,FALSE)</f>
        <v>#N/A</v>
      </c>
      <c r="X407" s="77" t="e">
        <f>VLOOKUP(I407,'Component List'!O$2:P$30,2,FALSE)</f>
        <v>#N/A</v>
      </c>
      <c r="Y407" s="77" t="e">
        <f>VLOOKUP(J407,'Component List'!Q$2:R$30,2,FALSE)</f>
        <v>#N/A</v>
      </c>
      <c r="Z407" s="77" t="e">
        <f>VLOOKUP(K407,'Component List'!S$2:T$30,2,FALSE)</f>
        <v>#N/A</v>
      </c>
      <c r="AA407" s="77" t="e">
        <f>VLOOKUP(L407,'Component List'!U$2:V$30,2,FALSE)</f>
        <v>#N/A</v>
      </c>
      <c r="AB407" s="77" t="e">
        <f>VLOOKUP(M407,'Component List'!AA$2:AB$30,2,FALSE)</f>
        <v>#N/A</v>
      </c>
      <c r="AC407" s="77" t="e">
        <f>VLOOKUP(N407,'Component List'!Y$2:Z$30,2,FALSE)</f>
        <v>#N/A</v>
      </c>
      <c r="AD407" s="159" t="e">
        <f>VLOOKUP(O407,'Component List'!W$3:X$30,2,FALSE)</f>
        <v>#N/A</v>
      </c>
    </row>
    <row r="408" spans="1:30" ht="30" customHeight="1" x14ac:dyDescent="0.3">
      <c r="A408" s="236"/>
      <c r="B408" s="173"/>
      <c r="C408" s="78"/>
      <c r="D408" s="78"/>
      <c r="E408" s="79"/>
      <c r="F408" s="78"/>
      <c r="G408" s="78"/>
      <c r="H408" s="78"/>
      <c r="I408" s="78"/>
      <c r="J408" s="78"/>
      <c r="K408" s="110"/>
      <c r="L408" s="110"/>
      <c r="M408" s="78"/>
      <c r="N408" s="78"/>
      <c r="O408" s="117"/>
      <c r="P408" s="114" t="e">
        <f t="shared" si="5"/>
        <v>#N/A</v>
      </c>
      <c r="Q408" s="77" t="e">
        <f>VLOOKUP($B408,'Component List'!$A$2:$B$30,2,FALSE)</f>
        <v>#N/A</v>
      </c>
      <c r="R408" s="77" t="e">
        <f>VLOOKUP($C408,'Component List'!C$2:D$28,2,FALSE)</f>
        <v>#N/A</v>
      </c>
      <c r="S408" s="77" t="e">
        <f>VLOOKUP($D408,'Component List'!E$2:F$30,2,FALSE)</f>
        <v>#N/A</v>
      </c>
      <c r="T408" s="77" t="e">
        <f>VLOOKUP($E408,'Component List'!G$2:H$30,2,FALSE)</f>
        <v>#N/A</v>
      </c>
      <c r="U408" s="77" t="e">
        <f>VLOOKUP($F408,'Component List'!I$2:J$30,2,FALSE)</f>
        <v>#N/A</v>
      </c>
      <c r="V408" s="77" t="e">
        <f>VLOOKUP(G408,'Component List'!K$2:L$30,2,FALSE)</f>
        <v>#N/A</v>
      </c>
      <c r="W408" s="77" t="e">
        <f>VLOOKUP(H408,'Component List'!M$2:N$31,2,FALSE)</f>
        <v>#N/A</v>
      </c>
      <c r="X408" s="77" t="e">
        <f>VLOOKUP(I408,'Component List'!O$2:P$30,2,FALSE)</f>
        <v>#N/A</v>
      </c>
      <c r="Y408" s="77" t="e">
        <f>VLOOKUP(J408,'Component List'!Q$2:R$30,2,FALSE)</f>
        <v>#N/A</v>
      </c>
      <c r="Z408" s="77" t="e">
        <f>VLOOKUP(K408,'Component List'!S$2:T$30,2,FALSE)</f>
        <v>#N/A</v>
      </c>
      <c r="AA408" s="77" t="e">
        <f>VLOOKUP(L408,'Component List'!U$2:V$30,2,FALSE)</f>
        <v>#N/A</v>
      </c>
      <c r="AB408" s="77" t="e">
        <f>VLOOKUP(M408,'Component List'!AA$2:AB$30,2,FALSE)</f>
        <v>#N/A</v>
      </c>
      <c r="AC408" s="77" t="e">
        <f>VLOOKUP(N408,'Component List'!Y$2:Z$30,2,FALSE)</f>
        <v>#N/A</v>
      </c>
      <c r="AD408" s="159" t="e">
        <f>VLOOKUP(O408,'Component List'!W$3:X$30,2,FALSE)</f>
        <v>#N/A</v>
      </c>
    </row>
    <row r="409" spans="1:30" ht="30" customHeight="1" x14ac:dyDescent="0.3">
      <c r="A409" s="236"/>
      <c r="B409" s="173"/>
      <c r="C409" s="78"/>
      <c r="D409" s="78"/>
      <c r="E409" s="79"/>
      <c r="F409" s="78"/>
      <c r="G409" s="78"/>
      <c r="H409" s="78"/>
      <c r="I409" s="78"/>
      <c r="J409" s="78"/>
      <c r="K409" s="110"/>
      <c r="L409" s="110"/>
      <c r="M409" s="78"/>
      <c r="N409" s="78"/>
      <c r="O409" s="117"/>
      <c r="P409" s="114" t="e">
        <f t="shared" si="5"/>
        <v>#N/A</v>
      </c>
      <c r="Q409" s="77" t="e">
        <f>VLOOKUP($B409,'Component List'!$A$2:$B$30,2,FALSE)</f>
        <v>#N/A</v>
      </c>
      <c r="R409" s="77" t="e">
        <f>VLOOKUP($C409,'Component List'!C$2:D$28,2,FALSE)</f>
        <v>#N/A</v>
      </c>
      <c r="S409" s="77" t="e">
        <f>VLOOKUP($D409,'Component List'!E$2:F$30,2,FALSE)</f>
        <v>#N/A</v>
      </c>
      <c r="T409" s="77" t="e">
        <f>VLOOKUP($E409,'Component List'!G$2:H$30,2,FALSE)</f>
        <v>#N/A</v>
      </c>
      <c r="U409" s="77" t="e">
        <f>VLOOKUP($F409,'Component List'!I$2:J$30,2,FALSE)</f>
        <v>#N/A</v>
      </c>
      <c r="V409" s="77" t="e">
        <f>VLOOKUP(G409,'Component List'!K$2:L$30,2,FALSE)</f>
        <v>#N/A</v>
      </c>
      <c r="W409" s="77" t="e">
        <f>VLOOKUP(H409,'Component List'!M$2:N$31,2,FALSE)</f>
        <v>#N/A</v>
      </c>
      <c r="X409" s="77" t="e">
        <f>VLOOKUP(I409,'Component List'!O$2:P$30,2,FALSE)</f>
        <v>#N/A</v>
      </c>
      <c r="Y409" s="77" t="e">
        <f>VLOOKUP(J409,'Component List'!Q$2:R$30,2,FALSE)</f>
        <v>#N/A</v>
      </c>
      <c r="Z409" s="77" t="e">
        <f>VLOOKUP(K409,'Component List'!S$2:T$30,2,FALSE)</f>
        <v>#N/A</v>
      </c>
      <c r="AA409" s="77" t="e">
        <f>VLOOKUP(L409,'Component List'!U$2:V$30,2,FALSE)</f>
        <v>#N/A</v>
      </c>
      <c r="AB409" s="77" t="e">
        <f>VLOOKUP(M409,'Component List'!AA$2:AB$30,2,FALSE)</f>
        <v>#N/A</v>
      </c>
      <c r="AC409" s="77" t="e">
        <f>VLOOKUP(N409,'Component List'!Y$2:Z$30,2,FALSE)</f>
        <v>#N/A</v>
      </c>
      <c r="AD409" s="159" t="e">
        <f>VLOOKUP(O409,'Component List'!W$3:X$30,2,FALSE)</f>
        <v>#N/A</v>
      </c>
    </row>
    <row r="410" spans="1:30" ht="30" customHeight="1" x14ac:dyDescent="0.3">
      <c r="A410" s="236"/>
      <c r="B410" s="173"/>
      <c r="C410" s="78"/>
      <c r="D410" s="78"/>
      <c r="E410" s="79"/>
      <c r="F410" s="78"/>
      <c r="G410" s="78"/>
      <c r="H410" s="78"/>
      <c r="I410" s="78"/>
      <c r="J410" s="78"/>
      <c r="K410" s="110"/>
      <c r="L410" s="110"/>
      <c r="M410" s="78"/>
      <c r="N410" s="78"/>
      <c r="O410" s="117"/>
      <c r="P410" s="114" t="e">
        <f t="shared" si="5"/>
        <v>#N/A</v>
      </c>
      <c r="Q410" s="77" t="e">
        <f>VLOOKUP($B410,'Component List'!$A$2:$B$30,2,FALSE)</f>
        <v>#N/A</v>
      </c>
      <c r="R410" s="77" t="e">
        <f>VLOOKUP($C410,'Component List'!C$2:D$28,2,FALSE)</f>
        <v>#N/A</v>
      </c>
      <c r="S410" s="77" t="e">
        <f>VLOOKUP($D410,'Component List'!E$2:F$30,2,FALSE)</f>
        <v>#N/A</v>
      </c>
      <c r="T410" s="77" t="e">
        <f>VLOOKUP($E410,'Component List'!G$2:H$30,2,FALSE)</f>
        <v>#N/A</v>
      </c>
      <c r="U410" s="77" t="e">
        <f>VLOOKUP($F410,'Component List'!I$2:J$30,2,FALSE)</f>
        <v>#N/A</v>
      </c>
      <c r="V410" s="77" t="e">
        <f>VLOOKUP(G410,'Component List'!K$2:L$30,2,FALSE)</f>
        <v>#N/A</v>
      </c>
      <c r="W410" s="77" t="e">
        <f>VLOOKUP(H410,'Component List'!M$2:N$31,2,FALSE)</f>
        <v>#N/A</v>
      </c>
      <c r="X410" s="77" t="e">
        <f>VLOOKUP(I410,'Component List'!O$2:P$30,2,FALSE)</f>
        <v>#N/A</v>
      </c>
      <c r="Y410" s="77" t="e">
        <f>VLOOKUP(J410,'Component List'!Q$2:R$30,2,FALSE)</f>
        <v>#N/A</v>
      </c>
      <c r="Z410" s="77" t="e">
        <f>VLOOKUP(K410,'Component List'!S$2:T$30,2,FALSE)</f>
        <v>#N/A</v>
      </c>
      <c r="AA410" s="77" t="e">
        <f>VLOOKUP(L410,'Component List'!U$2:V$30,2,FALSE)</f>
        <v>#N/A</v>
      </c>
      <c r="AB410" s="77" t="e">
        <f>VLOOKUP(M410,'Component List'!AA$2:AB$30,2,FALSE)</f>
        <v>#N/A</v>
      </c>
      <c r="AC410" s="77" t="e">
        <f>VLOOKUP(N410,'Component List'!Y$2:Z$30,2,FALSE)</f>
        <v>#N/A</v>
      </c>
      <c r="AD410" s="159" t="e">
        <f>VLOOKUP(O410,'Component List'!W$3:X$30,2,FALSE)</f>
        <v>#N/A</v>
      </c>
    </row>
    <row r="411" spans="1:30" ht="30" customHeight="1" x14ac:dyDescent="0.3">
      <c r="A411" s="236"/>
      <c r="B411" s="173"/>
      <c r="C411" s="78"/>
      <c r="D411" s="78"/>
      <c r="E411" s="79"/>
      <c r="F411" s="78"/>
      <c r="G411" s="78"/>
      <c r="H411" s="78"/>
      <c r="I411" s="78"/>
      <c r="J411" s="78"/>
      <c r="K411" s="110"/>
      <c r="L411" s="110"/>
      <c r="M411" s="78"/>
      <c r="N411" s="78"/>
      <c r="O411" s="117"/>
      <c r="P411" s="114" t="e">
        <f t="shared" si="5"/>
        <v>#N/A</v>
      </c>
      <c r="Q411" s="77" t="e">
        <f>VLOOKUP($B411,'Component List'!$A$2:$B$30,2,FALSE)</f>
        <v>#N/A</v>
      </c>
      <c r="R411" s="77" t="e">
        <f>VLOOKUP($C411,'Component List'!C$2:D$28,2,FALSE)</f>
        <v>#N/A</v>
      </c>
      <c r="S411" s="77" t="e">
        <f>VLOOKUP($D411,'Component List'!E$2:F$30,2,FALSE)</f>
        <v>#N/A</v>
      </c>
      <c r="T411" s="77" t="e">
        <f>VLOOKUP($E411,'Component List'!G$2:H$30,2,FALSE)</f>
        <v>#N/A</v>
      </c>
      <c r="U411" s="77" t="e">
        <f>VLOOKUP($F411,'Component List'!I$2:J$30,2,FALSE)</f>
        <v>#N/A</v>
      </c>
      <c r="V411" s="77" t="e">
        <f>VLOOKUP(G411,'Component List'!K$2:L$30,2,FALSE)</f>
        <v>#N/A</v>
      </c>
      <c r="W411" s="77" t="e">
        <f>VLOOKUP(H411,'Component List'!M$2:N$31,2,FALSE)</f>
        <v>#N/A</v>
      </c>
      <c r="X411" s="77" t="e">
        <f>VLOOKUP(I411,'Component List'!O$2:P$30,2,FALSE)</f>
        <v>#N/A</v>
      </c>
      <c r="Y411" s="77" t="e">
        <f>VLOOKUP(J411,'Component List'!Q$2:R$30,2,FALSE)</f>
        <v>#N/A</v>
      </c>
      <c r="Z411" s="77" t="e">
        <f>VLOOKUP(K411,'Component List'!S$2:T$30,2,FALSE)</f>
        <v>#N/A</v>
      </c>
      <c r="AA411" s="77" t="e">
        <f>VLOOKUP(L411,'Component List'!U$2:V$30,2,FALSE)</f>
        <v>#N/A</v>
      </c>
      <c r="AB411" s="77" t="e">
        <f>VLOOKUP(M411,'Component List'!AA$2:AB$30,2,FALSE)</f>
        <v>#N/A</v>
      </c>
      <c r="AC411" s="77" t="e">
        <f>VLOOKUP(N411,'Component List'!Y$2:Z$30,2,FALSE)</f>
        <v>#N/A</v>
      </c>
      <c r="AD411" s="159" t="e">
        <f>VLOOKUP(O411,'Component List'!W$3:X$30,2,FALSE)</f>
        <v>#N/A</v>
      </c>
    </row>
    <row r="412" spans="1:30" ht="30" customHeight="1" x14ac:dyDescent="0.3">
      <c r="A412" s="236"/>
      <c r="B412" s="173"/>
      <c r="C412" s="78"/>
      <c r="D412" s="78"/>
      <c r="E412" s="79"/>
      <c r="F412" s="78"/>
      <c r="G412" s="78"/>
      <c r="H412" s="78"/>
      <c r="I412" s="78"/>
      <c r="J412" s="78"/>
      <c r="K412" s="110"/>
      <c r="L412" s="110"/>
      <c r="M412" s="78"/>
      <c r="N412" s="78"/>
      <c r="O412" s="117"/>
      <c r="P412" s="114" t="e">
        <f t="shared" si="5"/>
        <v>#N/A</v>
      </c>
      <c r="Q412" s="77" t="e">
        <f>VLOOKUP($B412,'Component List'!$A$2:$B$30,2,FALSE)</f>
        <v>#N/A</v>
      </c>
      <c r="R412" s="77" t="e">
        <f>VLOOKUP($C412,'Component List'!C$2:D$28,2,FALSE)</f>
        <v>#N/A</v>
      </c>
      <c r="S412" s="77" t="e">
        <f>VLOOKUP($D412,'Component List'!E$2:F$30,2,FALSE)</f>
        <v>#N/A</v>
      </c>
      <c r="T412" s="77" t="e">
        <f>VLOOKUP($E412,'Component List'!G$2:H$30,2,FALSE)</f>
        <v>#N/A</v>
      </c>
      <c r="U412" s="77" t="e">
        <f>VLOOKUP($F412,'Component List'!I$2:J$30,2,FALSE)</f>
        <v>#N/A</v>
      </c>
      <c r="V412" s="77" t="e">
        <f>VLOOKUP(G412,'Component List'!K$2:L$30,2,FALSE)</f>
        <v>#N/A</v>
      </c>
      <c r="W412" s="77" t="e">
        <f>VLOOKUP(H412,'Component List'!M$2:N$31,2,FALSE)</f>
        <v>#N/A</v>
      </c>
      <c r="X412" s="77" t="e">
        <f>VLOOKUP(I412,'Component List'!O$2:P$30,2,FALSE)</f>
        <v>#N/A</v>
      </c>
      <c r="Y412" s="77" t="e">
        <f>VLOOKUP(J412,'Component List'!Q$2:R$30,2,FALSE)</f>
        <v>#N/A</v>
      </c>
      <c r="Z412" s="77" t="e">
        <f>VLOOKUP(K412,'Component List'!S$2:T$30,2,FALSE)</f>
        <v>#N/A</v>
      </c>
      <c r="AA412" s="77" t="e">
        <f>VLOOKUP(L412,'Component List'!U$2:V$30,2,FALSE)</f>
        <v>#N/A</v>
      </c>
      <c r="AB412" s="77" t="e">
        <f>VLOOKUP(M412,'Component List'!AA$2:AB$30,2,FALSE)</f>
        <v>#N/A</v>
      </c>
      <c r="AC412" s="77" t="e">
        <f>VLOOKUP(N412,'Component List'!Y$2:Z$30,2,FALSE)</f>
        <v>#N/A</v>
      </c>
      <c r="AD412" s="159" t="e">
        <f>VLOOKUP(O412,'Component List'!W$3:X$30,2,FALSE)</f>
        <v>#N/A</v>
      </c>
    </row>
    <row r="413" spans="1:30" ht="30" customHeight="1" x14ac:dyDescent="0.3">
      <c r="A413" s="236"/>
      <c r="B413" s="173"/>
      <c r="C413" s="78"/>
      <c r="D413" s="78"/>
      <c r="E413" s="79"/>
      <c r="F413" s="78"/>
      <c r="G413" s="78"/>
      <c r="H413" s="78"/>
      <c r="I413" s="78"/>
      <c r="J413" s="78"/>
      <c r="K413" s="110"/>
      <c r="L413" s="110"/>
      <c r="M413" s="78"/>
      <c r="N413" s="78"/>
      <c r="O413" s="117"/>
      <c r="P413" s="114" t="e">
        <f t="shared" si="5"/>
        <v>#N/A</v>
      </c>
      <c r="Q413" s="77" t="e">
        <f>VLOOKUP($B413,'Component List'!$A$2:$B$30,2,FALSE)</f>
        <v>#N/A</v>
      </c>
      <c r="R413" s="77" t="e">
        <f>VLOOKUP($C413,'Component List'!C$2:D$28,2,FALSE)</f>
        <v>#N/A</v>
      </c>
      <c r="S413" s="77" t="e">
        <f>VLOOKUP($D413,'Component List'!E$2:F$30,2,FALSE)</f>
        <v>#N/A</v>
      </c>
      <c r="T413" s="77" t="e">
        <f>VLOOKUP($E413,'Component List'!G$2:H$30,2,FALSE)</f>
        <v>#N/A</v>
      </c>
      <c r="U413" s="77" t="e">
        <f>VLOOKUP($F413,'Component List'!I$2:J$30,2,FALSE)</f>
        <v>#N/A</v>
      </c>
      <c r="V413" s="77" t="e">
        <f>VLOOKUP(G413,'Component List'!K$2:L$30,2,FALSE)</f>
        <v>#N/A</v>
      </c>
      <c r="W413" s="77" t="e">
        <f>VLOOKUP(H413,'Component List'!M$2:N$31,2,FALSE)</f>
        <v>#N/A</v>
      </c>
      <c r="X413" s="77" t="e">
        <f>VLOOKUP(I413,'Component List'!O$2:P$30,2,FALSE)</f>
        <v>#N/A</v>
      </c>
      <c r="Y413" s="77" t="e">
        <f>VLOOKUP(J413,'Component List'!Q$2:R$30,2,FALSE)</f>
        <v>#N/A</v>
      </c>
      <c r="Z413" s="77" t="e">
        <f>VLOOKUP(K413,'Component List'!S$2:T$30,2,FALSE)</f>
        <v>#N/A</v>
      </c>
      <c r="AA413" s="77" t="e">
        <f>VLOOKUP(L413,'Component List'!U$2:V$30,2,FALSE)</f>
        <v>#N/A</v>
      </c>
      <c r="AB413" s="77" t="e">
        <f>VLOOKUP(M413,'Component List'!AA$2:AB$30,2,FALSE)</f>
        <v>#N/A</v>
      </c>
      <c r="AC413" s="77" t="e">
        <f>VLOOKUP(N413,'Component List'!Y$2:Z$30,2,FALSE)</f>
        <v>#N/A</v>
      </c>
      <c r="AD413" s="159" t="e">
        <f>VLOOKUP(O413,'Component List'!W$3:X$30,2,FALSE)</f>
        <v>#N/A</v>
      </c>
    </row>
    <row r="414" spans="1:30" ht="30" customHeight="1" x14ac:dyDescent="0.3">
      <c r="A414" s="236"/>
      <c r="B414" s="173"/>
      <c r="C414" s="78"/>
      <c r="D414" s="78"/>
      <c r="E414" s="79"/>
      <c r="F414" s="78"/>
      <c r="G414" s="78"/>
      <c r="H414" s="78"/>
      <c r="I414" s="78"/>
      <c r="J414" s="78"/>
      <c r="K414" s="110"/>
      <c r="L414" s="110"/>
      <c r="M414" s="78"/>
      <c r="N414" s="78"/>
      <c r="O414" s="117"/>
      <c r="P414" s="114" t="e">
        <f t="shared" si="5"/>
        <v>#N/A</v>
      </c>
      <c r="Q414" s="77" t="e">
        <f>VLOOKUP($B414,'Component List'!$A$2:$B$30,2,FALSE)</f>
        <v>#N/A</v>
      </c>
      <c r="R414" s="77" t="e">
        <f>VLOOKUP($C414,'Component List'!C$2:D$28,2,FALSE)</f>
        <v>#N/A</v>
      </c>
      <c r="S414" s="77" t="e">
        <f>VLOOKUP($D414,'Component List'!E$2:F$30,2,FALSE)</f>
        <v>#N/A</v>
      </c>
      <c r="T414" s="77" t="e">
        <f>VLOOKUP($E414,'Component List'!G$2:H$30,2,FALSE)</f>
        <v>#N/A</v>
      </c>
      <c r="U414" s="77" t="e">
        <f>VLOOKUP($F414,'Component List'!I$2:J$30,2,FALSE)</f>
        <v>#N/A</v>
      </c>
      <c r="V414" s="77" t="e">
        <f>VLOOKUP(G414,'Component List'!K$2:L$30,2,FALSE)</f>
        <v>#N/A</v>
      </c>
      <c r="W414" s="77" t="e">
        <f>VLOOKUP(H414,'Component List'!M$2:N$31,2,FALSE)</f>
        <v>#N/A</v>
      </c>
      <c r="X414" s="77" t="e">
        <f>VLOOKUP(I414,'Component List'!O$2:P$30,2,FALSE)</f>
        <v>#N/A</v>
      </c>
      <c r="Y414" s="77" t="e">
        <f>VLOOKUP(J414,'Component List'!Q$2:R$30,2,FALSE)</f>
        <v>#N/A</v>
      </c>
      <c r="Z414" s="77" t="e">
        <f>VLOOKUP(K414,'Component List'!S$2:T$30,2,FALSE)</f>
        <v>#N/A</v>
      </c>
      <c r="AA414" s="77" t="e">
        <f>VLOOKUP(L414,'Component List'!U$2:V$30,2,FALSE)</f>
        <v>#N/A</v>
      </c>
      <c r="AB414" s="77" t="e">
        <f>VLOOKUP(M414,'Component List'!AA$2:AB$30,2,FALSE)</f>
        <v>#N/A</v>
      </c>
      <c r="AC414" s="77" t="e">
        <f>VLOOKUP(N414,'Component List'!Y$2:Z$30,2,FALSE)</f>
        <v>#N/A</v>
      </c>
      <c r="AD414" s="159" t="e">
        <f>VLOOKUP(O414,'Component List'!W$3:X$30,2,FALSE)</f>
        <v>#N/A</v>
      </c>
    </row>
    <row r="415" spans="1:30" ht="30" customHeight="1" x14ac:dyDescent="0.3">
      <c r="A415" s="236"/>
      <c r="B415" s="173"/>
      <c r="C415" s="78"/>
      <c r="D415" s="78"/>
      <c r="E415" s="79"/>
      <c r="F415" s="78"/>
      <c r="G415" s="78"/>
      <c r="H415" s="78"/>
      <c r="I415" s="78"/>
      <c r="J415" s="78"/>
      <c r="K415" s="110"/>
      <c r="L415" s="110"/>
      <c r="M415" s="78"/>
      <c r="N415" s="78"/>
      <c r="O415" s="117"/>
      <c r="P415" s="114" t="e">
        <f t="shared" si="5"/>
        <v>#N/A</v>
      </c>
      <c r="Q415" s="77" t="e">
        <f>VLOOKUP($B415,'Component List'!$A$2:$B$30,2,FALSE)</f>
        <v>#N/A</v>
      </c>
      <c r="R415" s="77" t="e">
        <f>VLOOKUP($C415,'Component List'!C$2:D$28,2,FALSE)</f>
        <v>#N/A</v>
      </c>
      <c r="S415" s="77" t="e">
        <f>VLOOKUP($D415,'Component List'!E$2:F$30,2,FALSE)</f>
        <v>#N/A</v>
      </c>
      <c r="T415" s="77" t="e">
        <f>VLOOKUP($E415,'Component List'!G$2:H$30,2,FALSE)</f>
        <v>#N/A</v>
      </c>
      <c r="U415" s="77" t="e">
        <f>VLOOKUP($F415,'Component List'!I$2:J$30,2,FALSE)</f>
        <v>#N/A</v>
      </c>
      <c r="V415" s="77" t="e">
        <f>VLOOKUP(G415,'Component List'!K$2:L$30,2,FALSE)</f>
        <v>#N/A</v>
      </c>
      <c r="W415" s="77" t="e">
        <f>VLOOKUP(H415,'Component List'!M$2:N$31,2,FALSE)</f>
        <v>#N/A</v>
      </c>
      <c r="X415" s="77" t="e">
        <f>VLOOKUP(I415,'Component List'!O$2:P$30,2,FALSE)</f>
        <v>#N/A</v>
      </c>
      <c r="Y415" s="77" t="e">
        <f>VLOOKUP(J415,'Component List'!Q$2:R$30,2,FALSE)</f>
        <v>#N/A</v>
      </c>
      <c r="Z415" s="77" t="e">
        <f>VLOOKUP(K415,'Component List'!S$2:T$30,2,FALSE)</f>
        <v>#N/A</v>
      </c>
      <c r="AA415" s="77" t="e">
        <f>VLOOKUP(L415,'Component List'!U$2:V$30,2,FALSE)</f>
        <v>#N/A</v>
      </c>
      <c r="AB415" s="77" t="e">
        <f>VLOOKUP(M415,'Component List'!AA$2:AB$30,2,FALSE)</f>
        <v>#N/A</v>
      </c>
      <c r="AC415" s="77" t="e">
        <f>VLOOKUP(N415,'Component List'!Y$2:Z$30,2,FALSE)</f>
        <v>#N/A</v>
      </c>
      <c r="AD415" s="159" t="e">
        <f>VLOOKUP(O415,'Component List'!W$3:X$30,2,FALSE)</f>
        <v>#N/A</v>
      </c>
    </row>
    <row r="416" spans="1:30" ht="30" customHeight="1" x14ac:dyDescent="0.3">
      <c r="A416" s="236"/>
      <c r="B416" s="173"/>
      <c r="C416" s="78"/>
      <c r="D416" s="78"/>
      <c r="E416" s="79"/>
      <c r="F416" s="78"/>
      <c r="G416" s="78"/>
      <c r="H416" s="78"/>
      <c r="I416" s="78"/>
      <c r="J416" s="78"/>
      <c r="K416" s="110"/>
      <c r="L416" s="110"/>
      <c r="M416" s="78"/>
      <c r="N416" s="78"/>
      <c r="O416" s="117"/>
      <c r="P416" s="114" t="e">
        <f t="shared" si="5"/>
        <v>#N/A</v>
      </c>
      <c r="Q416" s="77" t="e">
        <f>VLOOKUP($B416,'Component List'!$A$2:$B$30,2,FALSE)</f>
        <v>#N/A</v>
      </c>
      <c r="R416" s="77" t="e">
        <f>VLOOKUP($C416,'Component List'!C$2:D$28,2,FALSE)</f>
        <v>#N/A</v>
      </c>
      <c r="S416" s="77" t="e">
        <f>VLOOKUP($D416,'Component List'!E$2:F$30,2,FALSE)</f>
        <v>#N/A</v>
      </c>
      <c r="T416" s="77" t="e">
        <f>VLOOKUP($E416,'Component List'!G$2:H$30,2,FALSE)</f>
        <v>#N/A</v>
      </c>
      <c r="U416" s="77" t="e">
        <f>VLOOKUP($F416,'Component List'!I$2:J$30,2,FALSE)</f>
        <v>#N/A</v>
      </c>
      <c r="V416" s="77" t="e">
        <f>VLOOKUP(G416,'Component List'!K$2:L$30,2,FALSE)</f>
        <v>#N/A</v>
      </c>
      <c r="W416" s="77" t="e">
        <f>VLOOKUP(H416,'Component List'!M$2:N$31,2,FALSE)</f>
        <v>#N/A</v>
      </c>
      <c r="X416" s="77" t="e">
        <f>VLOOKUP(I416,'Component List'!O$2:P$30,2,FALSE)</f>
        <v>#N/A</v>
      </c>
      <c r="Y416" s="77" t="e">
        <f>VLOOKUP(J416,'Component List'!Q$2:R$30,2,FALSE)</f>
        <v>#N/A</v>
      </c>
      <c r="Z416" s="77" t="e">
        <f>VLOOKUP(K416,'Component List'!S$2:T$30,2,FALSE)</f>
        <v>#N/A</v>
      </c>
      <c r="AA416" s="77" t="e">
        <f>VLOOKUP(L416,'Component List'!U$2:V$30,2,FALSE)</f>
        <v>#N/A</v>
      </c>
      <c r="AB416" s="77" t="e">
        <f>VLOOKUP(M416,'Component List'!AA$2:AB$30,2,FALSE)</f>
        <v>#N/A</v>
      </c>
      <c r="AC416" s="77" t="e">
        <f>VLOOKUP(N416,'Component List'!Y$2:Z$30,2,FALSE)</f>
        <v>#N/A</v>
      </c>
      <c r="AD416" s="159" t="e">
        <f>VLOOKUP(O416,'Component List'!W$3:X$30,2,FALSE)</f>
        <v>#N/A</v>
      </c>
    </row>
    <row r="417" spans="1:30" ht="30" customHeight="1" x14ac:dyDescent="0.3">
      <c r="A417" s="236"/>
      <c r="B417" s="173"/>
      <c r="C417" s="78"/>
      <c r="D417" s="78"/>
      <c r="E417" s="79"/>
      <c r="F417" s="78"/>
      <c r="G417" s="78"/>
      <c r="H417" s="78"/>
      <c r="I417" s="78"/>
      <c r="J417" s="78"/>
      <c r="K417" s="110"/>
      <c r="L417" s="110"/>
      <c r="M417" s="78"/>
      <c r="N417" s="78"/>
      <c r="O417" s="117"/>
      <c r="P417" s="114" t="e">
        <f t="shared" si="5"/>
        <v>#N/A</v>
      </c>
      <c r="Q417" s="77" t="e">
        <f>VLOOKUP($B417,'Component List'!$A$2:$B$30,2,FALSE)</f>
        <v>#N/A</v>
      </c>
      <c r="R417" s="77" t="e">
        <f>VLOOKUP($C417,'Component List'!C$2:D$28,2,FALSE)</f>
        <v>#N/A</v>
      </c>
      <c r="S417" s="77" t="e">
        <f>VLOOKUP($D417,'Component List'!E$2:F$30,2,FALSE)</f>
        <v>#N/A</v>
      </c>
      <c r="T417" s="77" t="e">
        <f>VLOOKUP($E417,'Component List'!G$2:H$30,2,FALSE)</f>
        <v>#N/A</v>
      </c>
      <c r="U417" s="77" t="e">
        <f>VLOOKUP($F417,'Component List'!I$2:J$30,2,FALSE)</f>
        <v>#N/A</v>
      </c>
      <c r="V417" s="77" t="e">
        <f>VLOOKUP(G417,'Component List'!K$2:L$30,2,FALSE)</f>
        <v>#N/A</v>
      </c>
      <c r="W417" s="77" t="e">
        <f>VLOOKUP(H417,'Component List'!M$2:N$31,2,FALSE)</f>
        <v>#N/A</v>
      </c>
      <c r="X417" s="77" t="e">
        <f>VLOOKUP(I417,'Component List'!O$2:P$30,2,FALSE)</f>
        <v>#N/A</v>
      </c>
      <c r="Y417" s="77" t="e">
        <f>VLOOKUP(J417,'Component List'!Q$2:R$30,2,FALSE)</f>
        <v>#N/A</v>
      </c>
      <c r="Z417" s="77" t="e">
        <f>VLOOKUP(K417,'Component List'!S$2:T$30,2,FALSE)</f>
        <v>#N/A</v>
      </c>
      <c r="AA417" s="77" t="e">
        <f>VLOOKUP(L417,'Component List'!U$2:V$30,2,FALSE)</f>
        <v>#N/A</v>
      </c>
      <c r="AB417" s="77" t="e">
        <f>VLOOKUP(M417,'Component List'!AA$2:AB$30,2,FALSE)</f>
        <v>#N/A</v>
      </c>
      <c r="AC417" s="77" t="e">
        <f>VLOOKUP(N417,'Component List'!Y$2:Z$30,2,FALSE)</f>
        <v>#N/A</v>
      </c>
      <c r="AD417" s="159" t="e">
        <f>VLOOKUP(O417,'Component List'!W$3:X$30,2,FALSE)</f>
        <v>#N/A</v>
      </c>
    </row>
    <row r="418" spans="1:30" ht="30" customHeight="1" x14ac:dyDescent="0.3">
      <c r="A418" s="236"/>
      <c r="B418" s="173"/>
      <c r="C418" s="78"/>
      <c r="D418" s="78"/>
      <c r="E418" s="79"/>
      <c r="F418" s="78"/>
      <c r="G418" s="78"/>
      <c r="H418" s="78"/>
      <c r="I418" s="78"/>
      <c r="J418" s="78"/>
      <c r="K418" s="110"/>
      <c r="L418" s="110"/>
      <c r="M418" s="78"/>
      <c r="N418" s="78"/>
      <c r="O418" s="117"/>
      <c r="P418" s="114" t="e">
        <f t="shared" si="5"/>
        <v>#N/A</v>
      </c>
      <c r="Q418" s="77" t="e">
        <f>VLOOKUP($B418,'Component List'!$A$2:$B$30,2,FALSE)</f>
        <v>#N/A</v>
      </c>
      <c r="R418" s="77" t="e">
        <f>VLOOKUP($C418,'Component List'!C$2:D$28,2,FALSE)</f>
        <v>#N/A</v>
      </c>
      <c r="S418" s="77" t="e">
        <f>VLOOKUP($D418,'Component List'!E$2:F$30,2,FALSE)</f>
        <v>#N/A</v>
      </c>
      <c r="T418" s="77" t="e">
        <f>VLOOKUP($E418,'Component List'!G$2:H$30,2,FALSE)</f>
        <v>#N/A</v>
      </c>
      <c r="U418" s="77" t="e">
        <f>VLOOKUP($F418,'Component List'!I$2:J$30,2,FALSE)</f>
        <v>#N/A</v>
      </c>
      <c r="V418" s="77" t="e">
        <f>VLOOKUP(G418,'Component List'!K$2:L$30,2,FALSE)</f>
        <v>#N/A</v>
      </c>
      <c r="W418" s="77" t="e">
        <f>VLOOKUP(H418,'Component List'!M$2:N$31,2,FALSE)</f>
        <v>#N/A</v>
      </c>
      <c r="X418" s="77" t="e">
        <f>VLOOKUP(I418,'Component List'!O$2:P$30,2,FALSE)</f>
        <v>#N/A</v>
      </c>
      <c r="Y418" s="77" t="e">
        <f>VLOOKUP(J418,'Component List'!Q$2:R$30,2,FALSE)</f>
        <v>#N/A</v>
      </c>
      <c r="Z418" s="77" t="e">
        <f>VLOOKUP(K418,'Component List'!S$2:T$30,2,FALSE)</f>
        <v>#N/A</v>
      </c>
      <c r="AA418" s="77" t="e">
        <f>VLOOKUP(L418,'Component List'!U$2:V$30,2,FALSE)</f>
        <v>#N/A</v>
      </c>
      <c r="AB418" s="77" t="e">
        <f>VLOOKUP(M418,'Component List'!AA$2:AB$30,2,FALSE)</f>
        <v>#N/A</v>
      </c>
      <c r="AC418" s="77" t="e">
        <f>VLOOKUP(N418,'Component List'!Y$2:Z$30,2,FALSE)</f>
        <v>#N/A</v>
      </c>
      <c r="AD418" s="159" t="e">
        <f>VLOOKUP(O418,'Component List'!W$3:X$30,2,FALSE)</f>
        <v>#N/A</v>
      </c>
    </row>
    <row r="419" spans="1:30" ht="30" customHeight="1" x14ac:dyDescent="0.3">
      <c r="A419" s="236"/>
      <c r="B419" s="173"/>
      <c r="C419" s="78"/>
      <c r="D419" s="78"/>
      <c r="E419" s="79"/>
      <c r="F419" s="78"/>
      <c r="G419" s="78"/>
      <c r="H419" s="78"/>
      <c r="I419" s="78"/>
      <c r="J419" s="78"/>
      <c r="K419" s="110"/>
      <c r="L419" s="110"/>
      <c r="M419" s="78"/>
      <c r="N419" s="78"/>
      <c r="O419" s="117"/>
      <c r="P419" s="114" t="e">
        <f t="shared" si="5"/>
        <v>#N/A</v>
      </c>
      <c r="Q419" s="77" t="e">
        <f>VLOOKUP($B419,'Component List'!$A$2:$B$30,2,FALSE)</f>
        <v>#N/A</v>
      </c>
      <c r="R419" s="77" t="e">
        <f>VLOOKUP($C419,'Component List'!C$2:D$28,2,FALSE)</f>
        <v>#N/A</v>
      </c>
      <c r="S419" s="77" t="e">
        <f>VLOOKUP($D419,'Component List'!E$2:F$30,2,FALSE)</f>
        <v>#N/A</v>
      </c>
      <c r="T419" s="77" t="e">
        <f>VLOOKUP($E419,'Component List'!G$2:H$30,2,FALSE)</f>
        <v>#N/A</v>
      </c>
      <c r="U419" s="77" t="e">
        <f>VLOOKUP($F419,'Component List'!I$2:J$30,2,FALSE)</f>
        <v>#N/A</v>
      </c>
      <c r="V419" s="77" t="e">
        <f>VLOOKUP(G419,'Component List'!K$2:L$30,2,FALSE)</f>
        <v>#N/A</v>
      </c>
      <c r="W419" s="77" t="e">
        <f>VLOOKUP(H419,'Component List'!M$2:N$31,2,FALSE)</f>
        <v>#N/A</v>
      </c>
      <c r="X419" s="77" t="e">
        <f>VLOOKUP(I419,'Component List'!O$2:P$30,2,FALSE)</f>
        <v>#N/A</v>
      </c>
      <c r="Y419" s="77" t="e">
        <f>VLOOKUP(J419,'Component List'!Q$2:R$30,2,FALSE)</f>
        <v>#N/A</v>
      </c>
      <c r="Z419" s="77" t="e">
        <f>VLOOKUP(K419,'Component List'!S$2:T$30,2,FALSE)</f>
        <v>#N/A</v>
      </c>
      <c r="AA419" s="77" t="e">
        <f>VLOOKUP(L419,'Component List'!U$2:V$30,2,FALSE)</f>
        <v>#N/A</v>
      </c>
      <c r="AB419" s="77" t="e">
        <f>VLOOKUP(M419,'Component List'!AA$2:AB$30,2,FALSE)</f>
        <v>#N/A</v>
      </c>
      <c r="AC419" s="77" t="e">
        <f>VLOOKUP(N419,'Component List'!Y$2:Z$30,2,FALSE)</f>
        <v>#N/A</v>
      </c>
      <c r="AD419" s="159" t="e">
        <f>VLOOKUP(O419,'Component List'!W$3:X$30,2,FALSE)</f>
        <v>#N/A</v>
      </c>
    </row>
    <row r="420" spans="1:30" ht="30" customHeight="1" x14ac:dyDescent="0.3">
      <c r="A420" s="236"/>
      <c r="B420" s="173"/>
      <c r="C420" s="78"/>
      <c r="D420" s="78"/>
      <c r="E420" s="79"/>
      <c r="F420" s="78"/>
      <c r="G420" s="78"/>
      <c r="H420" s="78"/>
      <c r="I420" s="78"/>
      <c r="J420" s="78"/>
      <c r="K420" s="110"/>
      <c r="L420" s="110"/>
      <c r="M420" s="78"/>
      <c r="N420" s="78"/>
      <c r="O420" s="117"/>
      <c r="P420" s="114" t="e">
        <f t="shared" si="5"/>
        <v>#N/A</v>
      </c>
      <c r="Q420" s="77" t="e">
        <f>VLOOKUP($B420,'Component List'!$A$2:$B$30,2,FALSE)</f>
        <v>#N/A</v>
      </c>
      <c r="R420" s="77" t="e">
        <f>VLOOKUP($C420,'Component List'!C$2:D$28,2,FALSE)</f>
        <v>#N/A</v>
      </c>
      <c r="S420" s="77" t="e">
        <f>VLOOKUP($D420,'Component List'!E$2:F$30,2,FALSE)</f>
        <v>#N/A</v>
      </c>
      <c r="T420" s="77" t="e">
        <f>VLOOKUP($E420,'Component List'!G$2:H$30,2,FALSE)</f>
        <v>#N/A</v>
      </c>
      <c r="U420" s="77" t="e">
        <f>VLOOKUP($F420,'Component List'!I$2:J$30,2,FALSE)</f>
        <v>#N/A</v>
      </c>
      <c r="V420" s="77" t="e">
        <f>VLOOKUP(G420,'Component List'!K$2:L$30,2,FALSE)</f>
        <v>#N/A</v>
      </c>
      <c r="W420" s="77" t="e">
        <f>VLOOKUP(H420,'Component List'!M$2:N$31,2,FALSE)</f>
        <v>#N/A</v>
      </c>
      <c r="X420" s="77" t="e">
        <f>VLOOKUP(I420,'Component List'!O$2:P$30,2,FALSE)</f>
        <v>#N/A</v>
      </c>
      <c r="Y420" s="77" t="e">
        <f>VLOOKUP(J420,'Component List'!Q$2:R$30,2,FALSE)</f>
        <v>#N/A</v>
      </c>
      <c r="Z420" s="77" t="e">
        <f>VLOOKUP(K420,'Component List'!S$2:T$30,2,FALSE)</f>
        <v>#N/A</v>
      </c>
      <c r="AA420" s="77" t="e">
        <f>VLOOKUP(L420,'Component List'!U$2:V$30,2,FALSE)</f>
        <v>#N/A</v>
      </c>
      <c r="AB420" s="77" t="e">
        <f>VLOOKUP(M420,'Component List'!AA$2:AB$30,2,FALSE)</f>
        <v>#N/A</v>
      </c>
      <c r="AC420" s="77" t="e">
        <f>VLOOKUP(N420,'Component List'!Y$2:Z$30,2,FALSE)</f>
        <v>#N/A</v>
      </c>
      <c r="AD420" s="159" t="e">
        <f>VLOOKUP(O420,'Component List'!W$3:X$30,2,FALSE)</f>
        <v>#N/A</v>
      </c>
    </row>
    <row r="421" spans="1:30" ht="30" customHeight="1" x14ac:dyDescent="0.3">
      <c r="A421" s="236"/>
      <c r="B421" s="173"/>
      <c r="C421" s="78"/>
      <c r="D421" s="78"/>
      <c r="E421" s="79"/>
      <c r="F421" s="78"/>
      <c r="G421" s="78"/>
      <c r="H421" s="78"/>
      <c r="I421" s="78"/>
      <c r="J421" s="78"/>
      <c r="K421" s="110"/>
      <c r="L421" s="110"/>
      <c r="M421" s="78"/>
      <c r="N421" s="78"/>
      <c r="O421" s="117"/>
      <c r="P421" s="114" t="e">
        <f t="shared" si="5"/>
        <v>#N/A</v>
      </c>
      <c r="Q421" s="77" t="e">
        <f>VLOOKUP($B421,'Component List'!$A$2:$B$30,2,FALSE)</f>
        <v>#N/A</v>
      </c>
      <c r="R421" s="77" t="e">
        <f>VLOOKUP($C421,'Component List'!C$2:D$28,2,FALSE)</f>
        <v>#N/A</v>
      </c>
      <c r="S421" s="77" t="e">
        <f>VLOOKUP($D421,'Component List'!E$2:F$30,2,FALSE)</f>
        <v>#N/A</v>
      </c>
      <c r="T421" s="77" t="e">
        <f>VLOOKUP($E421,'Component List'!G$2:H$30,2,FALSE)</f>
        <v>#N/A</v>
      </c>
      <c r="U421" s="77" t="e">
        <f>VLOOKUP($F421,'Component List'!I$2:J$30,2,FALSE)</f>
        <v>#N/A</v>
      </c>
      <c r="V421" s="77" t="e">
        <f>VLOOKUP(G421,'Component List'!K$2:L$30,2,FALSE)</f>
        <v>#N/A</v>
      </c>
      <c r="W421" s="77" t="e">
        <f>VLOOKUP(H421,'Component List'!M$2:N$31,2,FALSE)</f>
        <v>#N/A</v>
      </c>
      <c r="X421" s="77" t="e">
        <f>VLOOKUP(I421,'Component List'!O$2:P$30,2,FALSE)</f>
        <v>#N/A</v>
      </c>
      <c r="Y421" s="77" t="e">
        <f>VLOOKUP(J421,'Component List'!Q$2:R$30,2,FALSE)</f>
        <v>#N/A</v>
      </c>
      <c r="Z421" s="77" t="e">
        <f>VLOOKUP(K421,'Component List'!S$2:T$30,2,FALSE)</f>
        <v>#N/A</v>
      </c>
      <c r="AA421" s="77" t="e">
        <f>VLOOKUP(L421,'Component List'!U$2:V$30,2,FALSE)</f>
        <v>#N/A</v>
      </c>
      <c r="AB421" s="77" t="e">
        <f>VLOOKUP(M421,'Component List'!AA$2:AB$30,2,FALSE)</f>
        <v>#N/A</v>
      </c>
      <c r="AC421" s="77" t="e">
        <f>VLOOKUP(N421,'Component List'!Y$2:Z$30,2,FALSE)</f>
        <v>#N/A</v>
      </c>
      <c r="AD421" s="159" t="e">
        <f>VLOOKUP(O421,'Component List'!W$3:X$30,2,FALSE)</f>
        <v>#N/A</v>
      </c>
    </row>
    <row r="422" spans="1:30" ht="30" customHeight="1" x14ac:dyDescent="0.3">
      <c r="A422" s="236"/>
      <c r="B422" s="173"/>
      <c r="C422" s="78"/>
      <c r="D422" s="78"/>
      <c r="E422" s="79"/>
      <c r="F422" s="78"/>
      <c r="G422" s="78"/>
      <c r="H422" s="78"/>
      <c r="I422" s="78"/>
      <c r="J422" s="78"/>
      <c r="K422" s="110"/>
      <c r="L422" s="110"/>
      <c r="M422" s="78"/>
      <c r="N422" s="78"/>
      <c r="O422" s="117"/>
      <c r="P422" s="114" t="e">
        <f t="shared" si="5"/>
        <v>#N/A</v>
      </c>
      <c r="Q422" s="77" t="e">
        <f>VLOOKUP($B422,'Component List'!$A$2:$B$30,2,FALSE)</f>
        <v>#N/A</v>
      </c>
      <c r="R422" s="77" t="e">
        <f>VLOOKUP($C422,'Component List'!C$2:D$28,2,FALSE)</f>
        <v>#N/A</v>
      </c>
      <c r="S422" s="77" t="e">
        <f>VLOOKUP($D422,'Component List'!E$2:F$30,2,FALSE)</f>
        <v>#N/A</v>
      </c>
      <c r="T422" s="77" t="e">
        <f>VLOOKUP($E422,'Component List'!G$2:H$30,2,FALSE)</f>
        <v>#N/A</v>
      </c>
      <c r="U422" s="77" t="e">
        <f>VLOOKUP($F422,'Component List'!I$2:J$30,2,FALSE)</f>
        <v>#N/A</v>
      </c>
      <c r="V422" s="77" t="e">
        <f>VLOOKUP(G422,'Component List'!K$2:L$30,2,FALSE)</f>
        <v>#N/A</v>
      </c>
      <c r="W422" s="77" t="e">
        <f>VLOOKUP(H422,'Component List'!M$2:N$31,2,FALSE)</f>
        <v>#N/A</v>
      </c>
      <c r="X422" s="77" t="e">
        <f>VLOOKUP(I422,'Component List'!O$2:P$30,2,FALSE)</f>
        <v>#N/A</v>
      </c>
      <c r="Y422" s="77" t="e">
        <f>VLOOKUP(J422,'Component List'!Q$2:R$30,2,FALSE)</f>
        <v>#N/A</v>
      </c>
      <c r="Z422" s="77" t="e">
        <f>VLOOKUP(K422,'Component List'!S$2:T$30,2,FALSE)</f>
        <v>#N/A</v>
      </c>
      <c r="AA422" s="77" t="e">
        <f>VLOOKUP(L422,'Component List'!U$2:V$30,2,FALSE)</f>
        <v>#N/A</v>
      </c>
      <c r="AB422" s="77" t="e">
        <f>VLOOKUP(M422,'Component List'!AA$2:AB$30,2,FALSE)</f>
        <v>#N/A</v>
      </c>
      <c r="AC422" s="77" t="e">
        <f>VLOOKUP(N422,'Component List'!Y$2:Z$30,2,FALSE)</f>
        <v>#N/A</v>
      </c>
      <c r="AD422" s="159" t="e">
        <f>VLOOKUP(O422,'Component List'!W$3:X$30,2,FALSE)</f>
        <v>#N/A</v>
      </c>
    </row>
    <row r="423" spans="1:30" ht="30" customHeight="1" x14ac:dyDescent="0.3">
      <c r="A423" s="236"/>
      <c r="B423" s="173"/>
      <c r="C423" s="78"/>
      <c r="D423" s="78"/>
      <c r="E423" s="79"/>
      <c r="F423" s="78"/>
      <c r="G423" s="78"/>
      <c r="H423" s="78"/>
      <c r="I423" s="78"/>
      <c r="J423" s="78"/>
      <c r="K423" s="110"/>
      <c r="L423" s="110"/>
      <c r="M423" s="78"/>
      <c r="N423" s="78"/>
      <c r="O423" s="117"/>
      <c r="P423" s="114" t="e">
        <f t="shared" si="5"/>
        <v>#N/A</v>
      </c>
      <c r="Q423" s="77" t="e">
        <f>VLOOKUP($B423,'Component List'!$A$2:$B$30,2,FALSE)</f>
        <v>#N/A</v>
      </c>
      <c r="R423" s="77" t="e">
        <f>VLOOKUP($C423,'Component List'!C$2:D$28,2,FALSE)</f>
        <v>#N/A</v>
      </c>
      <c r="S423" s="77" t="e">
        <f>VLOOKUP($D423,'Component List'!E$2:F$30,2,FALSE)</f>
        <v>#N/A</v>
      </c>
      <c r="T423" s="77" t="e">
        <f>VLOOKUP($E423,'Component List'!G$2:H$30,2,FALSE)</f>
        <v>#N/A</v>
      </c>
      <c r="U423" s="77" t="e">
        <f>VLOOKUP($F423,'Component List'!I$2:J$30,2,FALSE)</f>
        <v>#N/A</v>
      </c>
      <c r="V423" s="77" t="e">
        <f>VLOOKUP(G423,'Component List'!K$2:L$30,2,FALSE)</f>
        <v>#N/A</v>
      </c>
      <c r="W423" s="77" t="e">
        <f>VLOOKUP(H423,'Component List'!M$2:N$31,2,FALSE)</f>
        <v>#N/A</v>
      </c>
      <c r="X423" s="77" t="e">
        <f>VLOOKUP(I423,'Component List'!O$2:P$30,2,FALSE)</f>
        <v>#N/A</v>
      </c>
      <c r="Y423" s="77" t="e">
        <f>VLOOKUP(J423,'Component List'!Q$2:R$30,2,FALSE)</f>
        <v>#N/A</v>
      </c>
      <c r="Z423" s="77" t="e">
        <f>VLOOKUP(K423,'Component List'!S$2:T$30,2,FALSE)</f>
        <v>#N/A</v>
      </c>
      <c r="AA423" s="77" t="e">
        <f>VLOOKUP(L423,'Component List'!U$2:V$30,2,FALSE)</f>
        <v>#N/A</v>
      </c>
      <c r="AB423" s="77" t="e">
        <f>VLOOKUP(M423,'Component List'!AA$2:AB$30,2,FALSE)</f>
        <v>#N/A</v>
      </c>
      <c r="AC423" s="77" t="e">
        <f>VLOOKUP(N423,'Component List'!Y$2:Z$30,2,FALSE)</f>
        <v>#N/A</v>
      </c>
      <c r="AD423" s="159" t="e">
        <f>VLOOKUP(O423,'Component List'!W$3:X$30,2,FALSE)</f>
        <v>#N/A</v>
      </c>
    </row>
    <row r="424" spans="1:30" ht="30" customHeight="1" x14ac:dyDescent="0.3">
      <c r="A424" s="236"/>
      <c r="B424" s="173"/>
      <c r="C424" s="78"/>
      <c r="D424" s="78"/>
      <c r="E424" s="79"/>
      <c r="F424" s="78"/>
      <c r="G424" s="78"/>
      <c r="H424" s="78"/>
      <c r="I424" s="78"/>
      <c r="J424" s="78"/>
      <c r="K424" s="110"/>
      <c r="L424" s="110"/>
      <c r="M424" s="78"/>
      <c r="N424" s="78"/>
      <c r="O424" s="117"/>
      <c r="P424" s="114" t="e">
        <f t="shared" si="5"/>
        <v>#N/A</v>
      </c>
      <c r="Q424" s="77" t="e">
        <f>VLOOKUP($B424,'Component List'!$A$2:$B$30,2,FALSE)</f>
        <v>#N/A</v>
      </c>
      <c r="R424" s="77" t="e">
        <f>VLOOKUP($C424,'Component List'!C$2:D$28,2,FALSE)</f>
        <v>#N/A</v>
      </c>
      <c r="S424" s="77" t="e">
        <f>VLOOKUP($D424,'Component List'!E$2:F$30,2,FALSE)</f>
        <v>#N/A</v>
      </c>
      <c r="T424" s="77" t="e">
        <f>VLOOKUP($E424,'Component List'!G$2:H$30,2,FALSE)</f>
        <v>#N/A</v>
      </c>
      <c r="U424" s="77" t="e">
        <f>VLOOKUP($F424,'Component List'!I$2:J$30,2,FALSE)</f>
        <v>#N/A</v>
      </c>
      <c r="V424" s="77" t="e">
        <f>VLOOKUP(G424,'Component List'!K$2:L$30,2,FALSE)</f>
        <v>#N/A</v>
      </c>
      <c r="W424" s="77" t="e">
        <f>VLOOKUP(H424,'Component List'!M$2:N$31,2,FALSE)</f>
        <v>#N/A</v>
      </c>
      <c r="X424" s="77" t="e">
        <f>VLOOKUP(I424,'Component List'!O$2:P$30,2,FALSE)</f>
        <v>#N/A</v>
      </c>
      <c r="Y424" s="77" t="e">
        <f>VLOOKUP(J424,'Component List'!Q$2:R$30,2,FALSE)</f>
        <v>#N/A</v>
      </c>
      <c r="Z424" s="77" t="e">
        <f>VLOOKUP(K424,'Component List'!S$2:T$30,2,FALSE)</f>
        <v>#N/A</v>
      </c>
      <c r="AA424" s="77" t="e">
        <f>VLOOKUP(L424,'Component List'!U$2:V$30,2,FALSE)</f>
        <v>#N/A</v>
      </c>
      <c r="AB424" s="77" t="e">
        <f>VLOOKUP(M424,'Component List'!AA$2:AB$30,2,FALSE)</f>
        <v>#N/A</v>
      </c>
      <c r="AC424" s="77" t="e">
        <f>VLOOKUP(N424,'Component List'!Y$2:Z$30,2,FALSE)</f>
        <v>#N/A</v>
      </c>
      <c r="AD424" s="159" t="e">
        <f>VLOOKUP(O424,'Component List'!W$3:X$30,2,FALSE)</f>
        <v>#N/A</v>
      </c>
    </row>
    <row r="425" spans="1:30" ht="30" customHeight="1" x14ac:dyDescent="0.3">
      <c r="A425" s="236"/>
      <c r="B425" s="173"/>
      <c r="C425" s="78"/>
      <c r="D425" s="78"/>
      <c r="E425" s="79"/>
      <c r="F425" s="78"/>
      <c r="G425" s="78"/>
      <c r="H425" s="78"/>
      <c r="I425" s="78"/>
      <c r="J425" s="78"/>
      <c r="K425" s="110"/>
      <c r="L425" s="110"/>
      <c r="M425" s="78"/>
      <c r="N425" s="78"/>
      <c r="O425" s="117"/>
      <c r="P425" s="114" t="e">
        <f t="shared" si="5"/>
        <v>#N/A</v>
      </c>
      <c r="Q425" s="77" t="e">
        <f>VLOOKUP($B425,'Component List'!$A$2:$B$30,2,FALSE)</f>
        <v>#N/A</v>
      </c>
      <c r="R425" s="77" t="e">
        <f>VLOOKUP($C425,'Component List'!C$2:D$28,2,FALSE)</f>
        <v>#N/A</v>
      </c>
      <c r="S425" s="77" t="e">
        <f>VLOOKUP($D425,'Component List'!E$2:F$30,2,FALSE)</f>
        <v>#N/A</v>
      </c>
      <c r="T425" s="77" t="e">
        <f>VLOOKUP($E425,'Component List'!G$2:H$30,2,FALSE)</f>
        <v>#N/A</v>
      </c>
      <c r="U425" s="77" t="e">
        <f>VLOOKUP($F425,'Component List'!I$2:J$30,2,FALSE)</f>
        <v>#N/A</v>
      </c>
      <c r="V425" s="77" t="e">
        <f>VLOOKUP(G425,'Component List'!K$2:L$30,2,FALSE)</f>
        <v>#N/A</v>
      </c>
      <c r="W425" s="77" t="e">
        <f>VLOOKUP(H425,'Component List'!M$2:N$31,2,FALSE)</f>
        <v>#N/A</v>
      </c>
      <c r="X425" s="77" t="e">
        <f>VLOOKUP(I425,'Component List'!O$2:P$30,2,FALSE)</f>
        <v>#N/A</v>
      </c>
      <c r="Y425" s="77" t="e">
        <f>VLOOKUP(J425,'Component List'!Q$2:R$30,2,FALSE)</f>
        <v>#N/A</v>
      </c>
      <c r="Z425" s="77" t="e">
        <f>VLOOKUP(K425,'Component List'!S$2:T$30,2,FALSE)</f>
        <v>#N/A</v>
      </c>
      <c r="AA425" s="77" t="e">
        <f>VLOOKUP(L425,'Component List'!U$2:V$30,2,FALSE)</f>
        <v>#N/A</v>
      </c>
      <c r="AB425" s="77" t="e">
        <f>VLOOKUP(M425,'Component List'!AA$2:AB$30,2,FALSE)</f>
        <v>#N/A</v>
      </c>
      <c r="AC425" s="77" t="e">
        <f>VLOOKUP(N425,'Component List'!Y$2:Z$30,2,FALSE)</f>
        <v>#N/A</v>
      </c>
      <c r="AD425" s="159" t="e">
        <f>VLOOKUP(O425,'Component List'!W$3:X$30,2,FALSE)</f>
        <v>#N/A</v>
      </c>
    </row>
    <row r="426" spans="1:30" ht="30" customHeight="1" x14ac:dyDescent="0.3">
      <c r="A426" s="236"/>
      <c r="B426" s="173"/>
      <c r="C426" s="78"/>
      <c r="D426" s="78"/>
      <c r="E426" s="79"/>
      <c r="F426" s="78"/>
      <c r="G426" s="78"/>
      <c r="H426" s="78"/>
      <c r="I426" s="78"/>
      <c r="J426" s="78"/>
      <c r="K426" s="110"/>
      <c r="L426" s="110"/>
      <c r="M426" s="78"/>
      <c r="N426" s="78"/>
      <c r="O426" s="117"/>
      <c r="P426" s="114" t="e">
        <f t="shared" si="5"/>
        <v>#N/A</v>
      </c>
      <c r="Q426" s="77" t="e">
        <f>VLOOKUP($B426,'Component List'!$A$2:$B$30,2,FALSE)</f>
        <v>#N/A</v>
      </c>
      <c r="R426" s="77" t="e">
        <f>VLOOKUP($C426,'Component List'!C$2:D$28,2,FALSE)</f>
        <v>#N/A</v>
      </c>
      <c r="S426" s="77" t="e">
        <f>VLOOKUP($D426,'Component List'!E$2:F$30,2,FALSE)</f>
        <v>#N/A</v>
      </c>
      <c r="T426" s="77" t="e">
        <f>VLOOKUP($E426,'Component List'!G$2:H$30,2,FALSE)</f>
        <v>#N/A</v>
      </c>
      <c r="U426" s="77" t="e">
        <f>VLOOKUP($F426,'Component List'!I$2:J$30,2,FALSE)</f>
        <v>#N/A</v>
      </c>
      <c r="V426" s="77" t="e">
        <f>VLOOKUP(G426,'Component List'!K$2:L$30,2,FALSE)</f>
        <v>#N/A</v>
      </c>
      <c r="W426" s="77" t="e">
        <f>VLOOKUP(H426,'Component List'!M$2:N$31,2,FALSE)</f>
        <v>#N/A</v>
      </c>
      <c r="X426" s="77" t="e">
        <f>VLOOKUP(I426,'Component List'!O$2:P$30,2,FALSE)</f>
        <v>#N/A</v>
      </c>
      <c r="Y426" s="77" t="e">
        <f>VLOOKUP(J426,'Component List'!Q$2:R$30,2,FALSE)</f>
        <v>#N/A</v>
      </c>
      <c r="Z426" s="77" t="e">
        <f>VLOOKUP(K426,'Component List'!S$2:T$30,2,FALSE)</f>
        <v>#N/A</v>
      </c>
      <c r="AA426" s="77" t="e">
        <f>VLOOKUP(L426,'Component List'!U$2:V$30,2,FALSE)</f>
        <v>#N/A</v>
      </c>
      <c r="AB426" s="77" t="e">
        <f>VLOOKUP(M426,'Component List'!AA$2:AB$30,2,FALSE)</f>
        <v>#N/A</v>
      </c>
      <c r="AC426" s="77" t="e">
        <f>VLOOKUP(N426,'Component List'!Y$2:Z$30,2,FALSE)</f>
        <v>#N/A</v>
      </c>
      <c r="AD426" s="159" t="e">
        <f>VLOOKUP(O426,'Component List'!W$3:X$30,2,FALSE)</f>
        <v>#N/A</v>
      </c>
    </row>
    <row r="427" spans="1:30" ht="30" customHeight="1" x14ac:dyDescent="0.3">
      <c r="A427" s="236"/>
      <c r="B427" s="173"/>
      <c r="C427" s="78"/>
      <c r="D427" s="78"/>
      <c r="E427" s="79"/>
      <c r="F427" s="78"/>
      <c r="G427" s="78"/>
      <c r="H427" s="78"/>
      <c r="I427" s="78"/>
      <c r="J427" s="78"/>
      <c r="K427" s="110"/>
      <c r="L427" s="110"/>
      <c r="M427" s="78"/>
      <c r="N427" s="78"/>
      <c r="O427" s="117"/>
      <c r="P427" s="114" t="e">
        <f t="shared" si="5"/>
        <v>#N/A</v>
      </c>
      <c r="Q427" s="77" t="e">
        <f>VLOOKUP($B427,'Component List'!$A$2:$B$30,2,FALSE)</f>
        <v>#N/A</v>
      </c>
      <c r="R427" s="77" t="e">
        <f>VLOOKUP($C427,'Component List'!C$2:D$28,2,FALSE)</f>
        <v>#N/A</v>
      </c>
      <c r="S427" s="77" t="e">
        <f>VLOOKUP($D427,'Component List'!E$2:F$30,2,FALSE)</f>
        <v>#N/A</v>
      </c>
      <c r="T427" s="77" t="e">
        <f>VLOOKUP($E427,'Component List'!G$2:H$30,2,FALSE)</f>
        <v>#N/A</v>
      </c>
      <c r="U427" s="77" t="e">
        <f>VLOOKUP($F427,'Component List'!I$2:J$30,2,FALSE)</f>
        <v>#N/A</v>
      </c>
      <c r="V427" s="77" t="e">
        <f>VLOOKUP(G427,'Component List'!K$2:L$30,2,FALSE)</f>
        <v>#N/A</v>
      </c>
      <c r="W427" s="77" t="e">
        <f>VLOOKUP(H427,'Component List'!M$2:N$31,2,FALSE)</f>
        <v>#N/A</v>
      </c>
      <c r="X427" s="77" t="e">
        <f>VLOOKUP(I427,'Component List'!O$2:P$30,2,FALSE)</f>
        <v>#N/A</v>
      </c>
      <c r="Y427" s="77" t="e">
        <f>VLOOKUP(J427,'Component List'!Q$2:R$30,2,FALSE)</f>
        <v>#N/A</v>
      </c>
      <c r="Z427" s="77" t="e">
        <f>VLOOKUP(K427,'Component List'!S$2:T$30,2,FALSE)</f>
        <v>#N/A</v>
      </c>
      <c r="AA427" s="77" t="e">
        <f>VLOOKUP(L427,'Component List'!U$2:V$30,2,FALSE)</f>
        <v>#N/A</v>
      </c>
      <c r="AB427" s="77" t="e">
        <f>VLOOKUP(M427,'Component List'!AA$2:AB$30,2,FALSE)</f>
        <v>#N/A</v>
      </c>
      <c r="AC427" s="77" t="e">
        <f>VLOOKUP(N427,'Component List'!Y$2:Z$30,2,FALSE)</f>
        <v>#N/A</v>
      </c>
      <c r="AD427" s="159" t="e">
        <f>VLOOKUP(O427,'Component List'!W$3:X$30,2,FALSE)</f>
        <v>#N/A</v>
      </c>
    </row>
    <row r="428" spans="1:30" ht="30" customHeight="1" x14ac:dyDescent="0.3">
      <c r="A428" s="236"/>
      <c r="B428" s="173"/>
      <c r="C428" s="78"/>
      <c r="D428" s="78"/>
      <c r="E428" s="79"/>
      <c r="F428" s="78"/>
      <c r="G428" s="78"/>
      <c r="H428" s="78"/>
      <c r="I428" s="78"/>
      <c r="J428" s="78"/>
      <c r="K428" s="110"/>
      <c r="L428" s="110"/>
      <c r="M428" s="78"/>
      <c r="N428" s="78"/>
      <c r="O428" s="117"/>
      <c r="P428" s="114" t="e">
        <f t="shared" si="5"/>
        <v>#N/A</v>
      </c>
      <c r="Q428" s="77" t="e">
        <f>VLOOKUP($B428,'Component List'!$A$2:$B$30,2,FALSE)</f>
        <v>#N/A</v>
      </c>
      <c r="R428" s="77" t="e">
        <f>VLOOKUP($C428,'Component List'!C$2:D$28,2,FALSE)</f>
        <v>#N/A</v>
      </c>
      <c r="S428" s="77" t="e">
        <f>VLOOKUP($D428,'Component List'!E$2:F$30,2,FALSE)</f>
        <v>#N/A</v>
      </c>
      <c r="T428" s="77" t="e">
        <f>VLOOKUP($E428,'Component List'!G$2:H$30,2,FALSE)</f>
        <v>#N/A</v>
      </c>
      <c r="U428" s="77" t="e">
        <f>VLOOKUP($F428,'Component List'!I$2:J$30,2,FALSE)</f>
        <v>#N/A</v>
      </c>
      <c r="V428" s="77" t="e">
        <f>VLOOKUP(G428,'Component List'!K$2:L$30,2,FALSE)</f>
        <v>#N/A</v>
      </c>
      <c r="W428" s="77" t="e">
        <f>VLOOKUP(H428,'Component List'!M$2:N$31,2,FALSE)</f>
        <v>#N/A</v>
      </c>
      <c r="X428" s="77" t="e">
        <f>VLOOKUP(I428,'Component List'!O$2:P$30,2,FALSE)</f>
        <v>#N/A</v>
      </c>
      <c r="Y428" s="77" t="e">
        <f>VLOOKUP(J428,'Component List'!Q$2:R$30,2,FALSE)</f>
        <v>#N/A</v>
      </c>
      <c r="Z428" s="77" t="e">
        <f>VLOOKUP(K428,'Component List'!S$2:T$30,2,FALSE)</f>
        <v>#N/A</v>
      </c>
      <c r="AA428" s="77" t="e">
        <f>VLOOKUP(L428,'Component List'!U$2:V$30,2,FALSE)</f>
        <v>#N/A</v>
      </c>
      <c r="AB428" s="77" t="e">
        <f>VLOOKUP(M428,'Component List'!AA$2:AB$30,2,FALSE)</f>
        <v>#N/A</v>
      </c>
      <c r="AC428" s="77" t="e">
        <f>VLOOKUP(N428,'Component List'!Y$2:Z$30,2,FALSE)</f>
        <v>#N/A</v>
      </c>
      <c r="AD428" s="159" t="e">
        <f>VLOOKUP(O428,'Component List'!W$3:X$30,2,FALSE)</f>
        <v>#N/A</v>
      </c>
    </row>
    <row r="429" spans="1:30" ht="30" customHeight="1" x14ac:dyDescent="0.3">
      <c r="A429" s="236"/>
      <c r="B429" s="173"/>
      <c r="C429" s="78"/>
      <c r="D429" s="78"/>
      <c r="E429" s="79"/>
      <c r="F429" s="78"/>
      <c r="G429" s="78"/>
      <c r="H429" s="78"/>
      <c r="I429" s="78"/>
      <c r="J429" s="78"/>
      <c r="K429" s="110"/>
      <c r="L429" s="110"/>
      <c r="M429" s="78"/>
      <c r="N429" s="78"/>
      <c r="O429" s="117"/>
      <c r="P429" s="114" t="e">
        <f t="shared" si="5"/>
        <v>#N/A</v>
      </c>
      <c r="Q429" s="77" t="e">
        <f>VLOOKUP($B429,'Component List'!$A$2:$B$30,2,FALSE)</f>
        <v>#N/A</v>
      </c>
      <c r="R429" s="77" t="e">
        <f>VLOOKUP($C429,'Component List'!C$2:D$28,2,FALSE)</f>
        <v>#N/A</v>
      </c>
      <c r="S429" s="77" t="e">
        <f>VLOOKUP($D429,'Component List'!E$2:F$30,2,FALSE)</f>
        <v>#N/A</v>
      </c>
      <c r="T429" s="77" t="e">
        <f>VLOOKUP($E429,'Component List'!G$2:H$30,2,FALSE)</f>
        <v>#N/A</v>
      </c>
      <c r="U429" s="77" t="e">
        <f>VLOOKUP($F429,'Component List'!I$2:J$30,2,FALSE)</f>
        <v>#N/A</v>
      </c>
      <c r="V429" s="77" t="e">
        <f>VLOOKUP(G429,'Component List'!K$2:L$30,2,FALSE)</f>
        <v>#N/A</v>
      </c>
      <c r="W429" s="77" t="e">
        <f>VLOOKUP(H429,'Component List'!M$2:N$31,2,FALSE)</f>
        <v>#N/A</v>
      </c>
      <c r="X429" s="77" t="e">
        <f>VLOOKUP(I429,'Component List'!O$2:P$30,2,FALSE)</f>
        <v>#N/A</v>
      </c>
      <c r="Y429" s="77" t="e">
        <f>VLOOKUP(J429,'Component List'!Q$2:R$30,2,FALSE)</f>
        <v>#N/A</v>
      </c>
      <c r="Z429" s="77" t="e">
        <f>VLOOKUP(K429,'Component List'!S$2:T$30,2,FALSE)</f>
        <v>#N/A</v>
      </c>
      <c r="AA429" s="77" t="e">
        <f>VLOOKUP(L429,'Component List'!U$2:V$30,2,FALSE)</f>
        <v>#N/A</v>
      </c>
      <c r="AB429" s="77" t="e">
        <f>VLOOKUP(M429,'Component List'!AA$2:AB$30,2,FALSE)</f>
        <v>#N/A</v>
      </c>
      <c r="AC429" s="77" t="e">
        <f>VLOOKUP(N429,'Component List'!Y$2:Z$30,2,FALSE)</f>
        <v>#N/A</v>
      </c>
      <c r="AD429" s="159" t="e">
        <f>VLOOKUP(O429,'Component List'!W$3:X$30,2,FALSE)</f>
        <v>#N/A</v>
      </c>
    </row>
    <row r="430" spans="1:30" ht="30" customHeight="1" x14ac:dyDescent="0.3">
      <c r="A430" s="236"/>
      <c r="B430" s="173"/>
      <c r="C430" s="78"/>
      <c r="D430" s="78"/>
      <c r="E430" s="79"/>
      <c r="F430" s="78"/>
      <c r="G430" s="78"/>
      <c r="H430" s="78"/>
      <c r="I430" s="78"/>
      <c r="J430" s="78"/>
      <c r="K430" s="110"/>
      <c r="L430" s="110"/>
      <c r="M430" s="78"/>
      <c r="N430" s="78"/>
      <c r="O430" s="117"/>
      <c r="P430" s="114" t="e">
        <f t="shared" si="5"/>
        <v>#N/A</v>
      </c>
      <c r="Q430" s="77" t="e">
        <f>VLOOKUP($B430,'Component List'!$A$2:$B$30,2,FALSE)</f>
        <v>#N/A</v>
      </c>
      <c r="R430" s="77" t="e">
        <f>VLOOKUP($C430,'Component List'!C$2:D$28,2,FALSE)</f>
        <v>#N/A</v>
      </c>
      <c r="S430" s="77" t="e">
        <f>VLOOKUP($D430,'Component List'!E$2:F$30,2,FALSE)</f>
        <v>#N/A</v>
      </c>
      <c r="T430" s="77" t="e">
        <f>VLOOKUP($E430,'Component List'!G$2:H$30,2,FALSE)</f>
        <v>#N/A</v>
      </c>
      <c r="U430" s="77" t="e">
        <f>VLOOKUP($F430,'Component List'!I$2:J$30,2,FALSE)</f>
        <v>#N/A</v>
      </c>
      <c r="V430" s="77" t="e">
        <f>VLOOKUP(G430,'Component List'!K$2:L$30,2,FALSE)</f>
        <v>#N/A</v>
      </c>
      <c r="W430" s="77" t="e">
        <f>VLOOKUP(H430,'Component List'!M$2:N$31,2,FALSE)</f>
        <v>#N/A</v>
      </c>
      <c r="X430" s="77" t="e">
        <f>VLOOKUP(I430,'Component List'!O$2:P$30,2,FALSE)</f>
        <v>#N/A</v>
      </c>
      <c r="Y430" s="77" t="e">
        <f>VLOOKUP(J430,'Component List'!Q$2:R$30,2,FALSE)</f>
        <v>#N/A</v>
      </c>
      <c r="Z430" s="77" t="e">
        <f>VLOOKUP(K430,'Component List'!S$2:T$30,2,FALSE)</f>
        <v>#N/A</v>
      </c>
      <c r="AA430" s="77" t="e">
        <f>VLOOKUP(L430,'Component List'!U$2:V$30,2,FALSE)</f>
        <v>#N/A</v>
      </c>
      <c r="AB430" s="77" t="e">
        <f>VLOOKUP(M430,'Component List'!AA$2:AB$30,2,FALSE)</f>
        <v>#N/A</v>
      </c>
      <c r="AC430" s="77" t="e">
        <f>VLOOKUP(N430,'Component List'!Y$2:Z$30,2,FALSE)</f>
        <v>#N/A</v>
      </c>
      <c r="AD430" s="159" t="e">
        <f>VLOOKUP(O430,'Component List'!W$3:X$30,2,FALSE)</f>
        <v>#N/A</v>
      </c>
    </row>
    <row r="431" spans="1:30" ht="30" customHeight="1" x14ac:dyDescent="0.3">
      <c r="A431" s="237"/>
      <c r="B431" s="173"/>
      <c r="C431" s="78"/>
      <c r="D431" s="78"/>
      <c r="E431" s="79"/>
      <c r="F431" s="78"/>
      <c r="G431" s="78"/>
      <c r="H431" s="78"/>
      <c r="I431" s="78"/>
      <c r="J431" s="78"/>
      <c r="K431" s="110"/>
      <c r="L431" s="110"/>
      <c r="M431" s="78"/>
      <c r="N431" s="78"/>
      <c r="O431" s="117"/>
      <c r="P431" s="114" t="e">
        <f t="shared" si="5"/>
        <v>#N/A</v>
      </c>
      <c r="Q431" s="77" t="e">
        <f>VLOOKUP($B431,'Component List'!$A$2:$B$30,2,FALSE)</f>
        <v>#N/A</v>
      </c>
      <c r="R431" s="77" t="e">
        <f>VLOOKUP($C431,'Component List'!C$2:D$28,2,FALSE)</f>
        <v>#N/A</v>
      </c>
      <c r="S431" s="77" t="e">
        <f>VLOOKUP($D431,'Component List'!E$2:F$30,2,FALSE)</f>
        <v>#N/A</v>
      </c>
      <c r="T431" s="77" t="e">
        <f>VLOOKUP($E431,'Component List'!G$2:H$30,2,FALSE)</f>
        <v>#N/A</v>
      </c>
      <c r="U431" s="77" t="e">
        <f>VLOOKUP($F431,'Component List'!I$2:J$30,2,FALSE)</f>
        <v>#N/A</v>
      </c>
      <c r="V431" s="77" t="e">
        <f>VLOOKUP(G431,'Component List'!K$2:L$30,2,FALSE)</f>
        <v>#N/A</v>
      </c>
      <c r="W431" s="77" t="e">
        <f>VLOOKUP(H431,'Component List'!M$2:N$31,2,FALSE)</f>
        <v>#N/A</v>
      </c>
      <c r="X431" s="77" t="e">
        <f>VLOOKUP(I431,'Component List'!O$2:P$30,2,FALSE)</f>
        <v>#N/A</v>
      </c>
      <c r="Y431" s="77" t="e">
        <f>VLOOKUP(J431,'Component List'!Q$2:R$30,2,FALSE)</f>
        <v>#N/A</v>
      </c>
      <c r="Z431" s="77" t="e">
        <f>VLOOKUP(K431,'Component List'!S$2:T$30,2,FALSE)</f>
        <v>#N/A</v>
      </c>
      <c r="AA431" s="77" t="e">
        <f>VLOOKUP(L431,'Component List'!U$2:V$30,2,FALSE)</f>
        <v>#N/A</v>
      </c>
      <c r="AB431" s="77" t="e">
        <f>VLOOKUP(M431,'Component List'!AA$2:AB$30,2,FALSE)</f>
        <v>#N/A</v>
      </c>
      <c r="AC431" s="77" t="e">
        <f>VLOOKUP(N431,'Component List'!Y$2:Z$30,2,FALSE)</f>
        <v>#N/A</v>
      </c>
      <c r="AD431" s="159" t="e">
        <f>VLOOKUP(O431,'Component List'!W$3:X$30,2,FALSE)</f>
        <v>#N/A</v>
      </c>
    </row>
    <row r="432" spans="1:30" ht="30" customHeight="1" x14ac:dyDescent="0.3">
      <c r="A432" s="231"/>
      <c r="B432" s="173"/>
      <c r="C432" s="78"/>
      <c r="D432" s="78"/>
      <c r="E432" s="79"/>
      <c r="F432" s="78"/>
      <c r="G432" s="78"/>
      <c r="H432" s="78"/>
      <c r="I432" s="78"/>
      <c r="J432" s="78"/>
      <c r="K432" s="110"/>
      <c r="L432" s="110"/>
      <c r="M432" s="78"/>
      <c r="N432" s="78"/>
      <c r="O432" s="117"/>
      <c r="P432" s="114" t="e">
        <f t="shared" si="5"/>
        <v>#N/A</v>
      </c>
      <c r="Q432" s="77" t="e">
        <f>VLOOKUP($B432,'Component List'!$A$2:$B$30,2,FALSE)</f>
        <v>#N/A</v>
      </c>
      <c r="R432" s="77" t="e">
        <f>VLOOKUP($C432,'Component List'!C$2:D$28,2,FALSE)</f>
        <v>#N/A</v>
      </c>
      <c r="S432" s="77" t="e">
        <f>VLOOKUP($D432,'Component List'!E$2:F$30,2,FALSE)</f>
        <v>#N/A</v>
      </c>
      <c r="T432" s="77" t="e">
        <f>VLOOKUP($E432,'Component List'!G$2:H$30,2,FALSE)</f>
        <v>#N/A</v>
      </c>
      <c r="U432" s="77" t="e">
        <f>VLOOKUP($F432,'Component List'!I$2:J$30,2,FALSE)</f>
        <v>#N/A</v>
      </c>
      <c r="V432" s="77" t="e">
        <f>VLOOKUP(G432,'Component List'!K$2:L$30,2,FALSE)</f>
        <v>#N/A</v>
      </c>
      <c r="W432" s="77" t="e">
        <f>VLOOKUP(H432,'Component List'!M$2:N$31,2,FALSE)</f>
        <v>#N/A</v>
      </c>
      <c r="X432" s="77" t="e">
        <f>VLOOKUP(I432,'Component List'!O$2:P$30,2,FALSE)</f>
        <v>#N/A</v>
      </c>
      <c r="Y432" s="77" t="e">
        <f>VLOOKUP(J432,'Component List'!Q$2:R$30,2,FALSE)</f>
        <v>#N/A</v>
      </c>
      <c r="Z432" s="77" t="e">
        <f>VLOOKUP(K432,'Component List'!S$2:T$30,2,FALSE)</f>
        <v>#N/A</v>
      </c>
      <c r="AA432" s="77" t="e">
        <f>VLOOKUP(L432,'Component List'!U$2:V$30,2,FALSE)</f>
        <v>#N/A</v>
      </c>
      <c r="AB432" s="77" t="e">
        <f>VLOOKUP(M432,'Component List'!AA$2:AB$30,2,FALSE)</f>
        <v>#N/A</v>
      </c>
      <c r="AC432" s="77" t="e">
        <f>VLOOKUP(N432,'Component List'!Y$2:Z$30,2,FALSE)</f>
        <v>#N/A</v>
      </c>
      <c r="AD432" s="159" t="e">
        <f>VLOOKUP(O432,'Component List'!W$3:X$30,2,FALSE)</f>
        <v>#N/A</v>
      </c>
    </row>
    <row r="433" spans="1:30" ht="30" customHeight="1" x14ac:dyDescent="0.3">
      <c r="A433" s="231"/>
      <c r="B433" s="173"/>
      <c r="C433" s="78"/>
      <c r="D433" s="78"/>
      <c r="E433" s="79"/>
      <c r="F433" s="78"/>
      <c r="G433" s="78"/>
      <c r="H433" s="78"/>
      <c r="I433" s="78"/>
      <c r="J433" s="78"/>
      <c r="K433" s="110"/>
      <c r="L433" s="110"/>
      <c r="M433" s="78"/>
      <c r="N433" s="78"/>
      <c r="O433" s="117"/>
      <c r="P433" s="114" t="e">
        <f t="shared" si="5"/>
        <v>#N/A</v>
      </c>
      <c r="Q433" s="77" t="e">
        <f>VLOOKUP($B433,'Component List'!$A$2:$B$30,2,FALSE)</f>
        <v>#N/A</v>
      </c>
      <c r="R433" s="77" t="e">
        <f>VLOOKUP($C433,'Component List'!C$2:D$28,2,FALSE)</f>
        <v>#N/A</v>
      </c>
      <c r="S433" s="77" t="e">
        <f>VLOOKUP($D433,'Component List'!E$2:F$30,2,FALSE)</f>
        <v>#N/A</v>
      </c>
      <c r="T433" s="77" t="e">
        <f>VLOOKUP($E433,'Component List'!G$2:H$30,2,FALSE)</f>
        <v>#N/A</v>
      </c>
      <c r="U433" s="77" t="e">
        <f>VLOOKUP($F433,'Component List'!I$2:J$30,2,FALSE)</f>
        <v>#N/A</v>
      </c>
      <c r="V433" s="77" t="e">
        <f>VLOOKUP(G433,'Component List'!K$2:L$30,2,FALSE)</f>
        <v>#N/A</v>
      </c>
      <c r="W433" s="77" t="e">
        <f>VLOOKUP(H433,'Component List'!M$2:N$31,2,FALSE)</f>
        <v>#N/A</v>
      </c>
      <c r="X433" s="77" t="e">
        <f>VLOOKUP(I433,'Component List'!O$2:P$30,2,FALSE)</f>
        <v>#N/A</v>
      </c>
      <c r="Y433" s="77" t="e">
        <f>VLOOKUP(J433,'Component List'!Q$2:R$30,2,FALSE)</f>
        <v>#N/A</v>
      </c>
      <c r="Z433" s="77" t="e">
        <f>VLOOKUP(K433,'Component List'!S$2:T$30,2,FALSE)</f>
        <v>#N/A</v>
      </c>
      <c r="AA433" s="77" t="e">
        <f>VLOOKUP(L433,'Component List'!U$2:V$30,2,FALSE)</f>
        <v>#N/A</v>
      </c>
      <c r="AB433" s="77" t="e">
        <f>VLOOKUP(M433,'Component List'!AA$2:AB$30,2,FALSE)</f>
        <v>#N/A</v>
      </c>
      <c r="AC433" s="77" t="e">
        <f>VLOOKUP(N433,'Component List'!Y$2:Z$30,2,FALSE)</f>
        <v>#N/A</v>
      </c>
      <c r="AD433" s="159" t="e">
        <f>VLOOKUP(O433,'Component List'!W$3:X$30,2,FALSE)</f>
        <v>#N/A</v>
      </c>
    </row>
    <row r="434" spans="1:30" ht="30" customHeight="1" x14ac:dyDescent="0.3">
      <c r="A434" s="231"/>
      <c r="B434" s="173"/>
      <c r="C434" s="78"/>
      <c r="D434" s="78"/>
      <c r="E434" s="79"/>
      <c r="F434" s="78"/>
      <c r="G434" s="78"/>
      <c r="H434" s="78"/>
      <c r="I434" s="78"/>
      <c r="J434" s="78"/>
      <c r="K434" s="110"/>
      <c r="L434" s="110"/>
      <c r="M434" s="78"/>
      <c r="N434" s="78"/>
      <c r="O434" s="117"/>
      <c r="P434" s="114" t="e">
        <f t="shared" si="5"/>
        <v>#N/A</v>
      </c>
      <c r="Q434" s="77" t="e">
        <f>VLOOKUP($B434,'Component List'!$A$2:$B$30,2,FALSE)</f>
        <v>#N/A</v>
      </c>
      <c r="R434" s="77" t="e">
        <f>VLOOKUP($C434,'Component List'!C$2:D$28,2,FALSE)</f>
        <v>#N/A</v>
      </c>
      <c r="S434" s="77" t="e">
        <f>VLOOKUP($D434,'Component List'!E$2:F$30,2,FALSE)</f>
        <v>#N/A</v>
      </c>
      <c r="T434" s="77" t="e">
        <f>VLOOKUP($E434,'Component List'!G$2:H$30,2,FALSE)</f>
        <v>#N/A</v>
      </c>
      <c r="U434" s="77" t="e">
        <f>VLOOKUP($F434,'Component List'!I$2:J$30,2,FALSE)</f>
        <v>#N/A</v>
      </c>
      <c r="V434" s="77" t="e">
        <f>VLOOKUP(G434,'Component List'!K$2:L$30,2,FALSE)</f>
        <v>#N/A</v>
      </c>
      <c r="W434" s="77" t="e">
        <f>VLOOKUP(H434,'Component List'!M$2:N$31,2,FALSE)</f>
        <v>#N/A</v>
      </c>
      <c r="X434" s="77" t="e">
        <f>VLOOKUP(I434,'Component List'!O$2:P$30,2,FALSE)</f>
        <v>#N/A</v>
      </c>
      <c r="Y434" s="77" t="e">
        <f>VLOOKUP(J434,'Component List'!Q$2:R$30,2,FALSE)</f>
        <v>#N/A</v>
      </c>
      <c r="Z434" s="77" t="e">
        <f>VLOOKUP(K434,'Component List'!S$2:T$30,2,FALSE)</f>
        <v>#N/A</v>
      </c>
      <c r="AA434" s="77" t="e">
        <f>VLOOKUP(L434,'Component List'!U$2:V$30,2,FALSE)</f>
        <v>#N/A</v>
      </c>
      <c r="AB434" s="77" t="e">
        <f>VLOOKUP(M434,'Component List'!AA$2:AB$30,2,FALSE)</f>
        <v>#N/A</v>
      </c>
      <c r="AC434" s="77" t="e">
        <f>VLOOKUP(N434,'Component List'!Y$2:Z$30,2,FALSE)</f>
        <v>#N/A</v>
      </c>
      <c r="AD434" s="159" t="e">
        <f>VLOOKUP(O434,'Component List'!W$3:X$30,2,FALSE)</f>
        <v>#N/A</v>
      </c>
    </row>
    <row r="435" spans="1:30" ht="30" customHeight="1" x14ac:dyDescent="0.3">
      <c r="A435" s="231"/>
      <c r="B435" s="173"/>
      <c r="C435" s="78"/>
      <c r="D435" s="78"/>
      <c r="E435" s="79"/>
      <c r="F435" s="78"/>
      <c r="G435" s="78"/>
      <c r="H435" s="78"/>
      <c r="I435" s="78"/>
      <c r="J435" s="78"/>
      <c r="K435" s="110"/>
      <c r="L435" s="110"/>
      <c r="M435" s="78"/>
      <c r="N435" s="78"/>
      <c r="O435" s="117"/>
      <c r="P435" s="114" t="e">
        <f t="shared" si="5"/>
        <v>#N/A</v>
      </c>
      <c r="Q435" s="77" t="e">
        <f>VLOOKUP($B435,'Component List'!$A$2:$B$30,2,FALSE)</f>
        <v>#N/A</v>
      </c>
      <c r="R435" s="77" t="e">
        <f>VLOOKUP($C435,'Component List'!C$2:D$28,2,FALSE)</f>
        <v>#N/A</v>
      </c>
      <c r="S435" s="77" t="e">
        <f>VLOOKUP($D435,'Component List'!E$2:F$30,2,FALSE)</f>
        <v>#N/A</v>
      </c>
      <c r="T435" s="77" t="e">
        <f>VLOOKUP($E435,'Component List'!G$2:H$30,2,FALSE)</f>
        <v>#N/A</v>
      </c>
      <c r="U435" s="77" t="e">
        <f>VLOOKUP($F435,'Component List'!I$2:J$30,2,FALSE)</f>
        <v>#N/A</v>
      </c>
      <c r="V435" s="77" t="e">
        <f>VLOOKUP(G435,'Component List'!K$2:L$30,2,FALSE)</f>
        <v>#N/A</v>
      </c>
      <c r="W435" s="77" t="e">
        <f>VLOOKUP(H435,'Component List'!M$2:N$31,2,FALSE)</f>
        <v>#N/A</v>
      </c>
      <c r="X435" s="77" t="e">
        <f>VLOOKUP(I435,'Component List'!O$2:P$30,2,FALSE)</f>
        <v>#N/A</v>
      </c>
      <c r="Y435" s="77" t="e">
        <f>VLOOKUP(J435,'Component List'!Q$2:R$30,2,FALSE)</f>
        <v>#N/A</v>
      </c>
      <c r="Z435" s="77" t="e">
        <f>VLOOKUP(K435,'Component List'!S$2:T$30,2,FALSE)</f>
        <v>#N/A</v>
      </c>
      <c r="AA435" s="77" t="e">
        <f>VLOOKUP(L435,'Component List'!U$2:V$30,2,FALSE)</f>
        <v>#N/A</v>
      </c>
      <c r="AB435" s="77" t="e">
        <f>VLOOKUP(M435,'Component List'!AA$2:AB$30,2,FALSE)</f>
        <v>#N/A</v>
      </c>
      <c r="AC435" s="77" t="e">
        <f>VLOOKUP(N435,'Component List'!Y$2:Z$30,2,FALSE)</f>
        <v>#N/A</v>
      </c>
      <c r="AD435" s="159" t="e">
        <f>VLOOKUP(O435,'Component List'!W$3:X$30,2,FALSE)</f>
        <v>#N/A</v>
      </c>
    </row>
    <row r="436" spans="1:30" ht="30" customHeight="1" x14ac:dyDescent="0.3">
      <c r="A436" s="231"/>
      <c r="B436" s="173"/>
      <c r="C436" s="78"/>
      <c r="D436" s="78"/>
      <c r="E436" s="79"/>
      <c r="F436" s="78"/>
      <c r="G436" s="78"/>
      <c r="H436" s="78"/>
      <c r="I436" s="78"/>
      <c r="J436" s="78"/>
      <c r="K436" s="110"/>
      <c r="L436" s="110"/>
      <c r="M436" s="78"/>
      <c r="N436" s="78"/>
      <c r="O436" s="117"/>
      <c r="P436" s="114" t="e">
        <f t="shared" si="5"/>
        <v>#N/A</v>
      </c>
      <c r="Q436" s="77" t="e">
        <f>VLOOKUP($B436,'Component List'!$A$2:$B$30,2,FALSE)</f>
        <v>#N/A</v>
      </c>
      <c r="R436" s="77" t="e">
        <f>VLOOKUP($C436,'Component List'!C$2:D$28,2,FALSE)</f>
        <v>#N/A</v>
      </c>
      <c r="S436" s="77" t="e">
        <f>VLOOKUP($D436,'Component List'!E$2:F$30,2,FALSE)</f>
        <v>#N/A</v>
      </c>
      <c r="T436" s="77" t="e">
        <f>VLOOKUP($E436,'Component List'!G$2:H$30,2,FALSE)</f>
        <v>#N/A</v>
      </c>
      <c r="U436" s="77" t="e">
        <f>VLOOKUP($F436,'Component List'!I$2:J$30,2,FALSE)</f>
        <v>#N/A</v>
      </c>
      <c r="V436" s="77" t="e">
        <f>VLOOKUP(G436,'Component List'!K$2:L$30,2,FALSE)</f>
        <v>#N/A</v>
      </c>
      <c r="W436" s="77" t="e">
        <f>VLOOKUP(H436,'Component List'!M$2:N$31,2,FALSE)</f>
        <v>#N/A</v>
      </c>
      <c r="X436" s="77" t="e">
        <f>VLOOKUP(I436,'Component List'!O$2:P$30,2,FALSE)</f>
        <v>#N/A</v>
      </c>
      <c r="Y436" s="77" t="e">
        <f>VLOOKUP(J436,'Component List'!Q$2:R$30,2,FALSE)</f>
        <v>#N/A</v>
      </c>
      <c r="Z436" s="77" t="e">
        <f>VLOOKUP(K436,'Component List'!S$2:T$30,2,FALSE)</f>
        <v>#N/A</v>
      </c>
      <c r="AA436" s="77" t="e">
        <f>VLOOKUP(L436,'Component List'!U$2:V$30,2,FALSE)</f>
        <v>#N/A</v>
      </c>
      <c r="AB436" s="77" t="e">
        <f>VLOOKUP(M436,'Component List'!AA$2:AB$30,2,FALSE)</f>
        <v>#N/A</v>
      </c>
      <c r="AC436" s="77" t="e">
        <f>VLOOKUP(N436,'Component List'!Y$2:Z$30,2,FALSE)</f>
        <v>#N/A</v>
      </c>
      <c r="AD436" s="159" t="e">
        <f>VLOOKUP(O436,'Component List'!W$3:X$30,2,FALSE)</f>
        <v>#N/A</v>
      </c>
    </row>
    <row r="437" spans="1:30" ht="30" customHeight="1" x14ac:dyDescent="0.3">
      <c r="A437" s="231"/>
      <c r="B437" s="173"/>
      <c r="C437" s="78"/>
      <c r="D437" s="78"/>
      <c r="E437" s="79"/>
      <c r="F437" s="78"/>
      <c r="G437" s="78"/>
      <c r="H437" s="78"/>
      <c r="I437" s="78"/>
      <c r="J437" s="78"/>
      <c r="K437" s="110"/>
      <c r="L437" s="110"/>
      <c r="M437" s="78"/>
      <c r="N437" s="78"/>
      <c r="O437" s="117"/>
      <c r="P437" s="114" t="e">
        <f t="shared" si="5"/>
        <v>#N/A</v>
      </c>
      <c r="Q437" s="77" t="e">
        <f>VLOOKUP($B437,'Component List'!$A$2:$B$30,2,FALSE)</f>
        <v>#N/A</v>
      </c>
      <c r="R437" s="77" t="e">
        <f>VLOOKUP($C437,'Component List'!C$2:D$28,2,FALSE)</f>
        <v>#N/A</v>
      </c>
      <c r="S437" s="77" t="e">
        <f>VLOOKUP($D437,'Component List'!E$2:F$30,2,FALSE)</f>
        <v>#N/A</v>
      </c>
      <c r="T437" s="77" t="e">
        <f>VLOOKUP($E437,'Component List'!G$2:H$30,2,FALSE)</f>
        <v>#N/A</v>
      </c>
      <c r="U437" s="77" t="e">
        <f>VLOOKUP($F437,'Component List'!I$2:J$30,2,FALSE)</f>
        <v>#N/A</v>
      </c>
      <c r="V437" s="77" t="e">
        <f>VLOOKUP(G437,'Component List'!K$2:L$30,2,FALSE)</f>
        <v>#N/A</v>
      </c>
      <c r="W437" s="77" t="e">
        <f>VLOOKUP(H437,'Component List'!M$2:N$31,2,FALSE)</f>
        <v>#N/A</v>
      </c>
      <c r="X437" s="77" t="e">
        <f>VLOOKUP(I437,'Component List'!O$2:P$30,2,FALSE)</f>
        <v>#N/A</v>
      </c>
      <c r="Y437" s="77" t="e">
        <f>VLOOKUP(J437,'Component List'!Q$2:R$30,2,FALSE)</f>
        <v>#N/A</v>
      </c>
      <c r="Z437" s="77" t="e">
        <f>VLOOKUP(K437,'Component List'!S$2:T$30,2,FALSE)</f>
        <v>#N/A</v>
      </c>
      <c r="AA437" s="77" t="e">
        <f>VLOOKUP(L437,'Component List'!U$2:V$30,2,FALSE)</f>
        <v>#N/A</v>
      </c>
      <c r="AB437" s="77" t="e">
        <f>VLOOKUP(M437,'Component List'!AA$2:AB$30,2,FALSE)</f>
        <v>#N/A</v>
      </c>
      <c r="AC437" s="77" t="e">
        <f>VLOOKUP(N437,'Component List'!Y$2:Z$30,2,FALSE)</f>
        <v>#N/A</v>
      </c>
      <c r="AD437" s="159" t="e">
        <f>VLOOKUP(O437,'Component List'!W$3:X$30,2,FALSE)</f>
        <v>#N/A</v>
      </c>
    </row>
    <row r="438" spans="1:30" ht="30" customHeight="1" x14ac:dyDescent="0.3">
      <c r="A438" s="231"/>
      <c r="B438" s="173"/>
      <c r="C438" s="78"/>
      <c r="D438" s="78"/>
      <c r="E438" s="79"/>
      <c r="F438" s="78"/>
      <c r="G438" s="78"/>
      <c r="H438" s="78"/>
      <c r="I438" s="78"/>
      <c r="J438" s="78"/>
      <c r="K438" s="110"/>
      <c r="L438" s="110"/>
      <c r="M438" s="78"/>
      <c r="N438" s="78"/>
      <c r="O438" s="117"/>
      <c r="P438" s="114" t="e">
        <f t="shared" si="5"/>
        <v>#N/A</v>
      </c>
      <c r="Q438" s="77" t="e">
        <f>VLOOKUP($B438,'Component List'!$A$2:$B$30,2,FALSE)</f>
        <v>#N/A</v>
      </c>
      <c r="R438" s="77" t="e">
        <f>VLOOKUP($C438,'Component List'!C$2:D$28,2,FALSE)</f>
        <v>#N/A</v>
      </c>
      <c r="S438" s="77" t="e">
        <f>VLOOKUP($D438,'Component List'!E$2:F$30,2,FALSE)</f>
        <v>#N/A</v>
      </c>
      <c r="T438" s="77" t="e">
        <f>VLOOKUP($E438,'Component List'!G$2:H$30,2,FALSE)</f>
        <v>#N/A</v>
      </c>
      <c r="U438" s="77" t="e">
        <f>VLOOKUP($F438,'Component List'!I$2:J$30,2,FALSE)</f>
        <v>#N/A</v>
      </c>
      <c r="V438" s="77" t="e">
        <f>VLOOKUP(G438,'Component List'!K$2:L$30,2,FALSE)</f>
        <v>#N/A</v>
      </c>
      <c r="W438" s="77" t="e">
        <f>VLOOKUP(H438,'Component List'!M$2:N$31,2,FALSE)</f>
        <v>#N/A</v>
      </c>
      <c r="X438" s="77" t="e">
        <f>VLOOKUP(I438,'Component List'!O$2:P$30,2,FALSE)</f>
        <v>#N/A</v>
      </c>
      <c r="Y438" s="77" t="e">
        <f>VLOOKUP(J438,'Component List'!Q$2:R$30,2,FALSE)</f>
        <v>#N/A</v>
      </c>
      <c r="Z438" s="77" t="e">
        <f>VLOOKUP(K438,'Component List'!S$2:T$30,2,FALSE)</f>
        <v>#N/A</v>
      </c>
      <c r="AA438" s="77" t="e">
        <f>VLOOKUP(L438,'Component List'!U$2:V$30,2,FALSE)</f>
        <v>#N/A</v>
      </c>
      <c r="AB438" s="77" t="e">
        <f>VLOOKUP(M438,'Component List'!AA$2:AB$30,2,FALSE)</f>
        <v>#N/A</v>
      </c>
      <c r="AC438" s="77" t="e">
        <f>VLOOKUP(N438,'Component List'!Y$2:Z$30,2,FALSE)</f>
        <v>#N/A</v>
      </c>
      <c r="AD438" s="159" t="e">
        <f>VLOOKUP(O438,'Component List'!W$3:X$30,2,FALSE)</f>
        <v>#N/A</v>
      </c>
    </row>
    <row r="439" spans="1:30" ht="30" customHeight="1" x14ac:dyDescent="0.3">
      <c r="A439" s="231"/>
      <c r="B439" s="173"/>
      <c r="C439" s="78"/>
      <c r="D439" s="78"/>
      <c r="E439" s="79"/>
      <c r="F439" s="78"/>
      <c r="G439" s="78"/>
      <c r="H439" s="78"/>
      <c r="I439" s="78"/>
      <c r="J439" s="78"/>
      <c r="K439" s="110"/>
      <c r="L439" s="110"/>
      <c r="M439" s="78"/>
      <c r="N439" s="78"/>
      <c r="O439" s="117"/>
      <c r="P439" s="114" t="e">
        <f t="shared" si="5"/>
        <v>#N/A</v>
      </c>
      <c r="Q439" s="77" t="e">
        <f>VLOOKUP($B439,'Component List'!$A$2:$B$30,2,FALSE)</f>
        <v>#N/A</v>
      </c>
      <c r="R439" s="77" t="e">
        <f>VLOOKUP($C439,'Component List'!C$2:D$28,2,FALSE)</f>
        <v>#N/A</v>
      </c>
      <c r="S439" s="77" t="e">
        <f>VLOOKUP($D439,'Component List'!E$2:F$30,2,FALSE)</f>
        <v>#N/A</v>
      </c>
      <c r="T439" s="77" t="e">
        <f>VLOOKUP($E439,'Component List'!G$2:H$30,2,FALSE)</f>
        <v>#N/A</v>
      </c>
      <c r="U439" s="77" t="e">
        <f>VLOOKUP($F439,'Component List'!I$2:J$30,2,FALSE)</f>
        <v>#N/A</v>
      </c>
      <c r="V439" s="77" t="e">
        <f>VLOOKUP(G439,'Component List'!K$2:L$30,2,FALSE)</f>
        <v>#N/A</v>
      </c>
      <c r="W439" s="77" t="e">
        <f>VLOOKUP(H439,'Component List'!M$2:N$31,2,FALSE)</f>
        <v>#N/A</v>
      </c>
      <c r="X439" s="77" t="e">
        <f>VLOOKUP(I439,'Component List'!O$2:P$30,2,FALSE)</f>
        <v>#N/A</v>
      </c>
      <c r="Y439" s="77" t="e">
        <f>VLOOKUP(J439,'Component List'!Q$2:R$30,2,FALSE)</f>
        <v>#N/A</v>
      </c>
      <c r="Z439" s="77" t="e">
        <f>VLOOKUP(K439,'Component List'!S$2:T$30,2,FALSE)</f>
        <v>#N/A</v>
      </c>
      <c r="AA439" s="77" t="e">
        <f>VLOOKUP(L439,'Component List'!U$2:V$30,2,FALSE)</f>
        <v>#N/A</v>
      </c>
      <c r="AB439" s="77" t="e">
        <f>VLOOKUP(M439,'Component List'!AA$2:AB$30,2,FALSE)</f>
        <v>#N/A</v>
      </c>
      <c r="AC439" s="77" t="e">
        <f>VLOOKUP(N439,'Component List'!Y$2:Z$30,2,FALSE)</f>
        <v>#N/A</v>
      </c>
      <c r="AD439" s="159" t="e">
        <f>VLOOKUP(O439,'Component List'!W$3:X$30,2,FALSE)</f>
        <v>#N/A</v>
      </c>
    </row>
    <row r="440" spans="1:30" ht="30" customHeight="1" x14ac:dyDescent="0.3">
      <c r="A440" s="231"/>
      <c r="B440" s="173"/>
      <c r="C440" s="78"/>
      <c r="D440" s="78"/>
      <c r="E440" s="79"/>
      <c r="F440" s="78"/>
      <c r="G440" s="78"/>
      <c r="H440" s="78"/>
      <c r="I440" s="78"/>
      <c r="J440" s="78"/>
      <c r="K440" s="110"/>
      <c r="L440" s="110"/>
      <c r="M440" s="78"/>
      <c r="N440" s="78"/>
      <c r="O440" s="117"/>
      <c r="P440" s="114" t="e">
        <f t="shared" si="5"/>
        <v>#N/A</v>
      </c>
      <c r="Q440" s="77" t="e">
        <f>VLOOKUP($B440,'Component List'!$A$2:$B$30,2,FALSE)</f>
        <v>#N/A</v>
      </c>
      <c r="R440" s="77" t="e">
        <f>VLOOKUP($C440,'Component List'!C$2:D$28,2,FALSE)</f>
        <v>#N/A</v>
      </c>
      <c r="S440" s="77" t="e">
        <f>VLOOKUP($D440,'Component List'!E$2:F$30,2,FALSE)</f>
        <v>#N/A</v>
      </c>
      <c r="T440" s="77" t="e">
        <f>VLOOKUP($E440,'Component List'!G$2:H$30,2,FALSE)</f>
        <v>#N/A</v>
      </c>
      <c r="U440" s="77" t="e">
        <f>VLOOKUP($F440,'Component List'!I$2:J$30,2,FALSE)</f>
        <v>#N/A</v>
      </c>
      <c r="V440" s="77" t="e">
        <f>VLOOKUP(G440,'Component List'!K$2:L$30,2,FALSE)</f>
        <v>#N/A</v>
      </c>
      <c r="W440" s="77" t="e">
        <f>VLOOKUP(H440,'Component List'!M$2:N$31,2,FALSE)</f>
        <v>#N/A</v>
      </c>
      <c r="X440" s="77" t="e">
        <f>VLOOKUP(I440,'Component List'!O$2:P$30,2,FALSE)</f>
        <v>#N/A</v>
      </c>
      <c r="Y440" s="77" t="e">
        <f>VLOOKUP(J440,'Component List'!Q$2:R$30,2,FALSE)</f>
        <v>#N/A</v>
      </c>
      <c r="Z440" s="77" t="e">
        <f>VLOOKUP(K440,'Component List'!S$2:T$30,2,FALSE)</f>
        <v>#N/A</v>
      </c>
      <c r="AA440" s="77" t="e">
        <f>VLOOKUP(L440,'Component List'!U$2:V$30,2,FALSE)</f>
        <v>#N/A</v>
      </c>
      <c r="AB440" s="77" t="e">
        <f>VLOOKUP(M440,'Component List'!AA$2:AB$30,2,FALSE)</f>
        <v>#N/A</v>
      </c>
      <c r="AC440" s="77" t="e">
        <f>VLOOKUP(N440,'Component List'!Y$2:Z$30,2,FALSE)</f>
        <v>#N/A</v>
      </c>
      <c r="AD440" s="159" t="e">
        <f>VLOOKUP(O440,'Component List'!W$3:X$30,2,FALSE)</f>
        <v>#N/A</v>
      </c>
    </row>
    <row r="441" spans="1:30" ht="30" customHeight="1" x14ac:dyDescent="0.3">
      <c r="A441" s="231"/>
      <c r="B441" s="173"/>
      <c r="C441" s="78"/>
      <c r="D441" s="78"/>
      <c r="E441" s="79"/>
      <c r="F441" s="78"/>
      <c r="G441" s="78"/>
      <c r="H441" s="78"/>
      <c r="I441" s="78"/>
      <c r="J441" s="78"/>
      <c r="K441" s="110"/>
      <c r="L441" s="110"/>
      <c r="M441" s="78"/>
      <c r="N441" s="78"/>
      <c r="O441" s="117"/>
      <c r="P441" s="114" t="e">
        <f t="shared" si="5"/>
        <v>#N/A</v>
      </c>
      <c r="Q441" s="77" t="e">
        <f>VLOOKUP($B441,'Component List'!$A$2:$B$30,2,FALSE)</f>
        <v>#N/A</v>
      </c>
      <c r="R441" s="77" t="e">
        <f>VLOOKUP($C441,'Component List'!C$2:D$28,2,FALSE)</f>
        <v>#N/A</v>
      </c>
      <c r="S441" s="77" t="e">
        <f>VLOOKUP($D441,'Component List'!E$2:F$30,2,FALSE)</f>
        <v>#N/A</v>
      </c>
      <c r="T441" s="77" t="e">
        <f>VLOOKUP($E441,'Component List'!G$2:H$30,2,FALSE)</f>
        <v>#N/A</v>
      </c>
      <c r="U441" s="77" t="e">
        <f>VLOOKUP($F441,'Component List'!I$2:J$30,2,FALSE)</f>
        <v>#N/A</v>
      </c>
      <c r="V441" s="77" t="e">
        <f>VLOOKUP(G441,'Component List'!K$2:L$30,2,FALSE)</f>
        <v>#N/A</v>
      </c>
      <c r="W441" s="77" t="e">
        <f>VLOOKUP(H441,'Component List'!M$2:N$31,2,FALSE)</f>
        <v>#N/A</v>
      </c>
      <c r="X441" s="77" t="e">
        <f>VLOOKUP(I441,'Component List'!O$2:P$30,2,FALSE)</f>
        <v>#N/A</v>
      </c>
      <c r="Y441" s="77" t="e">
        <f>VLOOKUP(J441,'Component List'!Q$2:R$30,2,FALSE)</f>
        <v>#N/A</v>
      </c>
      <c r="Z441" s="77" t="e">
        <f>VLOOKUP(K441,'Component List'!S$2:T$30,2,FALSE)</f>
        <v>#N/A</v>
      </c>
      <c r="AA441" s="77" t="e">
        <f>VLOOKUP(L441,'Component List'!U$2:V$30,2,FALSE)</f>
        <v>#N/A</v>
      </c>
      <c r="AB441" s="77" t="e">
        <f>VLOOKUP(M441,'Component List'!AA$2:AB$30,2,FALSE)</f>
        <v>#N/A</v>
      </c>
      <c r="AC441" s="77" t="e">
        <f>VLOOKUP(N441,'Component List'!Y$2:Z$30,2,FALSE)</f>
        <v>#N/A</v>
      </c>
      <c r="AD441" s="159" t="e">
        <f>VLOOKUP(O441,'Component List'!W$3:X$30,2,FALSE)</f>
        <v>#N/A</v>
      </c>
    </row>
    <row r="442" spans="1:30" ht="30" customHeight="1" x14ac:dyDescent="0.3">
      <c r="A442" s="231"/>
      <c r="B442" s="173"/>
      <c r="C442" s="78"/>
      <c r="D442" s="78"/>
      <c r="E442" s="79"/>
      <c r="F442" s="78"/>
      <c r="G442" s="78"/>
      <c r="H442" s="78"/>
      <c r="I442" s="78"/>
      <c r="J442" s="78"/>
      <c r="K442" s="110"/>
      <c r="L442" s="110"/>
      <c r="M442" s="78"/>
      <c r="N442" s="78"/>
      <c r="O442" s="117"/>
      <c r="P442" s="114" t="e">
        <f t="shared" si="5"/>
        <v>#N/A</v>
      </c>
      <c r="Q442" s="77" t="e">
        <f>VLOOKUP($B442,'Component List'!$A$2:$B$30,2,FALSE)</f>
        <v>#N/A</v>
      </c>
      <c r="R442" s="77" t="e">
        <f>VLOOKUP($C442,'Component List'!C$2:D$28,2,FALSE)</f>
        <v>#N/A</v>
      </c>
      <c r="S442" s="77" t="e">
        <f>VLOOKUP($D442,'Component List'!E$2:F$30,2,FALSE)</f>
        <v>#N/A</v>
      </c>
      <c r="T442" s="77" t="e">
        <f>VLOOKUP($E442,'Component List'!G$2:H$30,2,FALSE)</f>
        <v>#N/A</v>
      </c>
      <c r="U442" s="77" t="e">
        <f>VLOOKUP($F442,'Component List'!I$2:J$30,2,FALSE)</f>
        <v>#N/A</v>
      </c>
      <c r="V442" s="77" t="e">
        <f>VLOOKUP(G442,'Component List'!K$2:L$30,2,FALSE)</f>
        <v>#N/A</v>
      </c>
      <c r="W442" s="77" t="e">
        <f>VLOOKUP(H442,'Component List'!M$2:N$31,2,FALSE)</f>
        <v>#N/A</v>
      </c>
      <c r="X442" s="77" t="e">
        <f>VLOOKUP(I442,'Component List'!O$2:P$30,2,FALSE)</f>
        <v>#N/A</v>
      </c>
      <c r="Y442" s="77" t="e">
        <f>VLOOKUP(J442,'Component List'!Q$2:R$30,2,FALSE)</f>
        <v>#N/A</v>
      </c>
      <c r="Z442" s="77" t="e">
        <f>VLOOKUP(K442,'Component List'!S$2:T$30,2,FALSE)</f>
        <v>#N/A</v>
      </c>
      <c r="AA442" s="77" t="e">
        <f>VLOOKUP(L442,'Component List'!U$2:V$30,2,FALSE)</f>
        <v>#N/A</v>
      </c>
      <c r="AB442" s="77" t="e">
        <f>VLOOKUP(M442,'Component List'!AA$2:AB$30,2,FALSE)</f>
        <v>#N/A</v>
      </c>
      <c r="AC442" s="77" t="e">
        <f>VLOOKUP(N442,'Component List'!Y$2:Z$30,2,FALSE)</f>
        <v>#N/A</v>
      </c>
      <c r="AD442" s="159" t="e">
        <f>VLOOKUP(O442,'Component List'!W$3:X$30,2,FALSE)</f>
        <v>#N/A</v>
      </c>
    </row>
    <row r="443" spans="1:30" ht="30" customHeight="1" x14ac:dyDescent="0.3">
      <c r="A443" s="231"/>
      <c r="B443" s="173"/>
      <c r="C443" s="78"/>
      <c r="D443" s="78"/>
      <c r="E443" s="79"/>
      <c r="F443" s="78"/>
      <c r="G443" s="78"/>
      <c r="H443" s="78"/>
      <c r="I443" s="78"/>
      <c r="J443" s="78"/>
      <c r="K443" s="110"/>
      <c r="L443" s="110"/>
      <c r="M443" s="78"/>
      <c r="N443" s="78"/>
      <c r="O443" s="117"/>
      <c r="P443" s="114" t="e">
        <f t="shared" si="5"/>
        <v>#N/A</v>
      </c>
      <c r="Q443" s="77" t="e">
        <f>VLOOKUP($B443,'Component List'!$A$2:$B$30,2,FALSE)</f>
        <v>#N/A</v>
      </c>
      <c r="R443" s="77" t="e">
        <f>VLOOKUP($C443,'Component List'!C$2:D$28,2,FALSE)</f>
        <v>#N/A</v>
      </c>
      <c r="S443" s="77" t="e">
        <f>VLOOKUP($D443,'Component List'!E$2:F$30,2,FALSE)</f>
        <v>#N/A</v>
      </c>
      <c r="T443" s="77" t="e">
        <f>VLOOKUP($E443,'Component List'!G$2:H$30,2,FALSE)</f>
        <v>#N/A</v>
      </c>
      <c r="U443" s="77" t="e">
        <f>VLOOKUP($F443,'Component List'!I$2:J$30,2,FALSE)</f>
        <v>#N/A</v>
      </c>
      <c r="V443" s="77" t="e">
        <f>VLOOKUP(G443,'Component List'!K$2:L$30,2,FALSE)</f>
        <v>#N/A</v>
      </c>
      <c r="W443" s="77" t="e">
        <f>VLOOKUP(H443,'Component List'!M$2:N$31,2,FALSE)</f>
        <v>#N/A</v>
      </c>
      <c r="X443" s="77" t="e">
        <f>VLOOKUP(I443,'Component List'!O$2:P$30,2,FALSE)</f>
        <v>#N/A</v>
      </c>
      <c r="Y443" s="77" t="e">
        <f>VLOOKUP(J443,'Component List'!Q$2:R$30,2,FALSE)</f>
        <v>#N/A</v>
      </c>
      <c r="Z443" s="77" t="e">
        <f>VLOOKUP(K443,'Component List'!S$2:T$30,2,FALSE)</f>
        <v>#N/A</v>
      </c>
      <c r="AA443" s="77" t="e">
        <f>VLOOKUP(L443,'Component List'!U$2:V$30,2,FALSE)</f>
        <v>#N/A</v>
      </c>
      <c r="AB443" s="77" t="e">
        <f>VLOOKUP(M443,'Component List'!AA$2:AB$30,2,FALSE)</f>
        <v>#N/A</v>
      </c>
      <c r="AC443" s="77" t="e">
        <f>VLOOKUP(N443,'Component List'!Y$2:Z$30,2,FALSE)</f>
        <v>#N/A</v>
      </c>
      <c r="AD443" s="159" t="e">
        <f>VLOOKUP(O443,'Component List'!W$3:X$30,2,FALSE)</f>
        <v>#N/A</v>
      </c>
    </row>
    <row r="444" spans="1:30" ht="30" customHeight="1" x14ac:dyDescent="0.3">
      <c r="A444" s="231"/>
      <c r="B444" s="173"/>
      <c r="C444" s="78"/>
      <c r="D444" s="78"/>
      <c r="E444" s="79"/>
      <c r="F444" s="78"/>
      <c r="G444" s="78"/>
      <c r="H444" s="78"/>
      <c r="I444" s="78"/>
      <c r="J444" s="78"/>
      <c r="K444" s="110"/>
      <c r="L444" s="110"/>
      <c r="M444" s="78"/>
      <c r="N444" s="78"/>
      <c r="O444" s="117"/>
      <c r="P444" s="114" t="e">
        <f t="shared" si="5"/>
        <v>#N/A</v>
      </c>
      <c r="Q444" s="77" t="e">
        <f>VLOOKUP($B444,'Component List'!$A$2:$B$30,2,FALSE)</f>
        <v>#N/A</v>
      </c>
      <c r="R444" s="77" t="e">
        <f>VLOOKUP($C444,'Component List'!C$2:D$28,2,FALSE)</f>
        <v>#N/A</v>
      </c>
      <c r="S444" s="77" t="e">
        <f>VLOOKUP($D444,'Component List'!E$2:F$30,2,FALSE)</f>
        <v>#N/A</v>
      </c>
      <c r="T444" s="77" t="e">
        <f>VLOOKUP($E444,'Component List'!G$2:H$30,2,FALSE)</f>
        <v>#N/A</v>
      </c>
      <c r="U444" s="77" t="e">
        <f>VLOOKUP($F444,'Component List'!I$2:J$30,2,FALSE)</f>
        <v>#N/A</v>
      </c>
      <c r="V444" s="77" t="e">
        <f>VLOOKUP(G444,'Component List'!K$2:L$30,2,FALSE)</f>
        <v>#N/A</v>
      </c>
      <c r="W444" s="77" t="e">
        <f>VLOOKUP(H444,'Component List'!M$2:N$31,2,FALSE)</f>
        <v>#N/A</v>
      </c>
      <c r="X444" s="77" t="e">
        <f>VLOOKUP(I444,'Component List'!O$2:P$30,2,FALSE)</f>
        <v>#N/A</v>
      </c>
      <c r="Y444" s="77" t="e">
        <f>VLOOKUP(J444,'Component List'!Q$2:R$30,2,FALSE)</f>
        <v>#N/A</v>
      </c>
      <c r="Z444" s="77" t="e">
        <f>VLOOKUP(K444,'Component List'!S$2:T$30,2,FALSE)</f>
        <v>#N/A</v>
      </c>
      <c r="AA444" s="77" t="e">
        <f>VLOOKUP(L444,'Component List'!U$2:V$30,2,FALSE)</f>
        <v>#N/A</v>
      </c>
      <c r="AB444" s="77" t="e">
        <f>VLOOKUP(M444,'Component List'!AA$2:AB$30,2,FALSE)</f>
        <v>#N/A</v>
      </c>
      <c r="AC444" s="77" t="e">
        <f>VLOOKUP(N444,'Component List'!Y$2:Z$30,2,FALSE)</f>
        <v>#N/A</v>
      </c>
      <c r="AD444" s="159" t="e">
        <f>VLOOKUP(O444,'Component List'!W$3:X$30,2,FALSE)</f>
        <v>#N/A</v>
      </c>
    </row>
    <row r="445" spans="1:30" ht="30" customHeight="1" x14ac:dyDescent="0.3">
      <c r="A445" s="231"/>
      <c r="B445" s="173"/>
      <c r="C445" s="78"/>
      <c r="D445" s="78"/>
      <c r="E445" s="79"/>
      <c r="F445" s="78"/>
      <c r="G445" s="78"/>
      <c r="H445" s="78"/>
      <c r="I445" s="78"/>
      <c r="J445" s="78"/>
      <c r="K445" s="110"/>
      <c r="L445" s="110"/>
      <c r="M445" s="78"/>
      <c r="N445" s="78"/>
      <c r="O445" s="117"/>
      <c r="P445" s="114" t="e">
        <f t="shared" si="5"/>
        <v>#N/A</v>
      </c>
      <c r="Q445" s="77" t="e">
        <f>VLOOKUP($B445,'Component List'!$A$2:$B$30,2,FALSE)</f>
        <v>#N/A</v>
      </c>
      <c r="R445" s="77" t="e">
        <f>VLOOKUP($C445,'Component List'!C$2:D$28,2,FALSE)</f>
        <v>#N/A</v>
      </c>
      <c r="S445" s="77" t="e">
        <f>VLOOKUP($D445,'Component List'!E$2:F$30,2,FALSE)</f>
        <v>#N/A</v>
      </c>
      <c r="T445" s="77" t="e">
        <f>VLOOKUP($E445,'Component List'!G$2:H$30,2,FALSE)</f>
        <v>#N/A</v>
      </c>
      <c r="U445" s="77" t="e">
        <f>VLOOKUP($F445,'Component List'!I$2:J$30,2,FALSE)</f>
        <v>#N/A</v>
      </c>
      <c r="V445" s="77" t="e">
        <f>VLOOKUP(G445,'Component List'!K$2:L$30,2,FALSE)</f>
        <v>#N/A</v>
      </c>
      <c r="W445" s="77" t="e">
        <f>VLOOKUP(H445,'Component List'!M$2:N$31,2,FALSE)</f>
        <v>#N/A</v>
      </c>
      <c r="X445" s="77" t="e">
        <f>VLOOKUP(I445,'Component List'!O$2:P$30,2,FALSE)</f>
        <v>#N/A</v>
      </c>
      <c r="Y445" s="77" t="e">
        <f>VLOOKUP(J445,'Component List'!Q$2:R$30,2,FALSE)</f>
        <v>#N/A</v>
      </c>
      <c r="Z445" s="77" t="e">
        <f>VLOOKUP(K445,'Component List'!S$2:T$30,2,FALSE)</f>
        <v>#N/A</v>
      </c>
      <c r="AA445" s="77" t="e">
        <f>VLOOKUP(L445,'Component List'!U$2:V$30,2,FALSE)</f>
        <v>#N/A</v>
      </c>
      <c r="AB445" s="77" t="e">
        <f>VLOOKUP(M445,'Component List'!AA$2:AB$30,2,FALSE)</f>
        <v>#N/A</v>
      </c>
      <c r="AC445" s="77" t="e">
        <f>VLOOKUP(N445,'Component List'!Y$2:Z$30,2,FALSE)</f>
        <v>#N/A</v>
      </c>
      <c r="AD445" s="159" t="e">
        <f>VLOOKUP(O445,'Component List'!W$3:X$30,2,FALSE)</f>
        <v>#N/A</v>
      </c>
    </row>
    <row r="446" spans="1:30" ht="30" customHeight="1" x14ac:dyDescent="0.3">
      <c r="A446" s="231"/>
      <c r="B446" s="173"/>
      <c r="C446" s="78"/>
      <c r="D446" s="78"/>
      <c r="E446" s="79"/>
      <c r="F446" s="78"/>
      <c r="G446" s="78"/>
      <c r="H446" s="78"/>
      <c r="I446" s="78"/>
      <c r="J446" s="78"/>
      <c r="K446" s="110"/>
      <c r="L446" s="110"/>
      <c r="M446" s="78"/>
      <c r="N446" s="78"/>
      <c r="O446" s="117"/>
      <c r="P446" s="114" t="e">
        <f t="shared" si="5"/>
        <v>#N/A</v>
      </c>
      <c r="Q446" s="77" t="e">
        <f>VLOOKUP($B446,'Component List'!$A$2:$B$30,2,FALSE)</f>
        <v>#N/A</v>
      </c>
      <c r="R446" s="77" t="e">
        <f>VLOOKUP($C446,'Component List'!C$2:D$28,2,FALSE)</f>
        <v>#N/A</v>
      </c>
      <c r="S446" s="77" t="e">
        <f>VLOOKUP($D446,'Component List'!E$2:F$30,2,FALSE)</f>
        <v>#N/A</v>
      </c>
      <c r="T446" s="77" t="e">
        <f>VLOOKUP($E446,'Component List'!G$2:H$30,2,FALSE)</f>
        <v>#N/A</v>
      </c>
      <c r="U446" s="77" t="e">
        <f>VLOOKUP($F446,'Component List'!I$2:J$30,2,FALSE)</f>
        <v>#N/A</v>
      </c>
      <c r="V446" s="77" t="e">
        <f>VLOOKUP(G446,'Component List'!K$2:L$30,2,FALSE)</f>
        <v>#N/A</v>
      </c>
      <c r="W446" s="77" t="e">
        <f>VLOOKUP(H446,'Component List'!M$2:N$31,2,FALSE)</f>
        <v>#N/A</v>
      </c>
      <c r="X446" s="77" t="e">
        <f>VLOOKUP(I446,'Component List'!O$2:P$30,2,FALSE)</f>
        <v>#N/A</v>
      </c>
      <c r="Y446" s="77" t="e">
        <f>VLOOKUP(J446,'Component List'!Q$2:R$30,2,FALSE)</f>
        <v>#N/A</v>
      </c>
      <c r="Z446" s="77" t="e">
        <f>VLOOKUP(K446,'Component List'!S$2:T$30,2,FALSE)</f>
        <v>#N/A</v>
      </c>
      <c r="AA446" s="77" t="e">
        <f>VLOOKUP(L446,'Component List'!U$2:V$30,2,FALSE)</f>
        <v>#N/A</v>
      </c>
      <c r="AB446" s="77" t="e">
        <f>VLOOKUP(M446,'Component List'!AA$2:AB$30,2,FALSE)</f>
        <v>#N/A</v>
      </c>
      <c r="AC446" s="77" t="e">
        <f>VLOOKUP(N446,'Component List'!Y$2:Z$30,2,FALSE)</f>
        <v>#N/A</v>
      </c>
      <c r="AD446" s="159" t="e">
        <f>VLOOKUP(O446,'Component List'!W$3:X$30,2,FALSE)</f>
        <v>#N/A</v>
      </c>
    </row>
    <row r="447" spans="1:30" ht="30" customHeight="1" x14ac:dyDescent="0.3">
      <c r="A447" s="231"/>
      <c r="B447" s="173"/>
      <c r="C447" s="78"/>
      <c r="D447" s="78"/>
      <c r="E447" s="79"/>
      <c r="F447" s="78"/>
      <c r="G447" s="78"/>
      <c r="H447" s="78"/>
      <c r="I447" s="78"/>
      <c r="J447" s="78"/>
      <c r="K447" s="110"/>
      <c r="L447" s="110"/>
      <c r="M447" s="78"/>
      <c r="N447" s="78"/>
      <c r="O447" s="117"/>
      <c r="P447" s="114" t="e">
        <f t="shared" si="5"/>
        <v>#N/A</v>
      </c>
      <c r="Q447" s="77" t="e">
        <f>VLOOKUP($B447,'Component List'!$A$2:$B$30,2,FALSE)</f>
        <v>#N/A</v>
      </c>
      <c r="R447" s="77" t="e">
        <f>VLOOKUP($C447,'Component List'!C$2:D$28,2,FALSE)</f>
        <v>#N/A</v>
      </c>
      <c r="S447" s="77" t="e">
        <f>VLOOKUP($D447,'Component List'!E$2:F$30,2,FALSE)</f>
        <v>#N/A</v>
      </c>
      <c r="T447" s="77" t="e">
        <f>VLOOKUP($E447,'Component List'!G$2:H$30,2,FALSE)</f>
        <v>#N/A</v>
      </c>
      <c r="U447" s="77" t="e">
        <f>VLOOKUP($F447,'Component List'!I$2:J$30,2,FALSE)</f>
        <v>#N/A</v>
      </c>
      <c r="V447" s="77" t="e">
        <f>VLOOKUP(G447,'Component List'!K$2:L$30,2,FALSE)</f>
        <v>#N/A</v>
      </c>
      <c r="W447" s="77" t="e">
        <f>VLOOKUP(H447,'Component List'!M$2:N$31,2,FALSE)</f>
        <v>#N/A</v>
      </c>
      <c r="X447" s="77" t="e">
        <f>VLOOKUP(I447,'Component List'!O$2:P$30,2,FALSE)</f>
        <v>#N/A</v>
      </c>
      <c r="Y447" s="77" t="e">
        <f>VLOOKUP(J447,'Component List'!Q$2:R$30,2,FALSE)</f>
        <v>#N/A</v>
      </c>
      <c r="Z447" s="77" t="e">
        <f>VLOOKUP(K447,'Component List'!S$2:T$30,2,FALSE)</f>
        <v>#N/A</v>
      </c>
      <c r="AA447" s="77" t="e">
        <f>VLOOKUP(L447,'Component List'!U$2:V$30,2,FALSE)</f>
        <v>#N/A</v>
      </c>
      <c r="AB447" s="77" t="e">
        <f>VLOOKUP(M447,'Component List'!AA$2:AB$30,2,FALSE)</f>
        <v>#N/A</v>
      </c>
      <c r="AC447" s="77" t="e">
        <f>VLOOKUP(N447,'Component List'!Y$2:Z$30,2,FALSE)</f>
        <v>#N/A</v>
      </c>
      <c r="AD447" s="159" t="e">
        <f>VLOOKUP(O447,'Component List'!W$3:X$30,2,FALSE)</f>
        <v>#N/A</v>
      </c>
    </row>
    <row r="448" spans="1:30" ht="30" customHeight="1" x14ac:dyDescent="0.3">
      <c r="A448" s="231"/>
      <c r="B448" s="173"/>
      <c r="C448" s="78"/>
      <c r="D448" s="78"/>
      <c r="E448" s="79"/>
      <c r="F448" s="78"/>
      <c r="G448" s="78"/>
      <c r="H448" s="78"/>
      <c r="I448" s="78"/>
      <c r="J448" s="78"/>
      <c r="K448" s="110"/>
      <c r="L448" s="110"/>
      <c r="M448" s="78"/>
      <c r="N448" s="78"/>
      <c r="O448" s="117"/>
      <c r="P448" s="114" t="e">
        <f t="shared" si="5"/>
        <v>#N/A</v>
      </c>
      <c r="Q448" s="77" t="e">
        <f>VLOOKUP($B448,'Component List'!$A$2:$B$30,2,FALSE)</f>
        <v>#N/A</v>
      </c>
      <c r="R448" s="77" t="e">
        <f>VLOOKUP($C448,'Component List'!C$2:D$28,2,FALSE)</f>
        <v>#N/A</v>
      </c>
      <c r="S448" s="77" t="e">
        <f>VLOOKUP($D448,'Component List'!E$2:F$30,2,FALSE)</f>
        <v>#N/A</v>
      </c>
      <c r="T448" s="77" t="e">
        <f>VLOOKUP($E448,'Component List'!G$2:H$30,2,FALSE)</f>
        <v>#N/A</v>
      </c>
      <c r="U448" s="77" t="e">
        <f>VLOOKUP($F448,'Component List'!I$2:J$30,2,FALSE)</f>
        <v>#N/A</v>
      </c>
      <c r="V448" s="77" t="e">
        <f>VLOOKUP(G448,'Component List'!K$2:L$30,2,FALSE)</f>
        <v>#N/A</v>
      </c>
      <c r="W448" s="77" t="e">
        <f>VLOOKUP(H448,'Component List'!M$2:N$31,2,FALSE)</f>
        <v>#N/A</v>
      </c>
      <c r="X448" s="77" t="e">
        <f>VLOOKUP(I448,'Component List'!O$2:P$30,2,FALSE)</f>
        <v>#N/A</v>
      </c>
      <c r="Y448" s="77" t="e">
        <f>VLOOKUP(J448,'Component List'!Q$2:R$30,2,FALSE)</f>
        <v>#N/A</v>
      </c>
      <c r="Z448" s="77" t="e">
        <f>VLOOKUP(K448,'Component List'!S$2:T$30,2,FALSE)</f>
        <v>#N/A</v>
      </c>
      <c r="AA448" s="77" t="e">
        <f>VLOOKUP(L448,'Component List'!U$2:V$30,2,FALSE)</f>
        <v>#N/A</v>
      </c>
      <c r="AB448" s="77" t="e">
        <f>VLOOKUP(M448,'Component List'!AA$2:AB$30,2,FALSE)</f>
        <v>#N/A</v>
      </c>
      <c r="AC448" s="77" t="e">
        <f>VLOOKUP(N448,'Component List'!Y$2:Z$30,2,FALSE)</f>
        <v>#N/A</v>
      </c>
      <c r="AD448" s="159" t="e">
        <f>VLOOKUP(O448,'Component List'!W$3:X$30,2,FALSE)</f>
        <v>#N/A</v>
      </c>
    </row>
    <row r="449" spans="1:30" ht="30" customHeight="1" x14ac:dyDescent="0.3">
      <c r="A449" s="231"/>
      <c r="B449" s="173"/>
      <c r="C449" s="78"/>
      <c r="D449" s="78"/>
      <c r="E449" s="79"/>
      <c r="F449" s="78"/>
      <c r="G449" s="78"/>
      <c r="H449" s="78"/>
      <c r="I449" s="78"/>
      <c r="J449" s="78"/>
      <c r="K449" s="110"/>
      <c r="L449" s="110"/>
      <c r="M449" s="78"/>
      <c r="N449" s="78"/>
      <c r="O449" s="117"/>
      <c r="P449" s="114" t="e">
        <f t="shared" si="5"/>
        <v>#N/A</v>
      </c>
      <c r="Q449" s="77" t="e">
        <f>VLOOKUP($B449,'Component List'!$A$2:$B$30,2,FALSE)</f>
        <v>#N/A</v>
      </c>
      <c r="R449" s="77" t="e">
        <f>VLOOKUP($C449,'Component List'!C$2:D$28,2,FALSE)</f>
        <v>#N/A</v>
      </c>
      <c r="S449" s="77" t="e">
        <f>VLOOKUP($D449,'Component List'!E$2:F$30,2,FALSE)</f>
        <v>#N/A</v>
      </c>
      <c r="T449" s="77" t="e">
        <f>VLOOKUP($E449,'Component List'!G$2:H$30,2,FALSE)</f>
        <v>#N/A</v>
      </c>
      <c r="U449" s="77" t="e">
        <f>VLOOKUP($F449,'Component List'!I$2:J$30,2,FALSE)</f>
        <v>#N/A</v>
      </c>
      <c r="V449" s="77" t="e">
        <f>VLOOKUP(G449,'Component List'!K$2:L$30,2,FALSE)</f>
        <v>#N/A</v>
      </c>
      <c r="W449" s="77" t="e">
        <f>VLOOKUP(H449,'Component List'!M$2:N$31,2,FALSE)</f>
        <v>#N/A</v>
      </c>
      <c r="X449" s="77" t="e">
        <f>VLOOKUP(I449,'Component List'!O$2:P$30,2,FALSE)</f>
        <v>#N/A</v>
      </c>
      <c r="Y449" s="77" t="e">
        <f>VLOOKUP(J449,'Component List'!Q$2:R$30,2,FALSE)</f>
        <v>#N/A</v>
      </c>
      <c r="Z449" s="77" t="e">
        <f>VLOOKUP(K449,'Component List'!S$2:T$30,2,FALSE)</f>
        <v>#N/A</v>
      </c>
      <c r="AA449" s="77" t="e">
        <f>VLOOKUP(L449,'Component List'!U$2:V$30,2,FALSE)</f>
        <v>#N/A</v>
      </c>
      <c r="AB449" s="77" t="e">
        <f>VLOOKUP(M449,'Component List'!AA$2:AB$30,2,FALSE)</f>
        <v>#N/A</v>
      </c>
      <c r="AC449" s="77" t="e">
        <f>VLOOKUP(N449,'Component List'!Y$2:Z$30,2,FALSE)</f>
        <v>#N/A</v>
      </c>
      <c r="AD449" s="159" t="e">
        <f>VLOOKUP(O449,'Component List'!W$3:X$30,2,FALSE)</f>
        <v>#N/A</v>
      </c>
    </row>
    <row r="450" spans="1:30" ht="30" customHeight="1" x14ac:dyDescent="0.3">
      <c r="A450" s="231"/>
      <c r="B450" s="173"/>
      <c r="C450" s="78"/>
      <c r="D450" s="78"/>
      <c r="E450" s="79"/>
      <c r="F450" s="78"/>
      <c r="G450" s="78"/>
      <c r="H450" s="78"/>
      <c r="I450" s="78"/>
      <c r="J450" s="78"/>
      <c r="K450" s="110"/>
      <c r="L450" s="110"/>
      <c r="M450" s="78"/>
      <c r="N450" s="78"/>
      <c r="O450" s="117"/>
      <c r="P450" s="114" t="e">
        <f t="shared" si="5"/>
        <v>#N/A</v>
      </c>
      <c r="Q450" s="77" t="e">
        <f>VLOOKUP($B450,'Component List'!$A$2:$B$30,2,FALSE)</f>
        <v>#N/A</v>
      </c>
      <c r="R450" s="77" t="e">
        <f>VLOOKUP($C450,'Component List'!C$2:D$28,2,FALSE)</f>
        <v>#N/A</v>
      </c>
      <c r="S450" s="77" t="e">
        <f>VLOOKUP($D450,'Component List'!E$2:F$30,2,FALSE)</f>
        <v>#N/A</v>
      </c>
      <c r="T450" s="77" t="e">
        <f>VLOOKUP($E450,'Component List'!G$2:H$30,2,FALSE)</f>
        <v>#N/A</v>
      </c>
      <c r="U450" s="77" t="e">
        <f>VLOOKUP($F450,'Component List'!I$2:J$30,2,FALSE)</f>
        <v>#N/A</v>
      </c>
      <c r="V450" s="77" t="e">
        <f>VLOOKUP(G450,'Component List'!K$2:L$30,2,FALSE)</f>
        <v>#N/A</v>
      </c>
      <c r="W450" s="77" t="e">
        <f>VLOOKUP(H450,'Component List'!M$2:N$31,2,FALSE)</f>
        <v>#N/A</v>
      </c>
      <c r="X450" s="77" t="e">
        <f>VLOOKUP(I450,'Component List'!O$2:P$30,2,FALSE)</f>
        <v>#N/A</v>
      </c>
      <c r="Y450" s="77" t="e">
        <f>VLOOKUP(J450,'Component List'!Q$2:R$30,2,FALSE)</f>
        <v>#N/A</v>
      </c>
      <c r="Z450" s="77" t="e">
        <f>VLOOKUP(K450,'Component List'!S$2:T$30,2,FALSE)</f>
        <v>#N/A</v>
      </c>
      <c r="AA450" s="77" t="e">
        <f>VLOOKUP(L450,'Component List'!U$2:V$30,2,FALSE)</f>
        <v>#N/A</v>
      </c>
      <c r="AB450" s="77" t="e">
        <f>VLOOKUP(M450,'Component List'!AA$2:AB$30,2,FALSE)</f>
        <v>#N/A</v>
      </c>
      <c r="AC450" s="77" t="e">
        <f>VLOOKUP(N450,'Component List'!Y$2:Z$30,2,FALSE)</f>
        <v>#N/A</v>
      </c>
      <c r="AD450" s="159" t="e">
        <f>VLOOKUP(O450,'Component List'!W$3:X$30,2,FALSE)</f>
        <v>#N/A</v>
      </c>
    </row>
    <row r="451" spans="1:30" ht="30" customHeight="1" x14ac:dyDescent="0.3">
      <c r="A451" s="231"/>
      <c r="B451" s="173"/>
      <c r="C451" s="78"/>
      <c r="D451" s="78"/>
      <c r="E451" s="79"/>
      <c r="F451" s="78"/>
      <c r="G451" s="78"/>
      <c r="H451" s="78"/>
      <c r="I451" s="78"/>
      <c r="J451" s="78"/>
      <c r="K451" s="110"/>
      <c r="L451" s="110"/>
      <c r="M451" s="78"/>
      <c r="N451" s="78"/>
      <c r="O451" s="117"/>
      <c r="P451" s="114" t="e">
        <f t="shared" si="5"/>
        <v>#N/A</v>
      </c>
      <c r="Q451" s="77" t="e">
        <f>VLOOKUP($B451,'Component List'!$A$2:$B$30,2,FALSE)</f>
        <v>#N/A</v>
      </c>
      <c r="R451" s="77" t="e">
        <f>VLOOKUP($C451,'Component List'!C$2:D$28,2,FALSE)</f>
        <v>#N/A</v>
      </c>
      <c r="S451" s="77" t="e">
        <f>VLOOKUP($D451,'Component List'!E$2:F$30,2,FALSE)</f>
        <v>#N/A</v>
      </c>
      <c r="T451" s="77" t="e">
        <f>VLOOKUP($E451,'Component List'!G$2:H$30,2,FALSE)</f>
        <v>#N/A</v>
      </c>
      <c r="U451" s="77" t="e">
        <f>VLOOKUP($F451,'Component List'!I$2:J$30,2,FALSE)</f>
        <v>#N/A</v>
      </c>
      <c r="V451" s="77" t="e">
        <f>VLOOKUP(G451,'Component List'!K$2:L$30,2,FALSE)</f>
        <v>#N/A</v>
      </c>
      <c r="W451" s="77" t="e">
        <f>VLOOKUP(H451,'Component List'!M$2:N$31,2,FALSE)</f>
        <v>#N/A</v>
      </c>
      <c r="X451" s="77" t="e">
        <f>VLOOKUP(I451,'Component List'!O$2:P$30,2,FALSE)</f>
        <v>#N/A</v>
      </c>
      <c r="Y451" s="77" t="e">
        <f>VLOOKUP(J451,'Component List'!Q$2:R$30,2,FALSE)</f>
        <v>#N/A</v>
      </c>
      <c r="Z451" s="77" t="e">
        <f>VLOOKUP(K451,'Component List'!S$2:T$30,2,FALSE)</f>
        <v>#N/A</v>
      </c>
      <c r="AA451" s="77" t="e">
        <f>VLOOKUP(L451,'Component List'!U$2:V$30,2,FALSE)</f>
        <v>#N/A</v>
      </c>
      <c r="AB451" s="77" t="e">
        <f>VLOOKUP(M451,'Component List'!AA$2:AB$30,2,FALSE)</f>
        <v>#N/A</v>
      </c>
      <c r="AC451" s="77" t="e">
        <f>VLOOKUP(N451,'Component List'!Y$2:Z$30,2,FALSE)</f>
        <v>#N/A</v>
      </c>
      <c r="AD451" s="159" t="e">
        <f>VLOOKUP(O451,'Component List'!W$3:X$30,2,FALSE)</f>
        <v>#N/A</v>
      </c>
    </row>
    <row r="452" spans="1:30" ht="30" customHeight="1" x14ac:dyDescent="0.3">
      <c r="A452" s="231"/>
      <c r="B452" s="173"/>
      <c r="C452" s="78"/>
      <c r="D452" s="78"/>
      <c r="E452" s="79"/>
      <c r="F452" s="78"/>
      <c r="G452" s="78"/>
      <c r="H452" s="78"/>
      <c r="I452" s="78"/>
      <c r="J452" s="78"/>
      <c r="K452" s="110"/>
      <c r="L452" s="110"/>
      <c r="M452" s="78"/>
      <c r="N452" s="78"/>
      <c r="O452" s="117"/>
      <c r="P452" s="114" t="e">
        <f t="shared" si="5"/>
        <v>#N/A</v>
      </c>
      <c r="Q452" s="77" t="e">
        <f>VLOOKUP($B452,'Component List'!$A$2:$B$30,2,FALSE)</f>
        <v>#N/A</v>
      </c>
      <c r="R452" s="77" t="e">
        <f>VLOOKUP($C452,'Component List'!C$2:D$28,2,FALSE)</f>
        <v>#N/A</v>
      </c>
      <c r="S452" s="77" t="e">
        <f>VLOOKUP($D452,'Component List'!E$2:F$30,2,FALSE)</f>
        <v>#N/A</v>
      </c>
      <c r="T452" s="77" t="e">
        <f>VLOOKUP($E452,'Component List'!G$2:H$30,2,FALSE)</f>
        <v>#N/A</v>
      </c>
      <c r="U452" s="77" t="e">
        <f>VLOOKUP($F452,'Component List'!I$2:J$30,2,FALSE)</f>
        <v>#N/A</v>
      </c>
      <c r="V452" s="77" t="e">
        <f>VLOOKUP(G452,'Component List'!K$2:L$30,2,FALSE)</f>
        <v>#N/A</v>
      </c>
      <c r="W452" s="77" t="e">
        <f>VLOOKUP(H452,'Component List'!M$2:N$31,2,FALSE)</f>
        <v>#N/A</v>
      </c>
      <c r="X452" s="77" t="e">
        <f>VLOOKUP(I452,'Component List'!O$2:P$30,2,FALSE)</f>
        <v>#N/A</v>
      </c>
      <c r="Y452" s="77" t="e">
        <f>VLOOKUP(J452,'Component List'!Q$2:R$30,2,FALSE)</f>
        <v>#N/A</v>
      </c>
      <c r="Z452" s="77" t="e">
        <f>VLOOKUP(K452,'Component List'!S$2:T$30,2,FALSE)</f>
        <v>#N/A</v>
      </c>
      <c r="AA452" s="77" t="e">
        <f>VLOOKUP(L452,'Component List'!U$2:V$30,2,FALSE)</f>
        <v>#N/A</v>
      </c>
      <c r="AB452" s="77" t="e">
        <f>VLOOKUP(M452,'Component List'!AA$2:AB$30,2,FALSE)</f>
        <v>#N/A</v>
      </c>
      <c r="AC452" s="77" t="e">
        <f>VLOOKUP(N452,'Component List'!Y$2:Z$30,2,FALSE)</f>
        <v>#N/A</v>
      </c>
      <c r="AD452" s="159" t="e">
        <f>VLOOKUP(O452,'Component List'!W$3:X$30,2,FALSE)</f>
        <v>#N/A</v>
      </c>
    </row>
    <row r="453" spans="1:30" ht="30" customHeight="1" x14ac:dyDescent="0.3">
      <c r="A453" s="231"/>
      <c r="B453" s="173"/>
      <c r="C453" s="78"/>
      <c r="D453" s="78"/>
      <c r="E453" s="79"/>
      <c r="F453" s="78"/>
      <c r="G453" s="78"/>
      <c r="H453" s="78"/>
      <c r="I453" s="78"/>
      <c r="J453" s="78"/>
      <c r="K453" s="110"/>
      <c r="L453" s="110"/>
      <c r="M453" s="78"/>
      <c r="N453" s="78"/>
      <c r="O453" s="117"/>
      <c r="P453" s="114" t="e">
        <f t="shared" si="5"/>
        <v>#N/A</v>
      </c>
      <c r="Q453" s="77" t="e">
        <f>VLOOKUP($B453,'Component List'!$A$2:$B$30,2,FALSE)</f>
        <v>#N/A</v>
      </c>
      <c r="R453" s="77" t="e">
        <f>VLOOKUP($C453,'Component List'!C$2:D$28,2,FALSE)</f>
        <v>#N/A</v>
      </c>
      <c r="S453" s="77" t="e">
        <f>VLOOKUP($D453,'Component List'!E$2:F$30,2,FALSE)</f>
        <v>#N/A</v>
      </c>
      <c r="T453" s="77" t="e">
        <f>VLOOKUP($E453,'Component List'!G$2:H$30,2,FALSE)</f>
        <v>#N/A</v>
      </c>
      <c r="U453" s="77" t="e">
        <f>VLOOKUP($F453,'Component List'!I$2:J$30,2,FALSE)</f>
        <v>#N/A</v>
      </c>
      <c r="V453" s="77" t="e">
        <f>VLOOKUP(G453,'Component List'!K$2:L$30,2,FALSE)</f>
        <v>#N/A</v>
      </c>
      <c r="W453" s="77" t="e">
        <f>VLOOKUP(H453,'Component List'!M$2:N$31,2,FALSE)</f>
        <v>#N/A</v>
      </c>
      <c r="X453" s="77" t="e">
        <f>VLOOKUP(I453,'Component List'!O$2:P$30,2,FALSE)</f>
        <v>#N/A</v>
      </c>
      <c r="Y453" s="77" t="e">
        <f>VLOOKUP(J453,'Component List'!Q$2:R$30,2,FALSE)</f>
        <v>#N/A</v>
      </c>
      <c r="Z453" s="77" t="e">
        <f>VLOOKUP(K453,'Component List'!S$2:T$30,2,FALSE)</f>
        <v>#N/A</v>
      </c>
      <c r="AA453" s="77" t="e">
        <f>VLOOKUP(L453,'Component List'!U$2:V$30,2,FALSE)</f>
        <v>#N/A</v>
      </c>
      <c r="AB453" s="77" t="e">
        <f>VLOOKUP(M453,'Component List'!AA$2:AB$30,2,FALSE)</f>
        <v>#N/A</v>
      </c>
      <c r="AC453" s="77" t="e">
        <f>VLOOKUP(N453,'Component List'!Y$2:Z$30,2,FALSE)</f>
        <v>#N/A</v>
      </c>
      <c r="AD453" s="159" t="e">
        <f>VLOOKUP(O453,'Component List'!W$3:X$30,2,FALSE)</f>
        <v>#N/A</v>
      </c>
    </row>
    <row r="454" spans="1:30" ht="30" customHeight="1" x14ac:dyDescent="0.3">
      <c r="A454" s="231"/>
      <c r="B454" s="173"/>
      <c r="C454" s="78"/>
      <c r="D454" s="78"/>
      <c r="E454" s="79"/>
      <c r="F454" s="78"/>
      <c r="G454" s="78"/>
      <c r="H454" s="78"/>
      <c r="I454" s="78"/>
      <c r="J454" s="78"/>
      <c r="K454" s="110"/>
      <c r="L454" s="110"/>
      <c r="M454" s="78"/>
      <c r="N454" s="78"/>
      <c r="O454" s="117"/>
      <c r="P454" s="114" t="e">
        <f t="shared" si="5"/>
        <v>#N/A</v>
      </c>
      <c r="Q454" s="77" t="e">
        <f>VLOOKUP($B454,'Component List'!$A$2:$B$30,2,FALSE)</f>
        <v>#N/A</v>
      </c>
      <c r="R454" s="77" t="e">
        <f>VLOOKUP($C454,'Component List'!C$2:D$28,2,FALSE)</f>
        <v>#N/A</v>
      </c>
      <c r="S454" s="77" t="e">
        <f>VLOOKUP($D454,'Component List'!E$2:F$30,2,FALSE)</f>
        <v>#N/A</v>
      </c>
      <c r="T454" s="77" t="e">
        <f>VLOOKUP($E454,'Component List'!G$2:H$30,2,FALSE)</f>
        <v>#N/A</v>
      </c>
      <c r="U454" s="77" t="e">
        <f>VLOOKUP($F454,'Component List'!I$2:J$30,2,FALSE)</f>
        <v>#N/A</v>
      </c>
      <c r="V454" s="77" t="e">
        <f>VLOOKUP(G454,'Component List'!K$2:L$30,2,FALSE)</f>
        <v>#N/A</v>
      </c>
      <c r="W454" s="77" t="e">
        <f>VLOOKUP(H454,'Component List'!M$2:N$31,2,FALSE)</f>
        <v>#N/A</v>
      </c>
      <c r="X454" s="77" t="e">
        <f>VLOOKUP(I454,'Component List'!O$2:P$30,2,FALSE)</f>
        <v>#N/A</v>
      </c>
      <c r="Y454" s="77" t="e">
        <f>VLOOKUP(J454,'Component List'!Q$2:R$30,2,FALSE)</f>
        <v>#N/A</v>
      </c>
      <c r="Z454" s="77" t="e">
        <f>VLOOKUP(K454,'Component List'!S$2:T$30,2,FALSE)</f>
        <v>#N/A</v>
      </c>
      <c r="AA454" s="77" t="e">
        <f>VLOOKUP(L454,'Component List'!U$2:V$30,2,FALSE)</f>
        <v>#N/A</v>
      </c>
      <c r="AB454" s="77" t="e">
        <f>VLOOKUP(M454,'Component List'!AA$2:AB$30,2,FALSE)</f>
        <v>#N/A</v>
      </c>
      <c r="AC454" s="77" t="e">
        <f>VLOOKUP(N454,'Component List'!Y$2:Z$30,2,FALSE)</f>
        <v>#N/A</v>
      </c>
      <c r="AD454" s="159" t="e">
        <f>VLOOKUP(O454,'Component List'!W$3:X$30,2,FALSE)</f>
        <v>#N/A</v>
      </c>
    </row>
    <row r="455" spans="1:30" ht="30" customHeight="1" x14ac:dyDescent="0.3">
      <c r="A455" s="231"/>
      <c r="B455" s="173"/>
      <c r="C455" s="78"/>
      <c r="D455" s="78"/>
      <c r="E455" s="79"/>
      <c r="F455" s="78"/>
      <c r="G455" s="78"/>
      <c r="H455" s="78"/>
      <c r="I455" s="78"/>
      <c r="J455" s="78"/>
      <c r="K455" s="110"/>
      <c r="L455" s="110"/>
      <c r="M455" s="78"/>
      <c r="N455" s="78"/>
      <c r="O455" s="117"/>
      <c r="P455" s="114" t="e">
        <f t="shared" si="5"/>
        <v>#N/A</v>
      </c>
      <c r="Q455" s="77" t="e">
        <f>VLOOKUP($B455,'Component List'!$A$2:$B$30,2,FALSE)</f>
        <v>#N/A</v>
      </c>
      <c r="R455" s="77" t="e">
        <f>VLOOKUP($C455,'Component List'!C$2:D$28,2,FALSE)</f>
        <v>#N/A</v>
      </c>
      <c r="S455" s="77" t="e">
        <f>VLOOKUP($D455,'Component List'!E$2:F$30,2,FALSE)</f>
        <v>#N/A</v>
      </c>
      <c r="T455" s="77" t="e">
        <f>VLOOKUP($E455,'Component List'!G$2:H$30,2,FALSE)</f>
        <v>#N/A</v>
      </c>
      <c r="U455" s="77" t="e">
        <f>VLOOKUP($F455,'Component List'!I$2:J$30,2,FALSE)</f>
        <v>#N/A</v>
      </c>
      <c r="V455" s="77" t="e">
        <f>VLOOKUP(G455,'Component List'!K$2:L$30,2,FALSE)</f>
        <v>#N/A</v>
      </c>
      <c r="W455" s="77" t="e">
        <f>VLOOKUP(H455,'Component List'!M$2:N$31,2,FALSE)</f>
        <v>#N/A</v>
      </c>
      <c r="X455" s="77" t="e">
        <f>VLOOKUP(I455,'Component List'!O$2:P$30,2,FALSE)</f>
        <v>#N/A</v>
      </c>
      <c r="Y455" s="77" t="e">
        <f>VLOOKUP(J455,'Component List'!Q$2:R$30,2,FALSE)</f>
        <v>#N/A</v>
      </c>
      <c r="Z455" s="77" t="e">
        <f>VLOOKUP(K455,'Component List'!S$2:T$30,2,FALSE)</f>
        <v>#N/A</v>
      </c>
      <c r="AA455" s="77" t="e">
        <f>VLOOKUP(L455,'Component List'!U$2:V$30,2,FALSE)</f>
        <v>#N/A</v>
      </c>
      <c r="AB455" s="77" t="e">
        <f>VLOOKUP(M455,'Component List'!AA$2:AB$30,2,FALSE)</f>
        <v>#N/A</v>
      </c>
      <c r="AC455" s="77" t="e">
        <f>VLOOKUP(N455,'Component List'!Y$2:Z$30,2,FALSE)</f>
        <v>#N/A</v>
      </c>
      <c r="AD455" s="159" t="e">
        <f>VLOOKUP(O455,'Component List'!W$3:X$30,2,FALSE)</f>
        <v>#N/A</v>
      </c>
    </row>
    <row r="456" spans="1:30" ht="30" customHeight="1" x14ac:dyDescent="0.3">
      <c r="A456" s="231"/>
      <c r="B456" s="173"/>
      <c r="C456" s="78"/>
      <c r="D456" s="78"/>
      <c r="E456" s="79"/>
      <c r="F456" s="78"/>
      <c r="G456" s="78"/>
      <c r="H456" s="78"/>
      <c r="I456" s="78"/>
      <c r="J456" s="78"/>
      <c r="K456" s="110"/>
      <c r="L456" s="110"/>
      <c r="M456" s="78"/>
      <c r="N456" s="78"/>
      <c r="O456" s="117"/>
      <c r="P456" s="114" t="e">
        <f t="shared" si="5"/>
        <v>#N/A</v>
      </c>
      <c r="Q456" s="77" t="e">
        <f>VLOOKUP($B456,'Component List'!$A$2:$B$30,2,FALSE)</f>
        <v>#N/A</v>
      </c>
      <c r="R456" s="77" t="e">
        <f>VLOOKUP($C456,'Component List'!C$2:D$28,2,FALSE)</f>
        <v>#N/A</v>
      </c>
      <c r="S456" s="77" t="e">
        <f>VLOOKUP($D456,'Component List'!E$2:F$30,2,FALSE)</f>
        <v>#N/A</v>
      </c>
      <c r="T456" s="77" t="e">
        <f>VLOOKUP($E456,'Component List'!G$2:H$30,2,FALSE)</f>
        <v>#N/A</v>
      </c>
      <c r="U456" s="77" t="e">
        <f>VLOOKUP($F456,'Component List'!I$2:J$30,2,FALSE)</f>
        <v>#N/A</v>
      </c>
      <c r="V456" s="77" t="e">
        <f>VLOOKUP(G456,'Component List'!K$2:L$30,2,FALSE)</f>
        <v>#N/A</v>
      </c>
      <c r="W456" s="77" t="e">
        <f>VLOOKUP(H456,'Component List'!M$2:N$31,2,FALSE)</f>
        <v>#N/A</v>
      </c>
      <c r="X456" s="77" t="e">
        <f>VLOOKUP(I456,'Component List'!O$2:P$30,2,FALSE)</f>
        <v>#N/A</v>
      </c>
      <c r="Y456" s="77" t="e">
        <f>VLOOKUP(J456,'Component List'!Q$2:R$30,2,FALSE)</f>
        <v>#N/A</v>
      </c>
      <c r="Z456" s="77" t="e">
        <f>VLOOKUP(K456,'Component List'!S$2:T$30,2,FALSE)</f>
        <v>#N/A</v>
      </c>
      <c r="AA456" s="77" t="e">
        <f>VLOOKUP(L456,'Component List'!U$2:V$30,2,FALSE)</f>
        <v>#N/A</v>
      </c>
      <c r="AB456" s="77" t="e">
        <f>VLOOKUP(M456,'Component List'!AA$2:AB$30,2,FALSE)</f>
        <v>#N/A</v>
      </c>
      <c r="AC456" s="77" t="e">
        <f>VLOOKUP(N456,'Component List'!Y$2:Z$30,2,FALSE)</f>
        <v>#N/A</v>
      </c>
      <c r="AD456" s="159" t="e">
        <f>VLOOKUP(O456,'Component List'!W$3:X$30,2,FALSE)</f>
        <v>#N/A</v>
      </c>
    </row>
    <row r="457" spans="1:30" ht="30" customHeight="1" x14ac:dyDescent="0.3">
      <c r="A457" s="231"/>
      <c r="B457" s="173"/>
      <c r="C457" s="78"/>
      <c r="D457" s="78"/>
      <c r="E457" s="79"/>
      <c r="F457" s="78"/>
      <c r="G457" s="78"/>
      <c r="H457" s="78"/>
      <c r="I457" s="78"/>
      <c r="J457" s="78"/>
      <c r="K457" s="110"/>
      <c r="L457" s="110"/>
      <c r="M457" s="78"/>
      <c r="N457" s="78"/>
      <c r="O457" s="117"/>
      <c r="P457" s="114" t="e">
        <f t="shared" si="5"/>
        <v>#N/A</v>
      </c>
      <c r="Q457" s="77" t="e">
        <f>VLOOKUP($B457,'Component List'!$A$2:$B$30,2,FALSE)</f>
        <v>#N/A</v>
      </c>
      <c r="R457" s="77" t="e">
        <f>VLOOKUP($C457,'Component List'!C$2:D$28,2,FALSE)</f>
        <v>#N/A</v>
      </c>
      <c r="S457" s="77" t="e">
        <f>VLOOKUP($D457,'Component List'!E$2:F$30,2,FALSE)</f>
        <v>#N/A</v>
      </c>
      <c r="T457" s="77" t="e">
        <f>VLOOKUP($E457,'Component List'!G$2:H$30,2,FALSE)</f>
        <v>#N/A</v>
      </c>
      <c r="U457" s="77" t="e">
        <f>VLOOKUP($F457,'Component List'!I$2:J$30,2,FALSE)</f>
        <v>#N/A</v>
      </c>
      <c r="V457" s="77" t="e">
        <f>VLOOKUP(G457,'Component List'!K$2:L$30,2,FALSE)</f>
        <v>#N/A</v>
      </c>
      <c r="W457" s="77" t="e">
        <f>VLOOKUP(H457,'Component List'!M$2:N$31,2,FALSE)</f>
        <v>#N/A</v>
      </c>
      <c r="X457" s="77" t="e">
        <f>VLOOKUP(I457,'Component List'!O$2:P$30,2,FALSE)</f>
        <v>#N/A</v>
      </c>
      <c r="Y457" s="77" t="e">
        <f>VLOOKUP(J457,'Component List'!Q$2:R$30,2,FALSE)</f>
        <v>#N/A</v>
      </c>
      <c r="Z457" s="77" t="e">
        <f>VLOOKUP(K457,'Component List'!S$2:T$30,2,FALSE)</f>
        <v>#N/A</v>
      </c>
      <c r="AA457" s="77" t="e">
        <f>VLOOKUP(L457,'Component List'!U$2:V$30,2,FALSE)</f>
        <v>#N/A</v>
      </c>
      <c r="AB457" s="77" t="e">
        <f>VLOOKUP(M457,'Component List'!AA$2:AB$30,2,FALSE)</f>
        <v>#N/A</v>
      </c>
      <c r="AC457" s="77" t="e">
        <f>VLOOKUP(N457,'Component List'!Y$2:Z$30,2,FALSE)</f>
        <v>#N/A</v>
      </c>
      <c r="AD457" s="159" t="e">
        <f>VLOOKUP(O457,'Component List'!W$3:X$30,2,FALSE)</f>
        <v>#N/A</v>
      </c>
    </row>
    <row r="458" spans="1:30" ht="30" customHeight="1" x14ac:dyDescent="0.3">
      <c r="A458" s="231"/>
      <c r="B458" s="173"/>
      <c r="C458" s="78"/>
      <c r="D458" s="78"/>
      <c r="E458" s="79"/>
      <c r="F458" s="78"/>
      <c r="G458" s="78"/>
      <c r="H458" s="78"/>
      <c r="I458" s="78"/>
      <c r="J458" s="78"/>
      <c r="K458" s="110"/>
      <c r="L458" s="110"/>
      <c r="M458" s="78"/>
      <c r="N458" s="78"/>
      <c r="O458" s="117"/>
      <c r="P458" s="114" t="e">
        <f t="shared" si="5"/>
        <v>#N/A</v>
      </c>
      <c r="Q458" s="77" t="e">
        <f>VLOOKUP($B458,'Component List'!$A$2:$B$30,2,FALSE)</f>
        <v>#N/A</v>
      </c>
      <c r="R458" s="77" t="e">
        <f>VLOOKUP($C458,'Component List'!C$2:D$28,2,FALSE)</f>
        <v>#N/A</v>
      </c>
      <c r="S458" s="77" t="e">
        <f>VLOOKUP($D458,'Component List'!E$2:F$30,2,FALSE)</f>
        <v>#N/A</v>
      </c>
      <c r="T458" s="77" t="e">
        <f>VLOOKUP($E458,'Component List'!G$2:H$30,2,FALSE)</f>
        <v>#N/A</v>
      </c>
      <c r="U458" s="77" t="e">
        <f>VLOOKUP($F458,'Component List'!I$2:J$30,2,FALSE)</f>
        <v>#N/A</v>
      </c>
      <c r="V458" s="77" t="e">
        <f>VLOOKUP(G458,'Component List'!K$2:L$30,2,FALSE)</f>
        <v>#N/A</v>
      </c>
      <c r="W458" s="77" t="e">
        <f>VLOOKUP(H458,'Component List'!M$2:N$31,2,FALSE)</f>
        <v>#N/A</v>
      </c>
      <c r="X458" s="77" t="e">
        <f>VLOOKUP(I458,'Component List'!O$2:P$30,2,FALSE)</f>
        <v>#N/A</v>
      </c>
      <c r="Y458" s="77" t="e">
        <f>VLOOKUP(J458,'Component List'!Q$2:R$30,2,FALSE)</f>
        <v>#N/A</v>
      </c>
      <c r="Z458" s="77" t="e">
        <f>VLOOKUP(K458,'Component List'!S$2:T$30,2,FALSE)</f>
        <v>#N/A</v>
      </c>
      <c r="AA458" s="77" t="e">
        <f>VLOOKUP(L458,'Component List'!U$2:V$30,2,FALSE)</f>
        <v>#N/A</v>
      </c>
      <c r="AB458" s="77" t="e">
        <f>VLOOKUP(M458,'Component List'!AA$2:AB$30,2,FALSE)</f>
        <v>#N/A</v>
      </c>
      <c r="AC458" s="77" t="e">
        <f>VLOOKUP(N458,'Component List'!Y$2:Z$30,2,FALSE)</f>
        <v>#N/A</v>
      </c>
      <c r="AD458" s="159" t="e">
        <f>VLOOKUP(O458,'Component List'!W$3:X$30,2,FALSE)</f>
        <v>#N/A</v>
      </c>
    </row>
    <row r="459" spans="1:30" ht="30" customHeight="1" x14ac:dyDescent="0.3">
      <c r="A459" s="231"/>
      <c r="B459" s="173"/>
      <c r="C459" s="78"/>
      <c r="D459" s="78"/>
      <c r="E459" s="79"/>
      <c r="F459" s="78"/>
      <c r="G459" s="78"/>
      <c r="H459" s="78"/>
      <c r="I459" s="78"/>
      <c r="J459" s="78"/>
      <c r="K459" s="110"/>
      <c r="L459" s="110"/>
      <c r="M459" s="78"/>
      <c r="N459" s="78"/>
      <c r="O459" s="117"/>
      <c r="P459" s="114" t="e">
        <f t="shared" si="5"/>
        <v>#N/A</v>
      </c>
      <c r="Q459" s="77" t="e">
        <f>VLOOKUP($B459,'Component List'!$A$2:$B$30,2,FALSE)</f>
        <v>#N/A</v>
      </c>
      <c r="R459" s="77" t="e">
        <f>VLOOKUP($C459,'Component List'!C$2:D$28,2,FALSE)</f>
        <v>#N/A</v>
      </c>
      <c r="S459" s="77" t="e">
        <f>VLOOKUP($D459,'Component List'!E$2:F$30,2,FALSE)</f>
        <v>#N/A</v>
      </c>
      <c r="T459" s="77" t="e">
        <f>VLOOKUP($E459,'Component List'!G$2:H$30,2,FALSE)</f>
        <v>#N/A</v>
      </c>
      <c r="U459" s="77" t="e">
        <f>VLOOKUP($F459,'Component List'!I$2:J$30,2,FALSE)</f>
        <v>#N/A</v>
      </c>
      <c r="V459" s="77" t="e">
        <f>VLOOKUP(G459,'Component List'!K$2:L$30,2,FALSE)</f>
        <v>#N/A</v>
      </c>
      <c r="W459" s="77" t="e">
        <f>VLOOKUP(H459,'Component List'!M$2:N$31,2,FALSE)</f>
        <v>#N/A</v>
      </c>
      <c r="X459" s="77" t="e">
        <f>VLOOKUP(I459,'Component List'!O$2:P$30,2,FALSE)</f>
        <v>#N/A</v>
      </c>
      <c r="Y459" s="77" t="e">
        <f>VLOOKUP(J459,'Component List'!Q$2:R$30,2,FALSE)</f>
        <v>#N/A</v>
      </c>
      <c r="Z459" s="77" t="e">
        <f>VLOOKUP(K459,'Component List'!S$2:T$30,2,FALSE)</f>
        <v>#N/A</v>
      </c>
      <c r="AA459" s="77" t="e">
        <f>VLOOKUP(L459,'Component List'!U$2:V$30,2,FALSE)</f>
        <v>#N/A</v>
      </c>
      <c r="AB459" s="77" t="e">
        <f>VLOOKUP(M459,'Component List'!AA$2:AB$30,2,FALSE)</f>
        <v>#N/A</v>
      </c>
      <c r="AC459" s="77" t="e">
        <f>VLOOKUP(N459,'Component List'!Y$2:Z$30,2,FALSE)</f>
        <v>#N/A</v>
      </c>
      <c r="AD459" s="159" t="e">
        <f>VLOOKUP(O459,'Component List'!W$3:X$30,2,FALSE)</f>
        <v>#N/A</v>
      </c>
    </row>
    <row r="460" spans="1:30" ht="30" customHeight="1" x14ac:dyDescent="0.3">
      <c r="A460" s="231"/>
      <c r="B460" s="173"/>
      <c r="C460" s="78"/>
      <c r="D460" s="78"/>
      <c r="E460" s="79"/>
      <c r="F460" s="78"/>
      <c r="G460" s="78"/>
      <c r="H460" s="78"/>
      <c r="I460" s="78"/>
      <c r="J460" s="78"/>
      <c r="K460" s="110"/>
      <c r="L460" s="110"/>
      <c r="M460" s="78"/>
      <c r="N460" s="78"/>
      <c r="O460" s="117"/>
      <c r="P460" s="114" t="e">
        <f t="shared" si="5"/>
        <v>#N/A</v>
      </c>
      <c r="Q460" s="77" t="e">
        <f>VLOOKUP($B460,'Component List'!$A$2:$B$30,2,FALSE)</f>
        <v>#N/A</v>
      </c>
      <c r="R460" s="77" t="e">
        <f>VLOOKUP($C460,'Component List'!C$2:D$28,2,FALSE)</f>
        <v>#N/A</v>
      </c>
      <c r="S460" s="77" t="e">
        <f>VLOOKUP($D460,'Component List'!E$2:F$30,2,FALSE)</f>
        <v>#N/A</v>
      </c>
      <c r="T460" s="77" t="e">
        <f>VLOOKUP($E460,'Component List'!G$2:H$30,2,FALSE)</f>
        <v>#N/A</v>
      </c>
      <c r="U460" s="77" t="e">
        <f>VLOOKUP($F460,'Component List'!I$2:J$30,2,FALSE)</f>
        <v>#N/A</v>
      </c>
      <c r="V460" s="77" t="e">
        <f>VLOOKUP(G460,'Component List'!K$2:L$30,2,FALSE)</f>
        <v>#N/A</v>
      </c>
      <c r="W460" s="77" t="e">
        <f>VLOOKUP(H460,'Component List'!M$2:N$31,2,FALSE)</f>
        <v>#N/A</v>
      </c>
      <c r="X460" s="77" t="e">
        <f>VLOOKUP(I460,'Component List'!O$2:P$30,2,FALSE)</f>
        <v>#N/A</v>
      </c>
      <c r="Y460" s="77" t="e">
        <f>VLOOKUP(J460,'Component List'!Q$2:R$30,2,FALSE)</f>
        <v>#N/A</v>
      </c>
      <c r="Z460" s="77" t="e">
        <f>VLOOKUP(K460,'Component List'!S$2:T$30,2,FALSE)</f>
        <v>#N/A</v>
      </c>
      <c r="AA460" s="77" t="e">
        <f>VLOOKUP(L460,'Component List'!U$2:V$30,2,FALSE)</f>
        <v>#N/A</v>
      </c>
      <c r="AB460" s="77" t="e">
        <f>VLOOKUP(M460,'Component List'!AA$2:AB$30,2,FALSE)</f>
        <v>#N/A</v>
      </c>
      <c r="AC460" s="77" t="e">
        <f>VLOOKUP(N460,'Component List'!Y$2:Z$30,2,FALSE)</f>
        <v>#N/A</v>
      </c>
      <c r="AD460" s="159" t="e">
        <f>VLOOKUP(O460,'Component List'!W$3:X$30,2,FALSE)</f>
        <v>#N/A</v>
      </c>
    </row>
    <row r="461" spans="1:30" ht="30" customHeight="1" x14ac:dyDescent="0.3">
      <c r="A461" s="231"/>
      <c r="B461" s="173"/>
      <c r="C461" s="78"/>
      <c r="D461" s="78"/>
      <c r="E461" s="79"/>
      <c r="F461" s="78"/>
      <c r="G461" s="78"/>
      <c r="H461" s="78"/>
      <c r="I461" s="78"/>
      <c r="J461" s="78"/>
      <c r="K461" s="110"/>
      <c r="L461" s="110"/>
      <c r="M461" s="78"/>
      <c r="N461" s="78"/>
      <c r="O461" s="117"/>
      <c r="P461" s="114" t="e">
        <f t="shared" ref="P461:P524" si="6">Q461&amp;R461&amp;S461&amp;T461&amp;U461&amp;V461&amp;W461&amp;X461&amp;Y461&amp;Z461&amp;AA461&amp;AD461&amp;AC461&amp;AB461</f>
        <v>#N/A</v>
      </c>
      <c r="Q461" s="77" t="e">
        <f>VLOOKUP($B461,'Component List'!$A$2:$B$30,2,FALSE)</f>
        <v>#N/A</v>
      </c>
      <c r="R461" s="77" t="e">
        <f>VLOOKUP($C461,'Component List'!C$2:D$28,2,FALSE)</f>
        <v>#N/A</v>
      </c>
      <c r="S461" s="77" t="e">
        <f>VLOOKUP($D461,'Component List'!E$2:F$30,2,FALSE)</f>
        <v>#N/A</v>
      </c>
      <c r="T461" s="77" t="e">
        <f>VLOOKUP($E461,'Component List'!G$2:H$30,2,FALSE)</f>
        <v>#N/A</v>
      </c>
      <c r="U461" s="77" t="e">
        <f>VLOOKUP($F461,'Component List'!I$2:J$30,2,FALSE)</f>
        <v>#N/A</v>
      </c>
      <c r="V461" s="77" t="e">
        <f>VLOOKUP(G461,'Component List'!K$2:L$30,2,FALSE)</f>
        <v>#N/A</v>
      </c>
      <c r="W461" s="77" t="e">
        <f>VLOOKUP(H461,'Component List'!M$2:N$31,2,FALSE)</f>
        <v>#N/A</v>
      </c>
      <c r="X461" s="77" t="e">
        <f>VLOOKUP(I461,'Component List'!O$2:P$30,2,FALSE)</f>
        <v>#N/A</v>
      </c>
      <c r="Y461" s="77" t="e">
        <f>VLOOKUP(J461,'Component List'!Q$2:R$30,2,FALSE)</f>
        <v>#N/A</v>
      </c>
      <c r="Z461" s="77" t="e">
        <f>VLOOKUP(K461,'Component List'!S$2:T$30,2,FALSE)</f>
        <v>#N/A</v>
      </c>
      <c r="AA461" s="77" t="e">
        <f>VLOOKUP(L461,'Component List'!U$2:V$30,2,FALSE)</f>
        <v>#N/A</v>
      </c>
      <c r="AB461" s="77" t="e">
        <f>VLOOKUP(M461,'Component List'!AA$2:AB$30,2,FALSE)</f>
        <v>#N/A</v>
      </c>
      <c r="AC461" s="77" t="e">
        <f>VLOOKUP(N461,'Component List'!Y$2:Z$30,2,FALSE)</f>
        <v>#N/A</v>
      </c>
      <c r="AD461" s="159" t="e">
        <f>VLOOKUP(O461,'Component List'!W$3:X$30,2,FALSE)</f>
        <v>#N/A</v>
      </c>
    </row>
    <row r="462" spans="1:30" ht="30" customHeight="1" x14ac:dyDescent="0.3">
      <c r="A462" s="231"/>
      <c r="B462" s="173"/>
      <c r="C462" s="78"/>
      <c r="D462" s="78"/>
      <c r="E462" s="79"/>
      <c r="F462" s="78"/>
      <c r="G462" s="78"/>
      <c r="H462" s="78"/>
      <c r="I462" s="78"/>
      <c r="J462" s="78"/>
      <c r="K462" s="110"/>
      <c r="L462" s="110"/>
      <c r="M462" s="78"/>
      <c r="N462" s="78"/>
      <c r="O462" s="117"/>
      <c r="P462" s="114" t="e">
        <f t="shared" si="6"/>
        <v>#N/A</v>
      </c>
      <c r="Q462" s="77" t="e">
        <f>VLOOKUP($B462,'Component List'!$A$2:$B$30,2,FALSE)</f>
        <v>#N/A</v>
      </c>
      <c r="R462" s="77" t="e">
        <f>VLOOKUP($C462,'Component List'!C$2:D$28,2,FALSE)</f>
        <v>#N/A</v>
      </c>
      <c r="S462" s="77" t="e">
        <f>VLOOKUP($D462,'Component List'!E$2:F$30,2,FALSE)</f>
        <v>#N/A</v>
      </c>
      <c r="T462" s="77" t="e">
        <f>VLOOKUP($E462,'Component List'!G$2:H$30,2,FALSE)</f>
        <v>#N/A</v>
      </c>
      <c r="U462" s="77" t="e">
        <f>VLOOKUP($F462,'Component List'!I$2:J$30,2,FALSE)</f>
        <v>#N/A</v>
      </c>
      <c r="V462" s="77" t="e">
        <f>VLOOKUP(G462,'Component List'!K$2:L$30,2,FALSE)</f>
        <v>#N/A</v>
      </c>
      <c r="W462" s="77" t="e">
        <f>VLOOKUP(H462,'Component List'!M$2:N$31,2,FALSE)</f>
        <v>#N/A</v>
      </c>
      <c r="X462" s="77" t="e">
        <f>VLOOKUP(I462,'Component List'!O$2:P$30,2,FALSE)</f>
        <v>#N/A</v>
      </c>
      <c r="Y462" s="77" t="e">
        <f>VLOOKUP(J462,'Component List'!Q$2:R$30,2,FALSE)</f>
        <v>#N/A</v>
      </c>
      <c r="Z462" s="77" t="e">
        <f>VLOOKUP(K462,'Component List'!S$2:T$30,2,FALSE)</f>
        <v>#N/A</v>
      </c>
      <c r="AA462" s="77" t="e">
        <f>VLOOKUP(L462,'Component List'!U$2:V$30,2,FALSE)</f>
        <v>#N/A</v>
      </c>
      <c r="AB462" s="77" t="e">
        <f>VLOOKUP(M462,'Component List'!AA$2:AB$30,2,FALSE)</f>
        <v>#N/A</v>
      </c>
      <c r="AC462" s="77" t="e">
        <f>VLOOKUP(N462,'Component List'!Y$2:Z$30,2,FALSE)</f>
        <v>#N/A</v>
      </c>
      <c r="AD462" s="159" t="e">
        <f>VLOOKUP(O462,'Component List'!W$3:X$30,2,FALSE)</f>
        <v>#N/A</v>
      </c>
    </row>
    <row r="463" spans="1:30" ht="30" customHeight="1" x14ac:dyDescent="0.3">
      <c r="A463" s="231"/>
      <c r="B463" s="173"/>
      <c r="C463" s="78"/>
      <c r="D463" s="78"/>
      <c r="E463" s="79"/>
      <c r="F463" s="78"/>
      <c r="G463" s="78"/>
      <c r="H463" s="78"/>
      <c r="I463" s="78"/>
      <c r="J463" s="78"/>
      <c r="K463" s="110"/>
      <c r="L463" s="110"/>
      <c r="M463" s="78"/>
      <c r="N463" s="78"/>
      <c r="O463" s="117"/>
      <c r="P463" s="114" t="e">
        <f t="shared" si="6"/>
        <v>#N/A</v>
      </c>
      <c r="Q463" s="77" t="e">
        <f>VLOOKUP($B463,'Component List'!$A$2:$B$30,2,FALSE)</f>
        <v>#N/A</v>
      </c>
      <c r="R463" s="77" t="e">
        <f>VLOOKUP($C463,'Component List'!C$2:D$28,2,FALSE)</f>
        <v>#N/A</v>
      </c>
      <c r="S463" s="77" t="e">
        <f>VLOOKUP($D463,'Component List'!E$2:F$30,2,FALSE)</f>
        <v>#N/A</v>
      </c>
      <c r="T463" s="77" t="e">
        <f>VLOOKUP($E463,'Component List'!G$2:H$30,2,FALSE)</f>
        <v>#N/A</v>
      </c>
      <c r="U463" s="77" t="e">
        <f>VLOOKUP($F463,'Component List'!I$2:J$30,2,FALSE)</f>
        <v>#N/A</v>
      </c>
      <c r="V463" s="77" t="e">
        <f>VLOOKUP(G463,'Component List'!K$2:L$30,2,FALSE)</f>
        <v>#N/A</v>
      </c>
      <c r="W463" s="77" t="e">
        <f>VLOOKUP(H463,'Component List'!M$2:N$31,2,FALSE)</f>
        <v>#N/A</v>
      </c>
      <c r="X463" s="77" t="e">
        <f>VLOOKUP(I463,'Component List'!O$2:P$30,2,FALSE)</f>
        <v>#N/A</v>
      </c>
      <c r="Y463" s="77" t="e">
        <f>VLOOKUP(J463,'Component List'!Q$2:R$30,2,FALSE)</f>
        <v>#N/A</v>
      </c>
      <c r="Z463" s="77" t="e">
        <f>VLOOKUP(K463,'Component List'!S$2:T$30,2,FALSE)</f>
        <v>#N/A</v>
      </c>
      <c r="AA463" s="77" t="e">
        <f>VLOOKUP(L463,'Component List'!U$2:V$30,2,FALSE)</f>
        <v>#N/A</v>
      </c>
      <c r="AB463" s="77" t="e">
        <f>VLOOKUP(M463,'Component List'!AA$2:AB$30,2,FALSE)</f>
        <v>#N/A</v>
      </c>
      <c r="AC463" s="77" t="e">
        <f>VLOOKUP(N463,'Component List'!Y$2:Z$30,2,FALSE)</f>
        <v>#N/A</v>
      </c>
      <c r="AD463" s="159" t="e">
        <f>VLOOKUP(O463,'Component List'!W$3:X$30,2,FALSE)</f>
        <v>#N/A</v>
      </c>
    </row>
    <row r="464" spans="1:30" ht="30" customHeight="1" x14ac:dyDescent="0.3">
      <c r="A464" s="231"/>
      <c r="B464" s="173"/>
      <c r="C464" s="78"/>
      <c r="D464" s="78"/>
      <c r="E464" s="79"/>
      <c r="F464" s="78"/>
      <c r="G464" s="78"/>
      <c r="H464" s="78"/>
      <c r="I464" s="78"/>
      <c r="J464" s="78"/>
      <c r="K464" s="110"/>
      <c r="L464" s="110"/>
      <c r="M464" s="78"/>
      <c r="N464" s="78"/>
      <c r="O464" s="117"/>
      <c r="P464" s="114" t="e">
        <f t="shared" si="6"/>
        <v>#N/A</v>
      </c>
      <c r="Q464" s="77" t="e">
        <f>VLOOKUP($B464,'Component List'!$A$2:$B$30,2,FALSE)</f>
        <v>#N/A</v>
      </c>
      <c r="R464" s="77" t="e">
        <f>VLOOKUP($C464,'Component List'!C$2:D$28,2,FALSE)</f>
        <v>#N/A</v>
      </c>
      <c r="S464" s="77" t="e">
        <f>VLOOKUP($D464,'Component List'!E$2:F$30,2,FALSE)</f>
        <v>#N/A</v>
      </c>
      <c r="T464" s="77" t="e">
        <f>VLOOKUP($E464,'Component List'!G$2:H$30,2,FALSE)</f>
        <v>#N/A</v>
      </c>
      <c r="U464" s="77" t="e">
        <f>VLOOKUP($F464,'Component List'!I$2:J$30,2,FALSE)</f>
        <v>#N/A</v>
      </c>
      <c r="V464" s="77" t="e">
        <f>VLOOKUP(G464,'Component List'!K$2:L$30,2,FALSE)</f>
        <v>#N/A</v>
      </c>
      <c r="W464" s="77" t="e">
        <f>VLOOKUP(H464,'Component List'!M$2:N$31,2,FALSE)</f>
        <v>#N/A</v>
      </c>
      <c r="X464" s="77" t="e">
        <f>VLOOKUP(I464,'Component List'!O$2:P$30,2,FALSE)</f>
        <v>#N/A</v>
      </c>
      <c r="Y464" s="77" t="e">
        <f>VLOOKUP(J464,'Component List'!Q$2:R$30,2,FALSE)</f>
        <v>#N/A</v>
      </c>
      <c r="Z464" s="77" t="e">
        <f>VLOOKUP(K464,'Component List'!S$2:T$30,2,FALSE)</f>
        <v>#N/A</v>
      </c>
      <c r="AA464" s="77" t="e">
        <f>VLOOKUP(L464,'Component List'!U$2:V$30,2,FALSE)</f>
        <v>#N/A</v>
      </c>
      <c r="AB464" s="77" t="e">
        <f>VLOOKUP(M464,'Component List'!AA$2:AB$30,2,FALSE)</f>
        <v>#N/A</v>
      </c>
      <c r="AC464" s="77" t="e">
        <f>VLOOKUP(N464,'Component List'!Y$2:Z$30,2,FALSE)</f>
        <v>#N/A</v>
      </c>
      <c r="AD464" s="159" t="e">
        <f>VLOOKUP(O464,'Component List'!W$3:X$30,2,FALSE)</f>
        <v>#N/A</v>
      </c>
    </row>
    <row r="465" spans="1:30" ht="30" customHeight="1" x14ac:dyDescent="0.3">
      <c r="A465" s="231"/>
      <c r="B465" s="173"/>
      <c r="C465" s="78"/>
      <c r="D465" s="78"/>
      <c r="E465" s="79"/>
      <c r="F465" s="78"/>
      <c r="G465" s="78"/>
      <c r="H465" s="78"/>
      <c r="I465" s="78"/>
      <c r="J465" s="78"/>
      <c r="K465" s="110"/>
      <c r="L465" s="110"/>
      <c r="M465" s="78"/>
      <c r="N465" s="78"/>
      <c r="O465" s="117"/>
      <c r="P465" s="114" t="e">
        <f t="shared" si="6"/>
        <v>#N/A</v>
      </c>
      <c r="Q465" s="77" t="e">
        <f>VLOOKUP($B465,'Component List'!$A$2:$B$30,2,FALSE)</f>
        <v>#N/A</v>
      </c>
      <c r="R465" s="77" t="e">
        <f>VLOOKUP($C465,'Component List'!C$2:D$28,2,FALSE)</f>
        <v>#N/A</v>
      </c>
      <c r="S465" s="77" t="e">
        <f>VLOOKUP($D465,'Component List'!E$2:F$30,2,FALSE)</f>
        <v>#N/A</v>
      </c>
      <c r="T465" s="77" t="e">
        <f>VLOOKUP($E465,'Component List'!G$2:H$30,2,FALSE)</f>
        <v>#N/A</v>
      </c>
      <c r="U465" s="77" t="e">
        <f>VLOOKUP($F465,'Component List'!I$2:J$30,2,FALSE)</f>
        <v>#N/A</v>
      </c>
      <c r="V465" s="77" t="e">
        <f>VLOOKUP(G465,'Component List'!K$2:L$30,2,FALSE)</f>
        <v>#N/A</v>
      </c>
      <c r="W465" s="77" t="e">
        <f>VLOOKUP(H465,'Component List'!M$2:N$31,2,FALSE)</f>
        <v>#N/A</v>
      </c>
      <c r="X465" s="77" t="e">
        <f>VLOOKUP(I465,'Component List'!O$2:P$30,2,FALSE)</f>
        <v>#N/A</v>
      </c>
      <c r="Y465" s="77" t="e">
        <f>VLOOKUP(J465,'Component List'!Q$2:R$30,2,FALSE)</f>
        <v>#N/A</v>
      </c>
      <c r="Z465" s="77" t="e">
        <f>VLOOKUP(K465,'Component List'!S$2:T$30,2,FALSE)</f>
        <v>#N/A</v>
      </c>
      <c r="AA465" s="77" t="e">
        <f>VLOOKUP(L465,'Component List'!U$2:V$30,2,FALSE)</f>
        <v>#N/A</v>
      </c>
      <c r="AB465" s="77" t="e">
        <f>VLOOKUP(M465,'Component List'!AA$2:AB$30,2,FALSE)</f>
        <v>#N/A</v>
      </c>
      <c r="AC465" s="77" t="e">
        <f>VLOOKUP(N465,'Component List'!Y$2:Z$30,2,FALSE)</f>
        <v>#N/A</v>
      </c>
      <c r="AD465" s="159" t="e">
        <f>VLOOKUP(O465,'Component List'!W$3:X$30,2,FALSE)</f>
        <v>#N/A</v>
      </c>
    </row>
    <row r="466" spans="1:30" ht="30" customHeight="1" x14ac:dyDescent="0.3">
      <c r="A466" s="231"/>
      <c r="B466" s="173"/>
      <c r="C466" s="78"/>
      <c r="D466" s="78"/>
      <c r="E466" s="79"/>
      <c r="F466" s="78"/>
      <c r="G466" s="78"/>
      <c r="H466" s="78"/>
      <c r="I466" s="78"/>
      <c r="J466" s="78"/>
      <c r="K466" s="110"/>
      <c r="L466" s="110"/>
      <c r="M466" s="78"/>
      <c r="N466" s="78"/>
      <c r="O466" s="117"/>
      <c r="P466" s="114" t="e">
        <f t="shared" si="6"/>
        <v>#N/A</v>
      </c>
      <c r="Q466" s="77" t="e">
        <f>VLOOKUP($B466,'Component List'!$A$2:$B$30,2,FALSE)</f>
        <v>#N/A</v>
      </c>
      <c r="R466" s="77" t="e">
        <f>VLOOKUP($C466,'Component List'!C$2:D$28,2,FALSE)</f>
        <v>#N/A</v>
      </c>
      <c r="S466" s="77" t="e">
        <f>VLOOKUP($D466,'Component List'!E$2:F$30,2,FALSE)</f>
        <v>#N/A</v>
      </c>
      <c r="T466" s="77" t="e">
        <f>VLOOKUP($E466,'Component List'!G$2:H$30,2,FALSE)</f>
        <v>#N/A</v>
      </c>
      <c r="U466" s="77" t="e">
        <f>VLOOKUP($F466,'Component List'!I$2:J$30,2,FALSE)</f>
        <v>#N/A</v>
      </c>
      <c r="V466" s="77" t="e">
        <f>VLOOKUP(G466,'Component List'!K$2:L$30,2,FALSE)</f>
        <v>#N/A</v>
      </c>
      <c r="W466" s="77" t="e">
        <f>VLOOKUP(H466,'Component List'!M$2:N$31,2,FALSE)</f>
        <v>#N/A</v>
      </c>
      <c r="X466" s="77" t="e">
        <f>VLOOKUP(I466,'Component List'!O$2:P$30,2,FALSE)</f>
        <v>#N/A</v>
      </c>
      <c r="Y466" s="77" t="e">
        <f>VLOOKUP(J466,'Component List'!Q$2:R$30,2,FALSE)</f>
        <v>#N/A</v>
      </c>
      <c r="Z466" s="77" t="e">
        <f>VLOOKUP(K466,'Component List'!S$2:T$30,2,FALSE)</f>
        <v>#N/A</v>
      </c>
      <c r="AA466" s="77" t="e">
        <f>VLOOKUP(L466,'Component List'!U$2:V$30,2,FALSE)</f>
        <v>#N/A</v>
      </c>
      <c r="AB466" s="77" t="e">
        <f>VLOOKUP(M466,'Component List'!AA$2:AB$30,2,FALSE)</f>
        <v>#N/A</v>
      </c>
      <c r="AC466" s="77" t="e">
        <f>VLOOKUP(N466,'Component List'!Y$2:Z$30,2,FALSE)</f>
        <v>#N/A</v>
      </c>
      <c r="AD466" s="159" t="e">
        <f>VLOOKUP(O466,'Component List'!W$3:X$30,2,FALSE)</f>
        <v>#N/A</v>
      </c>
    </row>
    <row r="467" spans="1:30" ht="30" customHeight="1" x14ac:dyDescent="0.3">
      <c r="A467" s="231"/>
      <c r="B467" s="173"/>
      <c r="C467" s="78"/>
      <c r="D467" s="78"/>
      <c r="E467" s="79"/>
      <c r="F467" s="78"/>
      <c r="G467" s="78"/>
      <c r="H467" s="78"/>
      <c r="I467" s="78"/>
      <c r="J467" s="78"/>
      <c r="K467" s="110"/>
      <c r="L467" s="110"/>
      <c r="M467" s="78"/>
      <c r="N467" s="78"/>
      <c r="O467" s="117"/>
      <c r="P467" s="114" t="e">
        <f t="shared" si="6"/>
        <v>#N/A</v>
      </c>
      <c r="Q467" s="77" t="e">
        <f>VLOOKUP($B467,'Component List'!$A$2:$B$30,2,FALSE)</f>
        <v>#N/A</v>
      </c>
      <c r="R467" s="77" t="e">
        <f>VLOOKUP($C467,'Component List'!C$2:D$28,2,FALSE)</f>
        <v>#N/A</v>
      </c>
      <c r="S467" s="77" t="e">
        <f>VLOOKUP($D467,'Component List'!E$2:F$30,2,FALSE)</f>
        <v>#N/A</v>
      </c>
      <c r="T467" s="77" t="e">
        <f>VLOOKUP($E467,'Component List'!G$2:H$30,2,FALSE)</f>
        <v>#N/A</v>
      </c>
      <c r="U467" s="77" t="e">
        <f>VLOOKUP($F467,'Component List'!I$2:J$30,2,FALSE)</f>
        <v>#N/A</v>
      </c>
      <c r="V467" s="77" t="e">
        <f>VLOOKUP(G467,'Component List'!K$2:L$30,2,FALSE)</f>
        <v>#N/A</v>
      </c>
      <c r="W467" s="77" t="e">
        <f>VLOOKUP(H467,'Component List'!M$2:N$31,2,FALSE)</f>
        <v>#N/A</v>
      </c>
      <c r="X467" s="77" t="e">
        <f>VLOOKUP(I467,'Component List'!O$2:P$30,2,FALSE)</f>
        <v>#N/A</v>
      </c>
      <c r="Y467" s="77" t="e">
        <f>VLOOKUP(J467,'Component List'!Q$2:R$30,2,FALSE)</f>
        <v>#N/A</v>
      </c>
      <c r="Z467" s="77" t="e">
        <f>VLOOKUP(K467,'Component List'!S$2:T$30,2,FALSE)</f>
        <v>#N/A</v>
      </c>
      <c r="AA467" s="77" t="e">
        <f>VLOOKUP(L467,'Component List'!U$2:V$30,2,FALSE)</f>
        <v>#N/A</v>
      </c>
      <c r="AB467" s="77" t="e">
        <f>VLOOKUP(M467,'Component List'!AA$2:AB$30,2,FALSE)</f>
        <v>#N/A</v>
      </c>
      <c r="AC467" s="77" t="e">
        <f>VLOOKUP(N467,'Component List'!Y$2:Z$30,2,FALSE)</f>
        <v>#N/A</v>
      </c>
      <c r="AD467" s="159" t="e">
        <f>VLOOKUP(O467,'Component List'!W$3:X$30,2,FALSE)</f>
        <v>#N/A</v>
      </c>
    </row>
    <row r="468" spans="1:30" ht="30" customHeight="1" x14ac:dyDescent="0.3">
      <c r="A468" s="231"/>
      <c r="B468" s="173"/>
      <c r="C468" s="78"/>
      <c r="D468" s="78"/>
      <c r="E468" s="79"/>
      <c r="F468" s="78"/>
      <c r="G468" s="78"/>
      <c r="H468" s="78"/>
      <c r="I468" s="78"/>
      <c r="J468" s="78"/>
      <c r="K468" s="110"/>
      <c r="L468" s="110"/>
      <c r="M468" s="78"/>
      <c r="N468" s="78"/>
      <c r="O468" s="117"/>
      <c r="P468" s="114" t="e">
        <f t="shared" si="6"/>
        <v>#N/A</v>
      </c>
      <c r="Q468" s="77" t="e">
        <f>VLOOKUP($B468,'Component List'!$A$2:$B$30,2,FALSE)</f>
        <v>#N/A</v>
      </c>
      <c r="R468" s="77" t="e">
        <f>VLOOKUP($C468,'Component List'!C$2:D$28,2,FALSE)</f>
        <v>#N/A</v>
      </c>
      <c r="S468" s="77" t="e">
        <f>VLOOKUP($D468,'Component List'!E$2:F$30,2,FALSE)</f>
        <v>#N/A</v>
      </c>
      <c r="T468" s="77" t="e">
        <f>VLOOKUP($E468,'Component List'!G$2:H$30,2,FALSE)</f>
        <v>#N/A</v>
      </c>
      <c r="U468" s="77" t="e">
        <f>VLOOKUP($F468,'Component List'!I$2:J$30,2,FALSE)</f>
        <v>#N/A</v>
      </c>
      <c r="V468" s="77" t="e">
        <f>VLOOKUP(G468,'Component List'!K$2:L$30,2,FALSE)</f>
        <v>#N/A</v>
      </c>
      <c r="W468" s="77" t="e">
        <f>VLOOKUP(H468,'Component List'!M$2:N$31,2,FALSE)</f>
        <v>#N/A</v>
      </c>
      <c r="X468" s="77" t="e">
        <f>VLOOKUP(I468,'Component List'!O$2:P$30,2,FALSE)</f>
        <v>#N/A</v>
      </c>
      <c r="Y468" s="77" t="e">
        <f>VLOOKUP(J468,'Component List'!Q$2:R$30,2,FALSE)</f>
        <v>#N/A</v>
      </c>
      <c r="Z468" s="77" t="e">
        <f>VLOOKUP(K468,'Component List'!S$2:T$30,2,FALSE)</f>
        <v>#N/A</v>
      </c>
      <c r="AA468" s="77" t="e">
        <f>VLOOKUP(L468,'Component List'!U$2:V$30,2,FALSE)</f>
        <v>#N/A</v>
      </c>
      <c r="AB468" s="77" t="e">
        <f>VLOOKUP(M468,'Component List'!AA$2:AB$30,2,FALSE)</f>
        <v>#N/A</v>
      </c>
      <c r="AC468" s="77" t="e">
        <f>VLOOKUP(N468,'Component List'!Y$2:Z$30,2,FALSE)</f>
        <v>#N/A</v>
      </c>
      <c r="AD468" s="159" t="e">
        <f>VLOOKUP(O468,'Component List'!W$3:X$30,2,FALSE)</f>
        <v>#N/A</v>
      </c>
    </row>
    <row r="469" spans="1:30" ht="30" customHeight="1" x14ac:dyDescent="0.3">
      <c r="A469" s="231"/>
      <c r="B469" s="173"/>
      <c r="C469" s="78"/>
      <c r="D469" s="78"/>
      <c r="E469" s="79"/>
      <c r="F469" s="78"/>
      <c r="G469" s="78"/>
      <c r="H469" s="78"/>
      <c r="I469" s="78"/>
      <c r="J469" s="78"/>
      <c r="K469" s="110"/>
      <c r="L469" s="110"/>
      <c r="M469" s="78"/>
      <c r="N469" s="78"/>
      <c r="O469" s="117"/>
      <c r="P469" s="114" t="e">
        <f t="shared" si="6"/>
        <v>#N/A</v>
      </c>
      <c r="Q469" s="77" t="e">
        <f>VLOOKUP($B469,'Component List'!$A$2:$B$30,2,FALSE)</f>
        <v>#N/A</v>
      </c>
      <c r="R469" s="77" t="e">
        <f>VLOOKUP($C469,'Component List'!C$2:D$28,2,FALSE)</f>
        <v>#N/A</v>
      </c>
      <c r="S469" s="77" t="e">
        <f>VLOOKUP($D469,'Component List'!E$2:F$30,2,FALSE)</f>
        <v>#N/A</v>
      </c>
      <c r="T469" s="77" t="e">
        <f>VLOOKUP($E469,'Component List'!G$2:H$30,2,FALSE)</f>
        <v>#N/A</v>
      </c>
      <c r="U469" s="77" t="e">
        <f>VLOOKUP($F469,'Component List'!I$2:J$30,2,FALSE)</f>
        <v>#N/A</v>
      </c>
      <c r="V469" s="77" t="e">
        <f>VLOOKUP(G469,'Component List'!K$2:L$30,2,FALSE)</f>
        <v>#N/A</v>
      </c>
      <c r="W469" s="77" t="e">
        <f>VLOOKUP(H469,'Component List'!M$2:N$31,2,FALSE)</f>
        <v>#N/A</v>
      </c>
      <c r="X469" s="77" t="e">
        <f>VLOOKUP(I469,'Component List'!O$2:P$30,2,FALSE)</f>
        <v>#N/A</v>
      </c>
      <c r="Y469" s="77" t="e">
        <f>VLOOKUP(J469,'Component List'!Q$2:R$30,2,FALSE)</f>
        <v>#N/A</v>
      </c>
      <c r="Z469" s="77" t="e">
        <f>VLOOKUP(K469,'Component List'!S$2:T$30,2,FALSE)</f>
        <v>#N/A</v>
      </c>
      <c r="AA469" s="77" t="e">
        <f>VLOOKUP(L469,'Component List'!U$2:V$30,2,FALSE)</f>
        <v>#N/A</v>
      </c>
      <c r="AB469" s="77" t="e">
        <f>VLOOKUP(M469,'Component List'!AA$2:AB$30,2,FALSE)</f>
        <v>#N/A</v>
      </c>
      <c r="AC469" s="77" t="e">
        <f>VLOOKUP(N469,'Component List'!Y$2:Z$30,2,FALSE)</f>
        <v>#N/A</v>
      </c>
      <c r="AD469" s="159" t="e">
        <f>VLOOKUP(O469,'Component List'!W$3:X$30,2,FALSE)</f>
        <v>#N/A</v>
      </c>
    </row>
    <row r="470" spans="1:30" ht="30" customHeight="1" x14ac:dyDescent="0.3">
      <c r="A470" s="231"/>
      <c r="B470" s="173"/>
      <c r="C470" s="78"/>
      <c r="D470" s="78"/>
      <c r="E470" s="79"/>
      <c r="F470" s="78"/>
      <c r="G470" s="78"/>
      <c r="H470" s="78"/>
      <c r="I470" s="78"/>
      <c r="J470" s="78"/>
      <c r="K470" s="110"/>
      <c r="L470" s="110"/>
      <c r="M470" s="78"/>
      <c r="N470" s="78"/>
      <c r="O470" s="117"/>
      <c r="P470" s="114" t="e">
        <f t="shared" si="6"/>
        <v>#N/A</v>
      </c>
      <c r="Q470" s="77" t="e">
        <f>VLOOKUP($B470,'Component List'!$A$2:$B$30,2,FALSE)</f>
        <v>#N/A</v>
      </c>
      <c r="R470" s="77" t="e">
        <f>VLOOKUP($C470,'Component List'!C$2:D$28,2,FALSE)</f>
        <v>#N/A</v>
      </c>
      <c r="S470" s="77" t="e">
        <f>VLOOKUP($D470,'Component List'!E$2:F$30,2,FALSE)</f>
        <v>#N/A</v>
      </c>
      <c r="T470" s="77" t="e">
        <f>VLOOKUP($E470,'Component List'!G$2:H$30,2,FALSE)</f>
        <v>#N/A</v>
      </c>
      <c r="U470" s="77" t="e">
        <f>VLOOKUP($F470,'Component List'!I$2:J$30,2,FALSE)</f>
        <v>#N/A</v>
      </c>
      <c r="V470" s="77" t="e">
        <f>VLOOKUP(G470,'Component List'!K$2:L$30,2,FALSE)</f>
        <v>#N/A</v>
      </c>
      <c r="W470" s="77" t="e">
        <f>VLOOKUP(H470,'Component List'!M$2:N$31,2,FALSE)</f>
        <v>#N/A</v>
      </c>
      <c r="X470" s="77" t="e">
        <f>VLOOKUP(I470,'Component List'!O$2:P$30,2,FALSE)</f>
        <v>#N/A</v>
      </c>
      <c r="Y470" s="77" t="e">
        <f>VLOOKUP(J470,'Component List'!Q$2:R$30,2,FALSE)</f>
        <v>#N/A</v>
      </c>
      <c r="Z470" s="77" t="e">
        <f>VLOOKUP(K470,'Component List'!S$2:T$30,2,FALSE)</f>
        <v>#N/A</v>
      </c>
      <c r="AA470" s="77" t="e">
        <f>VLOOKUP(L470,'Component List'!U$2:V$30,2,FALSE)</f>
        <v>#N/A</v>
      </c>
      <c r="AB470" s="77" t="e">
        <f>VLOOKUP(M470,'Component List'!AA$2:AB$30,2,FALSE)</f>
        <v>#N/A</v>
      </c>
      <c r="AC470" s="77" t="e">
        <f>VLOOKUP(N470,'Component List'!Y$2:Z$30,2,FALSE)</f>
        <v>#N/A</v>
      </c>
      <c r="AD470" s="159" t="e">
        <f>VLOOKUP(O470,'Component List'!W$3:X$30,2,FALSE)</f>
        <v>#N/A</v>
      </c>
    </row>
    <row r="471" spans="1:30" ht="30" customHeight="1" x14ac:dyDescent="0.3">
      <c r="A471" s="231"/>
      <c r="B471" s="173"/>
      <c r="C471" s="78"/>
      <c r="D471" s="78"/>
      <c r="E471" s="79"/>
      <c r="F471" s="78"/>
      <c r="G471" s="78"/>
      <c r="H471" s="78"/>
      <c r="I471" s="78"/>
      <c r="J471" s="78"/>
      <c r="K471" s="110"/>
      <c r="L471" s="110"/>
      <c r="M471" s="78"/>
      <c r="N471" s="78"/>
      <c r="O471" s="117"/>
      <c r="P471" s="114" t="e">
        <f t="shared" si="6"/>
        <v>#N/A</v>
      </c>
      <c r="Q471" s="77" t="e">
        <f>VLOOKUP($B471,'Component List'!$A$2:$B$30,2,FALSE)</f>
        <v>#N/A</v>
      </c>
      <c r="R471" s="77" t="e">
        <f>VLOOKUP($C471,'Component List'!C$2:D$28,2,FALSE)</f>
        <v>#N/A</v>
      </c>
      <c r="S471" s="77" t="e">
        <f>VLOOKUP($D471,'Component List'!E$2:F$30,2,FALSE)</f>
        <v>#N/A</v>
      </c>
      <c r="T471" s="77" t="e">
        <f>VLOOKUP($E471,'Component List'!G$2:H$30,2,FALSE)</f>
        <v>#N/A</v>
      </c>
      <c r="U471" s="77" t="e">
        <f>VLOOKUP($F471,'Component List'!I$2:J$30,2,FALSE)</f>
        <v>#N/A</v>
      </c>
      <c r="V471" s="77" t="e">
        <f>VLOOKUP(G471,'Component List'!K$2:L$30,2,FALSE)</f>
        <v>#N/A</v>
      </c>
      <c r="W471" s="77" t="e">
        <f>VLOOKUP(H471,'Component List'!M$2:N$31,2,FALSE)</f>
        <v>#N/A</v>
      </c>
      <c r="X471" s="77" t="e">
        <f>VLOOKUP(I471,'Component List'!O$2:P$30,2,FALSE)</f>
        <v>#N/A</v>
      </c>
      <c r="Y471" s="77" t="e">
        <f>VLOOKUP(J471,'Component List'!Q$2:R$30,2,FALSE)</f>
        <v>#N/A</v>
      </c>
      <c r="Z471" s="77" t="e">
        <f>VLOOKUP(K471,'Component List'!S$2:T$30,2,FALSE)</f>
        <v>#N/A</v>
      </c>
      <c r="AA471" s="77" t="e">
        <f>VLOOKUP(L471,'Component List'!U$2:V$30,2,FALSE)</f>
        <v>#N/A</v>
      </c>
      <c r="AB471" s="77" t="e">
        <f>VLOOKUP(M471,'Component List'!AA$2:AB$30,2,FALSE)</f>
        <v>#N/A</v>
      </c>
      <c r="AC471" s="77" t="e">
        <f>VLOOKUP(N471,'Component List'!Y$2:Z$30,2,FALSE)</f>
        <v>#N/A</v>
      </c>
      <c r="AD471" s="159" t="e">
        <f>VLOOKUP(O471,'Component List'!W$3:X$30,2,FALSE)</f>
        <v>#N/A</v>
      </c>
    </row>
    <row r="472" spans="1:30" ht="30" customHeight="1" x14ac:dyDescent="0.3">
      <c r="A472" s="231"/>
      <c r="B472" s="173"/>
      <c r="C472" s="78"/>
      <c r="D472" s="78"/>
      <c r="E472" s="79"/>
      <c r="F472" s="78"/>
      <c r="G472" s="78"/>
      <c r="H472" s="78"/>
      <c r="I472" s="78"/>
      <c r="J472" s="78"/>
      <c r="K472" s="110"/>
      <c r="L472" s="110"/>
      <c r="M472" s="78"/>
      <c r="N472" s="78"/>
      <c r="O472" s="117"/>
      <c r="P472" s="114" t="e">
        <f t="shared" si="6"/>
        <v>#N/A</v>
      </c>
      <c r="Q472" s="77" t="e">
        <f>VLOOKUP($B472,'Component List'!$A$2:$B$30,2,FALSE)</f>
        <v>#N/A</v>
      </c>
      <c r="R472" s="77" t="e">
        <f>VLOOKUP($C472,'Component List'!C$2:D$28,2,FALSE)</f>
        <v>#N/A</v>
      </c>
      <c r="S472" s="77" t="e">
        <f>VLOOKUP($D472,'Component List'!E$2:F$30,2,FALSE)</f>
        <v>#N/A</v>
      </c>
      <c r="T472" s="77" t="e">
        <f>VLOOKUP($E472,'Component List'!G$2:H$30,2,FALSE)</f>
        <v>#N/A</v>
      </c>
      <c r="U472" s="77" t="e">
        <f>VLOOKUP($F472,'Component List'!I$2:J$30,2,FALSE)</f>
        <v>#N/A</v>
      </c>
      <c r="V472" s="77" t="e">
        <f>VLOOKUP(G472,'Component List'!K$2:L$30,2,FALSE)</f>
        <v>#N/A</v>
      </c>
      <c r="W472" s="77" t="e">
        <f>VLOOKUP(H472,'Component List'!M$2:N$31,2,FALSE)</f>
        <v>#N/A</v>
      </c>
      <c r="X472" s="77" t="e">
        <f>VLOOKUP(I472,'Component List'!O$2:P$30,2,FALSE)</f>
        <v>#N/A</v>
      </c>
      <c r="Y472" s="77" t="e">
        <f>VLOOKUP(J472,'Component List'!Q$2:R$30,2,FALSE)</f>
        <v>#N/A</v>
      </c>
      <c r="Z472" s="77" t="e">
        <f>VLOOKUP(K472,'Component List'!S$2:T$30,2,FALSE)</f>
        <v>#N/A</v>
      </c>
      <c r="AA472" s="77" t="e">
        <f>VLOOKUP(L472,'Component List'!U$2:V$30,2,FALSE)</f>
        <v>#N/A</v>
      </c>
      <c r="AB472" s="77" t="e">
        <f>VLOOKUP(M472,'Component List'!AA$2:AB$30,2,FALSE)</f>
        <v>#N/A</v>
      </c>
      <c r="AC472" s="77" t="e">
        <f>VLOOKUP(N472,'Component List'!Y$2:Z$30,2,FALSE)</f>
        <v>#N/A</v>
      </c>
      <c r="AD472" s="159" t="e">
        <f>VLOOKUP(O472,'Component List'!W$3:X$30,2,FALSE)</f>
        <v>#N/A</v>
      </c>
    </row>
    <row r="473" spans="1:30" ht="30" customHeight="1" x14ac:dyDescent="0.3">
      <c r="A473" s="231"/>
      <c r="B473" s="173"/>
      <c r="C473" s="78"/>
      <c r="D473" s="78"/>
      <c r="E473" s="79"/>
      <c r="F473" s="78"/>
      <c r="G473" s="78"/>
      <c r="H473" s="78"/>
      <c r="I473" s="78"/>
      <c r="J473" s="78"/>
      <c r="K473" s="110"/>
      <c r="L473" s="110"/>
      <c r="M473" s="78"/>
      <c r="N473" s="78"/>
      <c r="O473" s="117"/>
      <c r="P473" s="114" t="e">
        <f t="shared" si="6"/>
        <v>#N/A</v>
      </c>
      <c r="Q473" s="77" t="e">
        <f>VLOOKUP($B473,'Component List'!$A$2:$B$30,2,FALSE)</f>
        <v>#N/A</v>
      </c>
      <c r="R473" s="77" t="e">
        <f>VLOOKUP($C473,'Component List'!C$2:D$28,2,FALSE)</f>
        <v>#N/A</v>
      </c>
      <c r="S473" s="77" t="e">
        <f>VLOOKUP($D473,'Component List'!E$2:F$30,2,FALSE)</f>
        <v>#N/A</v>
      </c>
      <c r="T473" s="77" t="e">
        <f>VLOOKUP($E473,'Component List'!G$2:H$30,2,FALSE)</f>
        <v>#N/A</v>
      </c>
      <c r="U473" s="77" t="e">
        <f>VLOOKUP($F473,'Component List'!I$2:J$30,2,FALSE)</f>
        <v>#N/A</v>
      </c>
      <c r="V473" s="77" t="e">
        <f>VLOOKUP(G473,'Component List'!K$2:L$30,2,FALSE)</f>
        <v>#N/A</v>
      </c>
      <c r="W473" s="77" t="e">
        <f>VLOOKUP(H473,'Component List'!M$2:N$31,2,FALSE)</f>
        <v>#N/A</v>
      </c>
      <c r="X473" s="77" t="e">
        <f>VLOOKUP(I473,'Component List'!O$2:P$30,2,FALSE)</f>
        <v>#N/A</v>
      </c>
      <c r="Y473" s="77" t="e">
        <f>VLOOKUP(J473,'Component List'!Q$2:R$30,2,FALSE)</f>
        <v>#N/A</v>
      </c>
      <c r="Z473" s="77" t="e">
        <f>VLOOKUP(K473,'Component List'!S$2:T$30,2,FALSE)</f>
        <v>#N/A</v>
      </c>
      <c r="AA473" s="77" t="e">
        <f>VLOOKUP(L473,'Component List'!U$2:V$30,2,FALSE)</f>
        <v>#N/A</v>
      </c>
      <c r="AB473" s="77" t="e">
        <f>VLOOKUP(M473,'Component List'!AA$2:AB$30,2,FALSE)</f>
        <v>#N/A</v>
      </c>
      <c r="AC473" s="77" t="e">
        <f>VLOOKUP(N473,'Component List'!Y$2:Z$30,2,FALSE)</f>
        <v>#N/A</v>
      </c>
      <c r="AD473" s="159" t="e">
        <f>VLOOKUP(O473,'Component List'!W$3:X$30,2,FALSE)</f>
        <v>#N/A</v>
      </c>
    </row>
    <row r="474" spans="1:30" ht="30" customHeight="1" x14ac:dyDescent="0.3">
      <c r="A474" s="231"/>
      <c r="B474" s="173"/>
      <c r="C474" s="78"/>
      <c r="D474" s="78"/>
      <c r="E474" s="79"/>
      <c r="F474" s="78"/>
      <c r="G474" s="78"/>
      <c r="H474" s="78"/>
      <c r="I474" s="78"/>
      <c r="J474" s="78"/>
      <c r="K474" s="110"/>
      <c r="L474" s="110"/>
      <c r="M474" s="78"/>
      <c r="N474" s="78"/>
      <c r="O474" s="117"/>
      <c r="P474" s="114" t="e">
        <f t="shared" si="6"/>
        <v>#N/A</v>
      </c>
      <c r="Q474" s="77" t="e">
        <f>VLOOKUP($B474,'Component List'!$A$2:$B$30,2,FALSE)</f>
        <v>#N/A</v>
      </c>
      <c r="R474" s="77" t="e">
        <f>VLOOKUP($C474,'Component List'!C$2:D$28,2,FALSE)</f>
        <v>#N/A</v>
      </c>
      <c r="S474" s="77" t="e">
        <f>VLOOKUP($D474,'Component List'!E$2:F$30,2,FALSE)</f>
        <v>#N/A</v>
      </c>
      <c r="T474" s="77" t="e">
        <f>VLOOKUP($E474,'Component List'!G$2:H$30,2,FALSE)</f>
        <v>#N/A</v>
      </c>
      <c r="U474" s="77" t="e">
        <f>VLOOKUP($F474,'Component List'!I$2:J$30,2,FALSE)</f>
        <v>#N/A</v>
      </c>
      <c r="V474" s="77" t="e">
        <f>VLOOKUP(G474,'Component List'!K$2:L$30,2,FALSE)</f>
        <v>#N/A</v>
      </c>
      <c r="W474" s="77" t="e">
        <f>VLOOKUP(H474,'Component List'!M$2:N$31,2,FALSE)</f>
        <v>#N/A</v>
      </c>
      <c r="X474" s="77" t="e">
        <f>VLOOKUP(I474,'Component List'!O$2:P$30,2,FALSE)</f>
        <v>#N/A</v>
      </c>
      <c r="Y474" s="77" t="e">
        <f>VLOOKUP(J474,'Component List'!Q$2:R$30,2,FALSE)</f>
        <v>#N/A</v>
      </c>
      <c r="Z474" s="77" t="e">
        <f>VLOOKUP(K474,'Component List'!S$2:T$30,2,FALSE)</f>
        <v>#N/A</v>
      </c>
      <c r="AA474" s="77" t="e">
        <f>VLOOKUP(L474,'Component List'!U$2:V$30,2,FALSE)</f>
        <v>#N/A</v>
      </c>
      <c r="AB474" s="77" t="e">
        <f>VLOOKUP(M474,'Component List'!AA$2:AB$30,2,FALSE)</f>
        <v>#N/A</v>
      </c>
      <c r="AC474" s="77" t="e">
        <f>VLOOKUP(N474,'Component List'!Y$2:Z$30,2,FALSE)</f>
        <v>#N/A</v>
      </c>
      <c r="AD474" s="159" t="e">
        <f>VLOOKUP(O474,'Component List'!W$3:X$30,2,FALSE)</f>
        <v>#N/A</v>
      </c>
    </row>
    <row r="475" spans="1:30" ht="30" customHeight="1" x14ac:dyDescent="0.3">
      <c r="A475" s="231"/>
      <c r="B475" s="173"/>
      <c r="C475" s="78"/>
      <c r="D475" s="78"/>
      <c r="E475" s="79"/>
      <c r="F475" s="78"/>
      <c r="G475" s="78"/>
      <c r="H475" s="78"/>
      <c r="I475" s="78"/>
      <c r="J475" s="78"/>
      <c r="K475" s="110"/>
      <c r="L475" s="110"/>
      <c r="M475" s="78"/>
      <c r="N475" s="78"/>
      <c r="O475" s="117"/>
      <c r="P475" s="114" t="e">
        <f t="shared" si="6"/>
        <v>#N/A</v>
      </c>
      <c r="Q475" s="77" t="e">
        <f>VLOOKUP($B475,'Component List'!$A$2:$B$30,2,FALSE)</f>
        <v>#N/A</v>
      </c>
      <c r="R475" s="77" t="e">
        <f>VLOOKUP($C475,'Component List'!C$2:D$28,2,FALSE)</f>
        <v>#N/A</v>
      </c>
      <c r="S475" s="77" t="e">
        <f>VLOOKUP($D475,'Component List'!E$2:F$30,2,FALSE)</f>
        <v>#N/A</v>
      </c>
      <c r="T475" s="77" t="e">
        <f>VLOOKUP($E475,'Component List'!G$2:H$30,2,FALSE)</f>
        <v>#N/A</v>
      </c>
      <c r="U475" s="77" t="e">
        <f>VLOOKUP($F475,'Component List'!I$2:J$30,2,FALSE)</f>
        <v>#N/A</v>
      </c>
      <c r="V475" s="77" t="e">
        <f>VLOOKUP(G475,'Component List'!K$2:L$30,2,FALSE)</f>
        <v>#N/A</v>
      </c>
      <c r="W475" s="77" t="e">
        <f>VLOOKUP(H475,'Component List'!M$2:N$31,2,FALSE)</f>
        <v>#N/A</v>
      </c>
      <c r="X475" s="77" t="e">
        <f>VLOOKUP(I475,'Component List'!O$2:P$30,2,FALSE)</f>
        <v>#N/A</v>
      </c>
      <c r="Y475" s="77" t="e">
        <f>VLOOKUP(J475,'Component List'!Q$2:R$30,2,FALSE)</f>
        <v>#N/A</v>
      </c>
      <c r="Z475" s="77" t="e">
        <f>VLOOKUP(K475,'Component List'!S$2:T$30,2,FALSE)</f>
        <v>#N/A</v>
      </c>
      <c r="AA475" s="77" t="e">
        <f>VLOOKUP(L475,'Component List'!U$2:V$30,2,FALSE)</f>
        <v>#N/A</v>
      </c>
      <c r="AB475" s="77" t="e">
        <f>VLOOKUP(M475,'Component List'!AA$2:AB$30,2,FALSE)</f>
        <v>#N/A</v>
      </c>
      <c r="AC475" s="77" t="e">
        <f>VLOOKUP(N475,'Component List'!Y$2:Z$30,2,FALSE)</f>
        <v>#N/A</v>
      </c>
      <c r="AD475" s="159" t="e">
        <f>VLOOKUP(O475,'Component List'!W$3:X$30,2,FALSE)</f>
        <v>#N/A</v>
      </c>
    </row>
    <row r="476" spans="1:30" ht="30" customHeight="1" x14ac:dyDescent="0.3">
      <c r="A476" s="231"/>
      <c r="B476" s="173"/>
      <c r="C476" s="78"/>
      <c r="D476" s="78"/>
      <c r="E476" s="79"/>
      <c r="F476" s="78"/>
      <c r="G476" s="78"/>
      <c r="H476" s="78"/>
      <c r="I476" s="78"/>
      <c r="J476" s="78"/>
      <c r="K476" s="110"/>
      <c r="L476" s="110"/>
      <c r="M476" s="78"/>
      <c r="N476" s="78"/>
      <c r="O476" s="117"/>
      <c r="P476" s="114" t="e">
        <f t="shared" si="6"/>
        <v>#N/A</v>
      </c>
      <c r="Q476" s="77" t="e">
        <f>VLOOKUP($B476,'Component List'!$A$2:$B$30,2,FALSE)</f>
        <v>#N/A</v>
      </c>
      <c r="R476" s="77" t="e">
        <f>VLOOKUP($C476,'Component List'!C$2:D$28,2,FALSE)</f>
        <v>#N/A</v>
      </c>
      <c r="S476" s="77" t="e">
        <f>VLOOKUP($D476,'Component List'!E$2:F$30,2,FALSE)</f>
        <v>#N/A</v>
      </c>
      <c r="T476" s="77" t="e">
        <f>VLOOKUP($E476,'Component List'!G$2:H$30,2,FALSE)</f>
        <v>#N/A</v>
      </c>
      <c r="U476" s="77" t="e">
        <f>VLOOKUP($F476,'Component List'!I$2:J$30,2,FALSE)</f>
        <v>#N/A</v>
      </c>
      <c r="V476" s="77" t="e">
        <f>VLOOKUP(G476,'Component List'!K$2:L$30,2,FALSE)</f>
        <v>#N/A</v>
      </c>
      <c r="W476" s="77" t="e">
        <f>VLOOKUP(H476,'Component List'!M$2:N$31,2,FALSE)</f>
        <v>#N/A</v>
      </c>
      <c r="X476" s="77" t="e">
        <f>VLOOKUP(I476,'Component List'!O$2:P$30,2,FALSE)</f>
        <v>#N/A</v>
      </c>
      <c r="Y476" s="77" t="e">
        <f>VLOOKUP(J476,'Component List'!Q$2:R$30,2,FALSE)</f>
        <v>#N/A</v>
      </c>
      <c r="Z476" s="77" t="e">
        <f>VLOOKUP(K476,'Component List'!S$2:T$30,2,FALSE)</f>
        <v>#N/A</v>
      </c>
      <c r="AA476" s="77" t="e">
        <f>VLOOKUP(L476,'Component List'!U$2:V$30,2,FALSE)</f>
        <v>#N/A</v>
      </c>
      <c r="AB476" s="77" t="e">
        <f>VLOOKUP(M476,'Component List'!AA$2:AB$30,2,FALSE)</f>
        <v>#N/A</v>
      </c>
      <c r="AC476" s="77" t="e">
        <f>VLOOKUP(N476,'Component List'!Y$2:Z$30,2,FALSE)</f>
        <v>#N/A</v>
      </c>
      <c r="AD476" s="159" t="e">
        <f>VLOOKUP(O476,'Component List'!W$3:X$30,2,FALSE)</f>
        <v>#N/A</v>
      </c>
    </row>
    <row r="477" spans="1:30" ht="30" customHeight="1" x14ac:dyDescent="0.3">
      <c r="A477" s="231"/>
      <c r="B477" s="173"/>
      <c r="C477" s="78"/>
      <c r="D477" s="78"/>
      <c r="E477" s="79"/>
      <c r="F477" s="78"/>
      <c r="G477" s="78"/>
      <c r="H477" s="78"/>
      <c r="I477" s="78"/>
      <c r="J477" s="78"/>
      <c r="K477" s="110"/>
      <c r="L477" s="110"/>
      <c r="M477" s="78"/>
      <c r="N477" s="78"/>
      <c r="O477" s="117"/>
      <c r="P477" s="114" t="e">
        <f t="shared" si="6"/>
        <v>#N/A</v>
      </c>
      <c r="Q477" s="77" t="e">
        <f>VLOOKUP($B477,'Component List'!$A$2:$B$30,2,FALSE)</f>
        <v>#N/A</v>
      </c>
      <c r="R477" s="77" t="e">
        <f>VLOOKUP($C477,'Component List'!C$2:D$28,2,FALSE)</f>
        <v>#N/A</v>
      </c>
      <c r="S477" s="77" t="e">
        <f>VLOOKUP($D477,'Component List'!E$2:F$30,2,FALSE)</f>
        <v>#N/A</v>
      </c>
      <c r="T477" s="77" t="e">
        <f>VLOOKUP($E477,'Component List'!G$2:H$30,2,FALSE)</f>
        <v>#N/A</v>
      </c>
      <c r="U477" s="77" t="e">
        <f>VLOOKUP($F477,'Component List'!I$2:J$30,2,FALSE)</f>
        <v>#N/A</v>
      </c>
      <c r="V477" s="77" t="e">
        <f>VLOOKUP(G477,'Component List'!K$2:L$30,2,FALSE)</f>
        <v>#N/A</v>
      </c>
      <c r="W477" s="77" t="e">
        <f>VLOOKUP(H477,'Component List'!M$2:N$31,2,FALSE)</f>
        <v>#N/A</v>
      </c>
      <c r="X477" s="77" t="e">
        <f>VLOOKUP(I477,'Component List'!O$2:P$30,2,FALSE)</f>
        <v>#N/A</v>
      </c>
      <c r="Y477" s="77" t="e">
        <f>VLOOKUP(J477,'Component List'!Q$2:R$30,2,FALSE)</f>
        <v>#N/A</v>
      </c>
      <c r="Z477" s="77" t="e">
        <f>VLOOKUP(K477,'Component List'!S$2:T$30,2,FALSE)</f>
        <v>#N/A</v>
      </c>
      <c r="AA477" s="77" t="e">
        <f>VLOOKUP(L477,'Component List'!U$2:V$30,2,FALSE)</f>
        <v>#N/A</v>
      </c>
      <c r="AB477" s="77" t="e">
        <f>VLOOKUP(M477,'Component List'!AA$2:AB$30,2,FALSE)</f>
        <v>#N/A</v>
      </c>
      <c r="AC477" s="77" t="e">
        <f>VLOOKUP(N477,'Component List'!Y$2:Z$30,2,FALSE)</f>
        <v>#N/A</v>
      </c>
      <c r="AD477" s="159" t="e">
        <f>VLOOKUP(O477,'Component List'!W$3:X$30,2,FALSE)</f>
        <v>#N/A</v>
      </c>
    </row>
    <row r="478" spans="1:30" ht="30" customHeight="1" x14ac:dyDescent="0.3">
      <c r="A478" s="231"/>
      <c r="B478" s="173"/>
      <c r="C478" s="78"/>
      <c r="D478" s="78"/>
      <c r="E478" s="79"/>
      <c r="F478" s="78"/>
      <c r="G478" s="78"/>
      <c r="H478" s="78"/>
      <c r="I478" s="78"/>
      <c r="J478" s="78"/>
      <c r="K478" s="110"/>
      <c r="L478" s="110"/>
      <c r="M478" s="78"/>
      <c r="N478" s="78"/>
      <c r="O478" s="117"/>
      <c r="P478" s="114" t="e">
        <f t="shared" si="6"/>
        <v>#N/A</v>
      </c>
      <c r="Q478" s="77" t="e">
        <f>VLOOKUP($B478,'Component List'!$A$2:$B$30,2,FALSE)</f>
        <v>#N/A</v>
      </c>
      <c r="R478" s="77" t="e">
        <f>VLOOKUP($C478,'Component List'!C$2:D$28,2,FALSE)</f>
        <v>#N/A</v>
      </c>
      <c r="S478" s="77" t="e">
        <f>VLOOKUP($D478,'Component List'!E$2:F$30,2,FALSE)</f>
        <v>#N/A</v>
      </c>
      <c r="T478" s="77" t="e">
        <f>VLOOKUP($E478,'Component List'!G$2:H$30,2,FALSE)</f>
        <v>#N/A</v>
      </c>
      <c r="U478" s="77" t="e">
        <f>VLOOKUP($F478,'Component List'!I$2:J$30,2,FALSE)</f>
        <v>#N/A</v>
      </c>
      <c r="V478" s="77" t="e">
        <f>VLOOKUP(G478,'Component List'!K$2:L$30,2,FALSE)</f>
        <v>#N/A</v>
      </c>
      <c r="W478" s="77" t="e">
        <f>VLOOKUP(H478,'Component List'!M$2:N$31,2,FALSE)</f>
        <v>#N/A</v>
      </c>
      <c r="X478" s="77" t="e">
        <f>VLOOKUP(I478,'Component List'!O$2:P$30,2,FALSE)</f>
        <v>#N/A</v>
      </c>
      <c r="Y478" s="77" t="e">
        <f>VLOOKUP(J478,'Component List'!Q$2:R$30,2,FALSE)</f>
        <v>#N/A</v>
      </c>
      <c r="Z478" s="77" t="e">
        <f>VLOOKUP(K478,'Component List'!S$2:T$30,2,FALSE)</f>
        <v>#N/A</v>
      </c>
      <c r="AA478" s="77" t="e">
        <f>VLOOKUP(L478,'Component List'!U$2:V$30,2,FALSE)</f>
        <v>#N/A</v>
      </c>
      <c r="AB478" s="77" t="e">
        <f>VLOOKUP(M478,'Component List'!AA$2:AB$30,2,FALSE)</f>
        <v>#N/A</v>
      </c>
      <c r="AC478" s="77" t="e">
        <f>VLOOKUP(N478,'Component List'!Y$2:Z$30,2,FALSE)</f>
        <v>#N/A</v>
      </c>
      <c r="AD478" s="159" t="e">
        <f>VLOOKUP(O478,'Component List'!W$3:X$30,2,FALSE)</f>
        <v>#N/A</v>
      </c>
    </row>
    <row r="479" spans="1:30" ht="30" customHeight="1" x14ac:dyDescent="0.3">
      <c r="A479" s="231"/>
      <c r="B479" s="173"/>
      <c r="C479" s="78"/>
      <c r="D479" s="78"/>
      <c r="E479" s="79"/>
      <c r="F479" s="78"/>
      <c r="G479" s="78"/>
      <c r="H479" s="78"/>
      <c r="I479" s="78"/>
      <c r="J479" s="78"/>
      <c r="K479" s="110"/>
      <c r="L479" s="110"/>
      <c r="M479" s="78"/>
      <c r="N479" s="78"/>
      <c r="O479" s="117"/>
      <c r="P479" s="114" t="e">
        <f t="shared" si="6"/>
        <v>#N/A</v>
      </c>
      <c r="Q479" s="77" t="e">
        <f>VLOOKUP($B479,'Component List'!$A$2:$B$30,2,FALSE)</f>
        <v>#N/A</v>
      </c>
      <c r="R479" s="77" t="e">
        <f>VLOOKUP($C479,'Component List'!C$2:D$28,2,FALSE)</f>
        <v>#N/A</v>
      </c>
      <c r="S479" s="77" t="e">
        <f>VLOOKUP($D479,'Component List'!E$2:F$30,2,FALSE)</f>
        <v>#N/A</v>
      </c>
      <c r="T479" s="77" t="e">
        <f>VLOOKUP($E479,'Component List'!G$2:H$30,2,FALSE)</f>
        <v>#N/A</v>
      </c>
      <c r="U479" s="77" t="e">
        <f>VLOOKUP($F479,'Component List'!I$2:J$30,2,FALSE)</f>
        <v>#N/A</v>
      </c>
      <c r="V479" s="77" t="e">
        <f>VLOOKUP(G479,'Component List'!K$2:L$30,2,FALSE)</f>
        <v>#N/A</v>
      </c>
      <c r="W479" s="77" t="e">
        <f>VLOOKUP(H479,'Component List'!M$2:N$31,2,FALSE)</f>
        <v>#N/A</v>
      </c>
      <c r="X479" s="77" t="e">
        <f>VLOOKUP(I479,'Component List'!O$2:P$30,2,FALSE)</f>
        <v>#N/A</v>
      </c>
      <c r="Y479" s="77" t="e">
        <f>VLOOKUP(J479,'Component List'!Q$2:R$30,2,FALSE)</f>
        <v>#N/A</v>
      </c>
      <c r="Z479" s="77" t="e">
        <f>VLOOKUP(K479,'Component List'!S$2:T$30,2,FALSE)</f>
        <v>#N/A</v>
      </c>
      <c r="AA479" s="77" t="e">
        <f>VLOOKUP(L479,'Component List'!U$2:V$30,2,FALSE)</f>
        <v>#N/A</v>
      </c>
      <c r="AB479" s="77" t="e">
        <f>VLOOKUP(M479,'Component List'!AA$2:AB$30,2,FALSE)</f>
        <v>#N/A</v>
      </c>
      <c r="AC479" s="77" t="e">
        <f>VLOOKUP(N479,'Component List'!Y$2:Z$30,2,FALSE)</f>
        <v>#N/A</v>
      </c>
      <c r="AD479" s="159" t="e">
        <f>VLOOKUP(O479,'Component List'!W$3:X$30,2,FALSE)</f>
        <v>#N/A</v>
      </c>
    </row>
    <row r="480" spans="1:30" ht="30" customHeight="1" x14ac:dyDescent="0.3">
      <c r="A480" s="231"/>
      <c r="B480" s="173"/>
      <c r="C480" s="78"/>
      <c r="D480" s="78"/>
      <c r="E480" s="79"/>
      <c r="F480" s="78"/>
      <c r="G480" s="78"/>
      <c r="H480" s="78"/>
      <c r="I480" s="78"/>
      <c r="J480" s="78"/>
      <c r="K480" s="110"/>
      <c r="L480" s="110"/>
      <c r="M480" s="78"/>
      <c r="N480" s="78"/>
      <c r="O480" s="117"/>
      <c r="P480" s="114" t="e">
        <f t="shared" si="6"/>
        <v>#N/A</v>
      </c>
      <c r="Q480" s="77" t="e">
        <f>VLOOKUP($B480,'Component List'!$A$2:$B$30,2,FALSE)</f>
        <v>#N/A</v>
      </c>
      <c r="R480" s="77" t="e">
        <f>VLOOKUP($C480,'Component List'!C$2:D$28,2,FALSE)</f>
        <v>#N/A</v>
      </c>
      <c r="S480" s="77" t="e">
        <f>VLOOKUP($D480,'Component List'!E$2:F$30,2,FALSE)</f>
        <v>#N/A</v>
      </c>
      <c r="T480" s="77" t="e">
        <f>VLOOKUP($E480,'Component List'!G$2:H$30,2,FALSE)</f>
        <v>#N/A</v>
      </c>
      <c r="U480" s="77" t="e">
        <f>VLOOKUP($F480,'Component List'!I$2:J$30,2,FALSE)</f>
        <v>#N/A</v>
      </c>
      <c r="V480" s="77" t="e">
        <f>VLOOKUP(G480,'Component List'!K$2:L$30,2,FALSE)</f>
        <v>#N/A</v>
      </c>
      <c r="W480" s="77" t="e">
        <f>VLOOKUP(H480,'Component List'!M$2:N$31,2,FALSE)</f>
        <v>#N/A</v>
      </c>
      <c r="X480" s="77" t="e">
        <f>VLOOKUP(I480,'Component List'!O$2:P$30,2,FALSE)</f>
        <v>#N/A</v>
      </c>
      <c r="Y480" s="77" t="e">
        <f>VLOOKUP(J480,'Component List'!Q$2:R$30,2,FALSE)</f>
        <v>#N/A</v>
      </c>
      <c r="Z480" s="77" t="e">
        <f>VLOOKUP(K480,'Component List'!S$2:T$30,2,FALSE)</f>
        <v>#N/A</v>
      </c>
      <c r="AA480" s="77" t="e">
        <f>VLOOKUP(L480,'Component List'!U$2:V$30,2,FALSE)</f>
        <v>#N/A</v>
      </c>
      <c r="AB480" s="77" t="e">
        <f>VLOOKUP(M480,'Component List'!AA$2:AB$30,2,FALSE)</f>
        <v>#N/A</v>
      </c>
      <c r="AC480" s="77" t="e">
        <f>VLOOKUP(N480,'Component List'!Y$2:Z$30,2,FALSE)</f>
        <v>#N/A</v>
      </c>
      <c r="AD480" s="159" t="e">
        <f>VLOOKUP(O480,'Component List'!W$3:X$30,2,FALSE)</f>
        <v>#N/A</v>
      </c>
    </row>
    <row r="481" spans="1:30" ht="30" customHeight="1" x14ac:dyDescent="0.3">
      <c r="A481" s="231"/>
      <c r="B481" s="173"/>
      <c r="C481" s="78"/>
      <c r="D481" s="78"/>
      <c r="E481" s="79"/>
      <c r="F481" s="78"/>
      <c r="G481" s="78"/>
      <c r="H481" s="78"/>
      <c r="I481" s="78"/>
      <c r="J481" s="78"/>
      <c r="K481" s="110"/>
      <c r="L481" s="110"/>
      <c r="M481" s="78"/>
      <c r="N481" s="78"/>
      <c r="O481" s="117"/>
      <c r="P481" s="114" t="e">
        <f t="shared" si="6"/>
        <v>#N/A</v>
      </c>
      <c r="Q481" s="77" t="e">
        <f>VLOOKUP($B481,'Component List'!$A$2:$B$30,2,FALSE)</f>
        <v>#N/A</v>
      </c>
      <c r="R481" s="77" t="e">
        <f>VLOOKUP($C481,'Component List'!C$2:D$28,2,FALSE)</f>
        <v>#N/A</v>
      </c>
      <c r="S481" s="77" t="e">
        <f>VLOOKUP($D481,'Component List'!E$2:F$30,2,FALSE)</f>
        <v>#N/A</v>
      </c>
      <c r="T481" s="77" t="e">
        <f>VLOOKUP($E481,'Component List'!G$2:H$30,2,FALSE)</f>
        <v>#N/A</v>
      </c>
      <c r="U481" s="77" t="e">
        <f>VLOOKUP($F481,'Component List'!I$2:J$30,2,FALSE)</f>
        <v>#N/A</v>
      </c>
      <c r="V481" s="77" t="e">
        <f>VLOOKUP(G481,'Component List'!K$2:L$30,2,FALSE)</f>
        <v>#N/A</v>
      </c>
      <c r="W481" s="77" t="e">
        <f>VLOOKUP(H481,'Component List'!M$2:N$31,2,FALSE)</f>
        <v>#N/A</v>
      </c>
      <c r="X481" s="77" t="e">
        <f>VLOOKUP(I481,'Component List'!O$2:P$30,2,FALSE)</f>
        <v>#N/A</v>
      </c>
      <c r="Y481" s="77" t="e">
        <f>VLOOKUP(J481,'Component List'!Q$2:R$30,2,FALSE)</f>
        <v>#N/A</v>
      </c>
      <c r="Z481" s="77" t="e">
        <f>VLOOKUP(K481,'Component List'!S$2:T$30,2,FALSE)</f>
        <v>#N/A</v>
      </c>
      <c r="AA481" s="77" t="e">
        <f>VLOOKUP(L481,'Component List'!U$2:V$30,2,FALSE)</f>
        <v>#N/A</v>
      </c>
      <c r="AB481" s="77" t="e">
        <f>VLOOKUP(M481,'Component List'!AA$2:AB$30,2,FALSE)</f>
        <v>#N/A</v>
      </c>
      <c r="AC481" s="77" t="e">
        <f>VLOOKUP(N481,'Component List'!Y$2:Z$30,2,FALSE)</f>
        <v>#N/A</v>
      </c>
      <c r="AD481" s="159" t="e">
        <f>VLOOKUP(O481,'Component List'!W$3:X$30,2,FALSE)</f>
        <v>#N/A</v>
      </c>
    </row>
    <row r="482" spans="1:30" ht="30" customHeight="1" x14ac:dyDescent="0.3">
      <c r="A482" s="231"/>
      <c r="B482" s="173"/>
      <c r="C482" s="78"/>
      <c r="D482" s="78"/>
      <c r="E482" s="79"/>
      <c r="F482" s="78"/>
      <c r="G482" s="78"/>
      <c r="H482" s="78"/>
      <c r="I482" s="78"/>
      <c r="J482" s="78"/>
      <c r="K482" s="110"/>
      <c r="L482" s="110"/>
      <c r="M482" s="78"/>
      <c r="N482" s="78"/>
      <c r="O482" s="117"/>
      <c r="P482" s="114" t="e">
        <f t="shared" si="6"/>
        <v>#N/A</v>
      </c>
      <c r="Q482" s="77" t="e">
        <f>VLOOKUP($B482,'Component List'!$A$2:$B$30,2,FALSE)</f>
        <v>#N/A</v>
      </c>
      <c r="R482" s="77" t="e">
        <f>VLOOKUP($C482,'Component List'!C$2:D$28,2,FALSE)</f>
        <v>#N/A</v>
      </c>
      <c r="S482" s="77" t="e">
        <f>VLOOKUP($D482,'Component List'!E$2:F$30,2,FALSE)</f>
        <v>#N/A</v>
      </c>
      <c r="T482" s="77" t="e">
        <f>VLOOKUP($E482,'Component List'!G$2:H$30,2,FALSE)</f>
        <v>#N/A</v>
      </c>
      <c r="U482" s="77" t="e">
        <f>VLOOKUP($F482,'Component List'!I$2:J$30,2,FALSE)</f>
        <v>#N/A</v>
      </c>
      <c r="V482" s="77" t="e">
        <f>VLOOKUP(G482,'Component List'!K$2:L$30,2,FALSE)</f>
        <v>#N/A</v>
      </c>
      <c r="W482" s="77" t="e">
        <f>VLOOKUP(H482,'Component List'!M$2:N$31,2,FALSE)</f>
        <v>#N/A</v>
      </c>
      <c r="X482" s="77" t="e">
        <f>VLOOKUP(I482,'Component List'!O$2:P$30,2,FALSE)</f>
        <v>#N/A</v>
      </c>
      <c r="Y482" s="77" t="e">
        <f>VLOOKUP(J482,'Component List'!Q$2:R$30,2,FALSE)</f>
        <v>#N/A</v>
      </c>
      <c r="Z482" s="77" t="e">
        <f>VLOOKUP(K482,'Component List'!S$2:T$30,2,FALSE)</f>
        <v>#N/A</v>
      </c>
      <c r="AA482" s="77" t="e">
        <f>VLOOKUP(L482,'Component List'!U$2:V$30,2,FALSE)</f>
        <v>#N/A</v>
      </c>
      <c r="AB482" s="77" t="e">
        <f>VLOOKUP(M482,'Component List'!AA$2:AB$30,2,FALSE)</f>
        <v>#N/A</v>
      </c>
      <c r="AC482" s="77" t="e">
        <f>VLOOKUP(N482,'Component List'!Y$2:Z$30,2,FALSE)</f>
        <v>#N/A</v>
      </c>
      <c r="AD482" s="159" t="e">
        <f>VLOOKUP(O482,'Component List'!W$3:X$30,2,FALSE)</f>
        <v>#N/A</v>
      </c>
    </row>
    <row r="483" spans="1:30" ht="30" customHeight="1" x14ac:dyDescent="0.3">
      <c r="A483" s="231"/>
      <c r="B483" s="173"/>
      <c r="C483" s="78"/>
      <c r="D483" s="78"/>
      <c r="E483" s="79"/>
      <c r="F483" s="78"/>
      <c r="G483" s="78"/>
      <c r="H483" s="78"/>
      <c r="I483" s="78"/>
      <c r="J483" s="78"/>
      <c r="K483" s="110"/>
      <c r="L483" s="110"/>
      <c r="M483" s="78"/>
      <c r="N483" s="78"/>
      <c r="O483" s="117"/>
      <c r="P483" s="114" t="e">
        <f t="shared" si="6"/>
        <v>#N/A</v>
      </c>
      <c r="Q483" s="77" t="e">
        <f>VLOOKUP($B483,'Component List'!$A$2:$B$30,2,FALSE)</f>
        <v>#N/A</v>
      </c>
      <c r="R483" s="77" t="e">
        <f>VLOOKUP($C483,'Component List'!C$2:D$28,2,FALSE)</f>
        <v>#N/A</v>
      </c>
      <c r="S483" s="77" t="e">
        <f>VLOOKUP($D483,'Component List'!E$2:F$30,2,FALSE)</f>
        <v>#N/A</v>
      </c>
      <c r="T483" s="77" t="e">
        <f>VLOOKUP($E483,'Component List'!G$2:H$30,2,FALSE)</f>
        <v>#N/A</v>
      </c>
      <c r="U483" s="77" t="e">
        <f>VLOOKUP($F483,'Component List'!I$2:J$30,2,FALSE)</f>
        <v>#N/A</v>
      </c>
      <c r="V483" s="77" t="e">
        <f>VLOOKUP(G483,'Component List'!K$2:L$30,2,FALSE)</f>
        <v>#N/A</v>
      </c>
      <c r="W483" s="77" t="e">
        <f>VLOOKUP(H483,'Component List'!M$2:N$31,2,FALSE)</f>
        <v>#N/A</v>
      </c>
      <c r="X483" s="77" t="e">
        <f>VLOOKUP(I483,'Component List'!O$2:P$30,2,FALSE)</f>
        <v>#N/A</v>
      </c>
      <c r="Y483" s="77" t="e">
        <f>VLOOKUP(J483,'Component List'!Q$2:R$30,2,FALSE)</f>
        <v>#N/A</v>
      </c>
      <c r="Z483" s="77" t="e">
        <f>VLOOKUP(K483,'Component List'!S$2:T$30,2,FALSE)</f>
        <v>#N/A</v>
      </c>
      <c r="AA483" s="77" t="e">
        <f>VLOOKUP(L483,'Component List'!U$2:V$30,2,FALSE)</f>
        <v>#N/A</v>
      </c>
      <c r="AB483" s="77" t="e">
        <f>VLOOKUP(M483,'Component List'!AA$2:AB$30,2,FALSE)</f>
        <v>#N/A</v>
      </c>
      <c r="AC483" s="77" t="e">
        <f>VLOOKUP(N483,'Component List'!Y$2:Z$30,2,FALSE)</f>
        <v>#N/A</v>
      </c>
      <c r="AD483" s="159" t="e">
        <f>VLOOKUP(O483,'Component List'!W$3:X$30,2,FALSE)</f>
        <v>#N/A</v>
      </c>
    </row>
    <row r="484" spans="1:30" ht="30" customHeight="1" x14ac:dyDescent="0.3">
      <c r="A484" s="231"/>
      <c r="B484" s="173"/>
      <c r="C484" s="78"/>
      <c r="D484" s="78"/>
      <c r="E484" s="79"/>
      <c r="F484" s="78"/>
      <c r="G484" s="78"/>
      <c r="H484" s="78"/>
      <c r="I484" s="78"/>
      <c r="J484" s="78"/>
      <c r="K484" s="110"/>
      <c r="L484" s="110"/>
      <c r="M484" s="78"/>
      <c r="N484" s="78"/>
      <c r="O484" s="117"/>
      <c r="P484" s="114" t="e">
        <f t="shared" si="6"/>
        <v>#N/A</v>
      </c>
      <c r="Q484" s="77" t="e">
        <f>VLOOKUP($B484,'Component List'!$A$2:$B$30,2,FALSE)</f>
        <v>#N/A</v>
      </c>
      <c r="R484" s="77" t="e">
        <f>VLOOKUP($C484,'Component List'!C$2:D$28,2,FALSE)</f>
        <v>#N/A</v>
      </c>
      <c r="S484" s="77" t="e">
        <f>VLOOKUP($D484,'Component List'!E$2:F$30,2,FALSE)</f>
        <v>#N/A</v>
      </c>
      <c r="T484" s="77" t="e">
        <f>VLOOKUP($E484,'Component List'!G$2:H$30,2,FALSE)</f>
        <v>#N/A</v>
      </c>
      <c r="U484" s="77" t="e">
        <f>VLOOKUP($F484,'Component List'!I$2:J$30,2,FALSE)</f>
        <v>#N/A</v>
      </c>
      <c r="V484" s="77" t="e">
        <f>VLOOKUP(G484,'Component List'!K$2:L$30,2,FALSE)</f>
        <v>#N/A</v>
      </c>
      <c r="W484" s="77" t="e">
        <f>VLOOKUP(H484,'Component List'!M$2:N$31,2,FALSE)</f>
        <v>#N/A</v>
      </c>
      <c r="X484" s="77" t="e">
        <f>VLOOKUP(I484,'Component List'!O$2:P$30,2,FALSE)</f>
        <v>#N/A</v>
      </c>
      <c r="Y484" s="77" t="e">
        <f>VLOOKUP(J484,'Component List'!Q$2:R$30,2,FALSE)</f>
        <v>#N/A</v>
      </c>
      <c r="Z484" s="77" t="e">
        <f>VLOOKUP(K484,'Component List'!S$2:T$30,2,FALSE)</f>
        <v>#N/A</v>
      </c>
      <c r="AA484" s="77" t="e">
        <f>VLOOKUP(L484,'Component List'!U$2:V$30,2,FALSE)</f>
        <v>#N/A</v>
      </c>
      <c r="AB484" s="77" t="e">
        <f>VLOOKUP(M484,'Component List'!AA$2:AB$30,2,FALSE)</f>
        <v>#N/A</v>
      </c>
      <c r="AC484" s="77" t="e">
        <f>VLOOKUP(N484,'Component List'!Y$2:Z$30,2,FALSE)</f>
        <v>#N/A</v>
      </c>
      <c r="AD484" s="159" t="e">
        <f>VLOOKUP(O484,'Component List'!W$3:X$30,2,FALSE)</f>
        <v>#N/A</v>
      </c>
    </row>
    <row r="485" spans="1:30" ht="30" customHeight="1" x14ac:dyDescent="0.3">
      <c r="A485" s="231"/>
      <c r="B485" s="173"/>
      <c r="C485" s="78"/>
      <c r="D485" s="78"/>
      <c r="E485" s="79"/>
      <c r="F485" s="78"/>
      <c r="G485" s="78"/>
      <c r="H485" s="78"/>
      <c r="I485" s="78"/>
      <c r="J485" s="78"/>
      <c r="K485" s="110"/>
      <c r="L485" s="110"/>
      <c r="M485" s="78"/>
      <c r="N485" s="78"/>
      <c r="O485" s="117"/>
      <c r="P485" s="114" t="e">
        <f t="shared" si="6"/>
        <v>#N/A</v>
      </c>
      <c r="Q485" s="77" t="e">
        <f>VLOOKUP($B485,'Component List'!$A$2:$B$30,2,FALSE)</f>
        <v>#N/A</v>
      </c>
      <c r="R485" s="77" t="e">
        <f>VLOOKUP($C485,'Component List'!C$2:D$28,2,FALSE)</f>
        <v>#N/A</v>
      </c>
      <c r="S485" s="77" t="e">
        <f>VLOOKUP($D485,'Component List'!E$2:F$30,2,FALSE)</f>
        <v>#N/A</v>
      </c>
      <c r="T485" s="77" t="e">
        <f>VLOOKUP($E485,'Component List'!G$2:H$30,2,FALSE)</f>
        <v>#N/A</v>
      </c>
      <c r="U485" s="77" t="e">
        <f>VLOOKUP($F485,'Component List'!I$2:J$30,2,FALSE)</f>
        <v>#N/A</v>
      </c>
      <c r="V485" s="77" t="e">
        <f>VLOOKUP(G485,'Component List'!K$2:L$30,2,FALSE)</f>
        <v>#N/A</v>
      </c>
      <c r="W485" s="77" t="e">
        <f>VLOOKUP(H485,'Component List'!M$2:N$31,2,FALSE)</f>
        <v>#N/A</v>
      </c>
      <c r="X485" s="77" t="e">
        <f>VLOOKUP(I485,'Component List'!O$2:P$30,2,FALSE)</f>
        <v>#N/A</v>
      </c>
      <c r="Y485" s="77" t="e">
        <f>VLOOKUP(J485,'Component List'!Q$2:R$30,2,FALSE)</f>
        <v>#N/A</v>
      </c>
      <c r="Z485" s="77" t="e">
        <f>VLOOKUP(K485,'Component List'!S$2:T$30,2,FALSE)</f>
        <v>#N/A</v>
      </c>
      <c r="AA485" s="77" t="e">
        <f>VLOOKUP(L485,'Component List'!U$2:V$30,2,FALSE)</f>
        <v>#N/A</v>
      </c>
      <c r="AB485" s="77" t="e">
        <f>VLOOKUP(M485,'Component List'!AA$2:AB$30,2,FALSE)</f>
        <v>#N/A</v>
      </c>
      <c r="AC485" s="77" t="e">
        <f>VLOOKUP(N485,'Component List'!Y$2:Z$30,2,FALSE)</f>
        <v>#N/A</v>
      </c>
      <c r="AD485" s="159" t="e">
        <f>VLOOKUP(O485,'Component List'!W$3:X$30,2,FALSE)</f>
        <v>#N/A</v>
      </c>
    </row>
    <row r="486" spans="1:30" ht="30" customHeight="1" x14ac:dyDescent="0.3">
      <c r="A486" s="231"/>
      <c r="B486" s="173"/>
      <c r="C486" s="78"/>
      <c r="D486" s="78"/>
      <c r="E486" s="79"/>
      <c r="F486" s="78"/>
      <c r="G486" s="78"/>
      <c r="H486" s="78"/>
      <c r="I486" s="78"/>
      <c r="J486" s="78"/>
      <c r="K486" s="110"/>
      <c r="L486" s="110"/>
      <c r="M486" s="78"/>
      <c r="N486" s="78"/>
      <c r="O486" s="117"/>
      <c r="P486" s="114" t="e">
        <f t="shared" si="6"/>
        <v>#N/A</v>
      </c>
      <c r="Q486" s="77" t="e">
        <f>VLOOKUP($B486,'Component List'!$A$2:$B$30,2,FALSE)</f>
        <v>#N/A</v>
      </c>
      <c r="R486" s="77" t="e">
        <f>VLOOKUP($C486,'Component List'!C$2:D$28,2,FALSE)</f>
        <v>#N/A</v>
      </c>
      <c r="S486" s="77" t="e">
        <f>VLOOKUP($D486,'Component List'!E$2:F$30,2,FALSE)</f>
        <v>#N/A</v>
      </c>
      <c r="T486" s="77" t="e">
        <f>VLOOKUP($E486,'Component List'!G$2:H$30,2,FALSE)</f>
        <v>#N/A</v>
      </c>
      <c r="U486" s="77" t="e">
        <f>VLOOKUP($F486,'Component List'!I$2:J$30,2,FALSE)</f>
        <v>#N/A</v>
      </c>
      <c r="V486" s="77" t="e">
        <f>VLOOKUP(G486,'Component List'!K$2:L$30,2,FALSE)</f>
        <v>#N/A</v>
      </c>
      <c r="W486" s="77" t="e">
        <f>VLOOKUP(H486,'Component List'!M$2:N$31,2,FALSE)</f>
        <v>#N/A</v>
      </c>
      <c r="X486" s="77" t="e">
        <f>VLOOKUP(I486,'Component List'!O$2:P$30,2,FALSE)</f>
        <v>#N/A</v>
      </c>
      <c r="Y486" s="77" t="e">
        <f>VLOOKUP(J486,'Component List'!Q$2:R$30,2,FALSE)</f>
        <v>#N/A</v>
      </c>
      <c r="Z486" s="77" t="e">
        <f>VLOOKUP(K486,'Component List'!S$2:T$30,2,FALSE)</f>
        <v>#N/A</v>
      </c>
      <c r="AA486" s="77" t="e">
        <f>VLOOKUP(L486,'Component List'!U$2:V$30,2,FALSE)</f>
        <v>#N/A</v>
      </c>
      <c r="AB486" s="77" t="e">
        <f>VLOOKUP(M486,'Component List'!AA$2:AB$30,2,FALSE)</f>
        <v>#N/A</v>
      </c>
      <c r="AC486" s="77" t="e">
        <f>VLOOKUP(N486,'Component List'!Y$2:Z$30,2,FALSE)</f>
        <v>#N/A</v>
      </c>
      <c r="AD486" s="159" t="e">
        <f>VLOOKUP(O486,'Component List'!W$3:X$30,2,FALSE)</f>
        <v>#N/A</v>
      </c>
    </row>
    <row r="487" spans="1:30" ht="30" customHeight="1" x14ac:dyDescent="0.3">
      <c r="A487" s="231"/>
      <c r="B487" s="173"/>
      <c r="C487" s="78"/>
      <c r="D487" s="78"/>
      <c r="E487" s="79"/>
      <c r="F487" s="78"/>
      <c r="G487" s="78"/>
      <c r="H487" s="78"/>
      <c r="I487" s="78"/>
      <c r="J487" s="78"/>
      <c r="K487" s="110"/>
      <c r="L487" s="110"/>
      <c r="M487" s="78"/>
      <c r="N487" s="78"/>
      <c r="O487" s="117"/>
      <c r="P487" s="114" t="e">
        <f t="shared" si="6"/>
        <v>#N/A</v>
      </c>
      <c r="Q487" s="77" t="e">
        <f>VLOOKUP($B487,'Component List'!$A$2:$B$30,2,FALSE)</f>
        <v>#N/A</v>
      </c>
      <c r="R487" s="77" t="e">
        <f>VLOOKUP($C487,'Component List'!C$2:D$28,2,FALSE)</f>
        <v>#N/A</v>
      </c>
      <c r="S487" s="77" t="e">
        <f>VLOOKUP($D487,'Component List'!E$2:F$30,2,FALSE)</f>
        <v>#N/A</v>
      </c>
      <c r="T487" s="77" t="e">
        <f>VLOOKUP($E487,'Component List'!G$2:H$30,2,FALSE)</f>
        <v>#N/A</v>
      </c>
      <c r="U487" s="77" t="e">
        <f>VLOOKUP($F487,'Component List'!I$2:J$30,2,FALSE)</f>
        <v>#N/A</v>
      </c>
      <c r="V487" s="77" t="e">
        <f>VLOOKUP(G487,'Component List'!K$2:L$30,2,FALSE)</f>
        <v>#N/A</v>
      </c>
      <c r="W487" s="77" t="e">
        <f>VLOOKUP(H487,'Component List'!M$2:N$31,2,FALSE)</f>
        <v>#N/A</v>
      </c>
      <c r="X487" s="77" t="e">
        <f>VLOOKUP(I487,'Component List'!O$2:P$30,2,FALSE)</f>
        <v>#N/A</v>
      </c>
      <c r="Y487" s="77" t="e">
        <f>VLOOKUP(J487,'Component List'!Q$2:R$30,2,FALSE)</f>
        <v>#N/A</v>
      </c>
      <c r="Z487" s="77" t="e">
        <f>VLOOKUP(K487,'Component List'!S$2:T$30,2,FALSE)</f>
        <v>#N/A</v>
      </c>
      <c r="AA487" s="77" t="e">
        <f>VLOOKUP(L487,'Component List'!U$2:V$30,2,FALSE)</f>
        <v>#N/A</v>
      </c>
      <c r="AB487" s="77" t="e">
        <f>VLOOKUP(M487,'Component List'!AA$2:AB$30,2,FALSE)</f>
        <v>#N/A</v>
      </c>
      <c r="AC487" s="77" t="e">
        <f>VLOOKUP(N487,'Component List'!Y$2:Z$30,2,FALSE)</f>
        <v>#N/A</v>
      </c>
      <c r="AD487" s="159" t="e">
        <f>VLOOKUP(O487,'Component List'!W$3:X$30,2,FALSE)</f>
        <v>#N/A</v>
      </c>
    </row>
    <row r="488" spans="1:30" ht="30" customHeight="1" x14ac:dyDescent="0.3">
      <c r="A488" s="231"/>
      <c r="B488" s="173"/>
      <c r="C488" s="78"/>
      <c r="D488" s="78"/>
      <c r="E488" s="79"/>
      <c r="F488" s="78"/>
      <c r="G488" s="78"/>
      <c r="H488" s="78"/>
      <c r="I488" s="78"/>
      <c r="J488" s="78"/>
      <c r="K488" s="110"/>
      <c r="L488" s="110"/>
      <c r="M488" s="78"/>
      <c r="N488" s="78"/>
      <c r="O488" s="117"/>
      <c r="P488" s="114" t="e">
        <f t="shared" si="6"/>
        <v>#N/A</v>
      </c>
      <c r="Q488" s="77" t="e">
        <f>VLOOKUP($B488,'Component List'!$A$2:$B$30,2,FALSE)</f>
        <v>#N/A</v>
      </c>
      <c r="R488" s="77" t="e">
        <f>VLOOKUP($C488,'Component List'!C$2:D$28,2,FALSE)</f>
        <v>#N/A</v>
      </c>
      <c r="S488" s="77" t="e">
        <f>VLOOKUP($D488,'Component List'!E$2:F$30,2,FALSE)</f>
        <v>#N/A</v>
      </c>
      <c r="T488" s="77" t="e">
        <f>VLOOKUP($E488,'Component List'!G$2:H$30,2,FALSE)</f>
        <v>#N/A</v>
      </c>
      <c r="U488" s="77" t="e">
        <f>VLOOKUP($F488,'Component List'!I$2:J$30,2,FALSE)</f>
        <v>#N/A</v>
      </c>
      <c r="V488" s="77" t="e">
        <f>VLOOKUP(G488,'Component List'!K$2:L$30,2,FALSE)</f>
        <v>#N/A</v>
      </c>
      <c r="W488" s="77" t="e">
        <f>VLOOKUP(H488,'Component List'!M$2:N$31,2,FALSE)</f>
        <v>#N/A</v>
      </c>
      <c r="X488" s="77" t="e">
        <f>VLOOKUP(I488,'Component List'!O$2:P$30,2,FALSE)</f>
        <v>#N/A</v>
      </c>
      <c r="Y488" s="77" t="e">
        <f>VLOOKUP(J488,'Component List'!Q$2:R$30,2,FALSE)</f>
        <v>#N/A</v>
      </c>
      <c r="Z488" s="77" t="e">
        <f>VLOOKUP(K488,'Component List'!S$2:T$30,2,FALSE)</f>
        <v>#N/A</v>
      </c>
      <c r="AA488" s="77" t="e">
        <f>VLOOKUP(L488,'Component List'!U$2:V$30,2,FALSE)</f>
        <v>#N/A</v>
      </c>
      <c r="AB488" s="77" t="e">
        <f>VLOOKUP(M488,'Component List'!AA$2:AB$30,2,FALSE)</f>
        <v>#N/A</v>
      </c>
      <c r="AC488" s="77" t="e">
        <f>VLOOKUP(N488,'Component List'!Y$2:Z$30,2,FALSE)</f>
        <v>#N/A</v>
      </c>
      <c r="AD488" s="159" t="e">
        <f>VLOOKUP(O488,'Component List'!W$3:X$30,2,FALSE)</f>
        <v>#N/A</v>
      </c>
    </row>
    <row r="489" spans="1:30" ht="30" customHeight="1" x14ac:dyDescent="0.3">
      <c r="A489" s="231"/>
      <c r="B489" s="173"/>
      <c r="C489" s="78"/>
      <c r="D489" s="78"/>
      <c r="E489" s="79"/>
      <c r="F489" s="78"/>
      <c r="G489" s="78"/>
      <c r="H489" s="78"/>
      <c r="I489" s="78"/>
      <c r="J489" s="78"/>
      <c r="K489" s="110"/>
      <c r="L489" s="110"/>
      <c r="M489" s="78"/>
      <c r="N489" s="78"/>
      <c r="O489" s="117"/>
      <c r="P489" s="114" t="e">
        <f t="shared" si="6"/>
        <v>#N/A</v>
      </c>
      <c r="Q489" s="77" t="e">
        <f>VLOOKUP($B489,'Component List'!$A$2:$B$30,2,FALSE)</f>
        <v>#N/A</v>
      </c>
      <c r="R489" s="77" t="e">
        <f>VLOOKUP($C489,'Component List'!C$2:D$28,2,FALSE)</f>
        <v>#N/A</v>
      </c>
      <c r="S489" s="77" t="e">
        <f>VLOOKUP($D489,'Component List'!E$2:F$30,2,FALSE)</f>
        <v>#N/A</v>
      </c>
      <c r="T489" s="77" t="e">
        <f>VLOOKUP($E489,'Component List'!G$2:H$30,2,FALSE)</f>
        <v>#N/A</v>
      </c>
      <c r="U489" s="77" t="e">
        <f>VLOOKUP($F489,'Component List'!I$2:J$30,2,FALSE)</f>
        <v>#N/A</v>
      </c>
      <c r="V489" s="77" t="e">
        <f>VLOOKUP(G489,'Component List'!K$2:L$30,2,FALSE)</f>
        <v>#N/A</v>
      </c>
      <c r="W489" s="77" t="e">
        <f>VLOOKUP(H489,'Component List'!M$2:N$31,2,FALSE)</f>
        <v>#N/A</v>
      </c>
      <c r="X489" s="77" t="e">
        <f>VLOOKUP(I489,'Component List'!O$2:P$30,2,FALSE)</f>
        <v>#N/A</v>
      </c>
      <c r="Y489" s="77" t="e">
        <f>VLOOKUP(J489,'Component List'!Q$2:R$30,2,FALSE)</f>
        <v>#N/A</v>
      </c>
      <c r="Z489" s="77" t="e">
        <f>VLOOKUP(K489,'Component List'!S$2:T$30,2,FALSE)</f>
        <v>#N/A</v>
      </c>
      <c r="AA489" s="77" t="e">
        <f>VLOOKUP(L489,'Component List'!U$2:V$30,2,FALSE)</f>
        <v>#N/A</v>
      </c>
      <c r="AB489" s="77" t="e">
        <f>VLOOKUP(M489,'Component List'!AA$2:AB$30,2,FALSE)</f>
        <v>#N/A</v>
      </c>
      <c r="AC489" s="77" t="e">
        <f>VLOOKUP(N489,'Component List'!Y$2:Z$30,2,FALSE)</f>
        <v>#N/A</v>
      </c>
      <c r="AD489" s="159" t="e">
        <f>VLOOKUP(O489,'Component List'!W$3:X$30,2,FALSE)</f>
        <v>#N/A</v>
      </c>
    </row>
    <row r="490" spans="1:30" ht="30" customHeight="1" x14ac:dyDescent="0.3">
      <c r="A490" s="231"/>
      <c r="B490" s="173"/>
      <c r="C490" s="78"/>
      <c r="D490" s="78"/>
      <c r="E490" s="79"/>
      <c r="F490" s="78"/>
      <c r="G490" s="78"/>
      <c r="H490" s="78"/>
      <c r="I490" s="78"/>
      <c r="J490" s="78"/>
      <c r="K490" s="110"/>
      <c r="L490" s="110"/>
      <c r="M490" s="78"/>
      <c r="N490" s="78"/>
      <c r="O490" s="117"/>
      <c r="P490" s="114" t="e">
        <f t="shared" si="6"/>
        <v>#N/A</v>
      </c>
      <c r="Q490" s="77" t="e">
        <f>VLOOKUP($B490,'Component List'!$A$2:$B$30,2,FALSE)</f>
        <v>#N/A</v>
      </c>
      <c r="R490" s="77" t="e">
        <f>VLOOKUP($C490,'Component List'!C$2:D$28,2,FALSE)</f>
        <v>#N/A</v>
      </c>
      <c r="S490" s="77" t="e">
        <f>VLOOKUP($D490,'Component List'!E$2:F$30,2,FALSE)</f>
        <v>#N/A</v>
      </c>
      <c r="T490" s="77" t="e">
        <f>VLOOKUP($E490,'Component List'!G$2:H$30,2,FALSE)</f>
        <v>#N/A</v>
      </c>
      <c r="U490" s="77" t="e">
        <f>VLOOKUP($F490,'Component List'!I$2:J$30,2,FALSE)</f>
        <v>#N/A</v>
      </c>
      <c r="V490" s="77" t="e">
        <f>VLOOKUP(G490,'Component List'!K$2:L$30,2,FALSE)</f>
        <v>#N/A</v>
      </c>
      <c r="W490" s="77" t="e">
        <f>VLOOKUP(H490,'Component List'!M$2:N$31,2,FALSE)</f>
        <v>#N/A</v>
      </c>
      <c r="X490" s="77" t="e">
        <f>VLOOKUP(I490,'Component List'!O$2:P$30,2,FALSE)</f>
        <v>#N/A</v>
      </c>
      <c r="Y490" s="77" t="e">
        <f>VLOOKUP(J490,'Component List'!Q$2:R$30,2,FALSE)</f>
        <v>#N/A</v>
      </c>
      <c r="Z490" s="77" t="e">
        <f>VLOOKUP(K490,'Component List'!S$2:T$30,2,FALSE)</f>
        <v>#N/A</v>
      </c>
      <c r="AA490" s="77" t="e">
        <f>VLOOKUP(L490,'Component List'!U$2:V$30,2,FALSE)</f>
        <v>#N/A</v>
      </c>
      <c r="AB490" s="77" t="e">
        <f>VLOOKUP(M490,'Component List'!AA$2:AB$30,2,FALSE)</f>
        <v>#N/A</v>
      </c>
      <c r="AC490" s="77" t="e">
        <f>VLOOKUP(N490,'Component List'!Y$2:Z$30,2,FALSE)</f>
        <v>#N/A</v>
      </c>
      <c r="AD490" s="159" t="e">
        <f>VLOOKUP(O490,'Component List'!W$3:X$30,2,FALSE)</f>
        <v>#N/A</v>
      </c>
    </row>
    <row r="491" spans="1:30" ht="30" customHeight="1" x14ac:dyDescent="0.3">
      <c r="A491" s="231"/>
      <c r="B491" s="173"/>
      <c r="C491" s="78"/>
      <c r="D491" s="78"/>
      <c r="E491" s="79"/>
      <c r="F491" s="78"/>
      <c r="G491" s="78"/>
      <c r="H491" s="78"/>
      <c r="I491" s="78"/>
      <c r="J491" s="78"/>
      <c r="K491" s="110"/>
      <c r="L491" s="110"/>
      <c r="M491" s="78"/>
      <c r="N491" s="78"/>
      <c r="O491" s="117"/>
      <c r="P491" s="114" t="e">
        <f t="shared" si="6"/>
        <v>#N/A</v>
      </c>
      <c r="Q491" s="77" t="e">
        <f>VLOOKUP($B491,'Component List'!$A$2:$B$30,2,FALSE)</f>
        <v>#N/A</v>
      </c>
      <c r="R491" s="77" t="e">
        <f>VLOOKUP($C491,'Component List'!C$2:D$28,2,FALSE)</f>
        <v>#N/A</v>
      </c>
      <c r="S491" s="77" t="e">
        <f>VLOOKUP($D491,'Component List'!E$2:F$30,2,FALSE)</f>
        <v>#N/A</v>
      </c>
      <c r="T491" s="77" t="e">
        <f>VLOOKUP($E491,'Component List'!G$2:H$30,2,FALSE)</f>
        <v>#N/A</v>
      </c>
      <c r="U491" s="77" t="e">
        <f>VLOOKUP($F491,'Component List'!I$2:J$30,2,FALSE)</f>
        <v>#N/A</v>
      </c>
      <c r="V491" s="77" t="e">
        <f>VLOOKUP(G491,'Component List'!K$2:L$30,2,FALSE)</f>
        <v>#N/A</v>
      </c>
      <c r="W491" s="77" t="e">
        <f>VLOOKUP(H491,'Component List'!M$2:N$31,2,FALSE)</f>
        <v>#N/A</v>
      </c>
      <c r="X491" s="77" t="e">
        <f>VLOOKUP(I491,'Component List'!O$2:P$30,2,FALSE)</f>
        <v>#N/A</v>
      </c>
      <c r="Y491" s="77" t="e">
        <f>VLOOKUP(J491,'Component List'!Q$2:R$30,2,FALSE)</f>
        <v>#N/A</v>
      </c>
      <c r="Z491" s="77" t="e">
        <f>VLOOKUP(K491,'Component List'!S$2:T$30,2,FALSE)</f>
        <v>#N/A</v>
      </c>
      <c r="AA491" s="77" t="e">
        <f>VLOOKUP(L491,'Component List'!U$2:V$30,2,FALSE)</f>
        <v>#N/A</v>
      </c>
      <c r="AB491" s="77" t="e">
        <f>VLOOKUP(M491,'Component List'!AA$2:AB$30,2,FALSE)</f>
        <v>#N/A</v>
      </c>
      <c r="AC491" s="77" t="e">
        <f>VLOOKUP(N491,'Component List'!Y$2:Z$30,2,FALSE)</f>
        <v>#N/A</v>
      </c>
      <c r="AD491" s="159" t="e">
        <f>VLOOKUP(O491,'Component List'!W$3:X$30,2,FALSE)</f>
        <v>#N/A</v>
      </c>
    </row>
    <row r="492" spans="1:30" ht="30" customHeight="1" x14ac:dyDescent="0.3">
      <c r="A492" s="231"/>
      <c r="B492" s="173"/>
      <c r="C492" s="78"/>
      <c r="D492" s="78"/>
      <c r="E492" s="79"/>
      <c r="F492" s="78"/>
      <c r="G492" s="78"/>
      <c r="H492" s="78"/>
      <c r="I492" s="78"/>
      <c r="J492" s="78"/>
      <c r="K492" s="110"/>
      <c r="L492" s="110"/>
      <c r="M492" s="78"/>
      <c r="N492" s="78"/>
      <c r="O492" s="117"/>
      <c r="P492" s="114" t="e">
        <f t="shared" si="6"/>
        <v>#N/A</v>
      </c>
      <c r="Q492" s="77" t="e">
        <f>VLOOKUP($B492,'Component List'!$A$2:$B$30,2,FALSE)</f>
        <v>#N/A</v>
      </c>
      <c r="R492" s="77" t="e">
        <f>VLOOKUP($C492,'Component List'!C$2:D$28,2,FALSE)</f>
        <v>#N/A</v>
      </c>
      <c r="S492" s="77" t="e">
        <f>VLOOKUP($D492,'Component List'!E$2:F$30,2,FALSE)</f>
        <v>#N/A</v>
      </c>
      <c r="T492" s="77" t="e">
        <f>VLOOKUP($E492,'Component List'!G$2:H$30,2,FALSE)</f>
        <v>#N/A</v>
      </c>
      <c r="U492" s="77" t="e">
        <f>VLOOKUP($F492,'Component List'!I$2:J$30,2,FALSE)</f>
        <v>#N/A</v>
      </c>
      <c r="V492" s="77" t="e">
        <f>VLOOKUP(G492,'Component List'!K$2:L$30,2,FALSE)</f>
        <v>#N/A</v>
      </c>
      <c r="W492" s="77" t="e">
        <f>VLOOKUP(H492,'Component List'!M$2:N$31,2,FALSE)</f>
        <v>#N/A</v>
      </c>
      <c r="X492" s="77" t="e">
        <f>VLOOKUP(I492,'Component List'!O$2:P$30,2,FALSE)</f>
        <v>#N/A</v>
      </c>
      <c r="Y492" s="77" t="e">
        <f>VLOOKUP(J492,'Component List'!Q$2:R$30,2,FALSE)</f>
        <v>#N/A</v>
      </c>
      <c r="Z492" s="77" t="e">
        <f>VLOOKUP(K492,'Component List'!S$2:T$30,2,FALSE)</f>
        <v>#N/A</v>
      </c>
      <c r="AA492" s="77" t="e">
        <f>VLOOKUP(L492,'Component List'!U$2:V$30,2,FALSE)</f>
        <v>#N/A</v>
      </c>
      <c r="AB492" s="77" t="e">
        <f>VLOOKUP(M492,'Component List'!AA$2:AB$30,2,FALSE)</f>
        <v>#N/A</v>
      </c>
      <c r="AC492" s="77" t="e">
        <f>VLOOKUP(N492,'Component List'!Y$2:Z$30,2,FALSE)</f>
        <v>#N/A</v>
      </c>
      <c r="AD492" s="159" t="e">
        <f>VLOOKUP(O492,'Component List'!W$3:X$30,2,FALSE)</f>
        <v>#N/A</v>
      </c>
    </row>
    <row r="493" spans="1:30" ht="30" customHeight="1" x14ac:dyDescent="0.3">
      <c r="A493" s="231"/>
      <c r="B493" s="173"/>
      <c r="C493" s="78"/>
      <c r="D493" s="78"/>
      <c r="E493" s="79"/>
      <c r="F493" s="78"/>
      <c r="G493" s="78"/>
      <c r="H493" s="78"/>
      <c r="I493" s="78"/>
      <c r="J493" s="78"/>
      <c r="K493" s="110"/>
      <c r="L493" s="110"/>
      <c r="M493" s="78"/>
      <c r="N493" s="78"/>
      <c r="O493" s="117"/>
      <c r="P493" s="114" t="e">
        <f t="shared" si="6"/>
        <v>#N/A</v>
      </c>
      <c r="Q493" s="77" t="e">
        <f>VLOOKUP($B493,'Component List'!$A$2:$B$30,2,FALSE)</f>
        <v>#N/A</v>
      </c>
      <c r="R493" s="77" t="e">
        <f>VLOOKUP($C493,'Component List'!C$2:D$28,2,FALSE)</f>
        <v>#N/A</v>
      </c>
      <c r="S493" s="77" t="e">
        <f>VLOOKUP($D493,'Component List'!E$2:F$30,2,FALSE)</f>
        <v>#N/A</v>
      </c>
      <c r="T493" s="77" t="e">
        <f>VLOOKUP($E493,'Component List'!G$2:H$30,2,FALSE)</f>
        <v>#N/A</v>
      </c>
      <c r="U493" s="77" t="e">
        <f>VLOOKUP($F493,'Component List'!I$2:J$30,2,FALSE)</f>
        <v>#N/A</v>
      </c>
      <c r="V493" s="77" t="e">
        <f>VLOOKUP(G493,'Component List'!K$2:L$30,2,FALSE)</f>
        <v>#N/A</v>
      </c>
      <c r="W493" s="77" t="e">
        <f>VLOOKUP(H493,'Component List'!M$2:N$31,2,FALSE)</f>
        <v>#N/A</v>
      </c>
      <c r="X493" s="77" t="e">
        <f>VLOOKUP(I493,'Component List'!O$2:P$30,2,FALSE)</f>
        <v>#N/A</v>
      </c>
      <c r="Y493" s="77" t="e">
        <f>VLOOKUP(J493,'Component List'!Q$2:R$30,2,FALSE)</f>
        <v>#N/A</v>
      </c>
      <c r="Z493" s="77" t="e">
        <f>VLOOKUP(K493,'Component List'!S$2:T$30,2,FALSE)</f>
        <v>#N/A</v>
      </c>
      <c r="AA493" s="77" t="e">
        <f>VLOOKUP(L493,'Component List'!U$2:V$30,2,FALSE)</f>
        <v>#N/A</v>
      </c>
      <c r="AB493" s="77" t="e">
        <f>VLOOKUP(M493,'Component List'!AA$2:AB$30,2,FALSE)</f>
        <v>#N/A</v>
      </c>
      <c r="AC493" s="77" t="e">
        <f>VLOOKUP(N493,'Component List'!Y$2:Z$30,2,FALSE)</f>
        <v>#N/A</v>
      </c>
      <c r="AD493" s="159" t="e">
        <f>VLOOKUP(O493,'Component List'!W$3:X$30,2,FALSE)</f>
        <v>#N/A</v>
      </c>
    </row>
    <row r="494" spans="1:30" ht="30" customHeight="1" x14ac:dyDescent="0.3">
      <c r="A494" s="231"/>
      <c r="B494" s="173"/>
      <c r="C494" s="78"/>
      <c r="D494" s="78"/>
      <c r="E494" s="79"/>
      <c r="F494" s="78"/>
      <c r="G494" s="78"/>
      <c r="H494" s="78"/>
      <c r="I494" s="78"/>
      <c r="J494" s="78"/>
      <c r="K494" s="110"/>
      <c r="L494" s="110"/>
      <c r="M494" s="78"/>
      <c r="N494" s="78"/>
      <c r="O494" s="117"/>
      <c r="P494" s="114" t="e">
        <f t="shared" si="6"/>
        <v>#N/A</v>
      </c>
      <c r="Q494" s="77" t="e">
        <f>VLOOKUP($B494,'Component List'!$A$2:$B$30,2,FALSE)</f>
        <v>#N/A</v>
      </c>
      <c r="R494" s="77" t="e">
        <f>VLOOKUP($C494,'Component List'!C$2:D$28,2,FALSE)</f>
        <v>#N/A</v>
      </c>
      <c r="S494" s="77" t="e">
        <f>VLOOKUP($D494,'Component List'!E$2:F$30,2,FALSE)</f>
        <v>#N/A</v>
      </c>
      <c r="T494" s="77" t="e">
        <f>VLOOKUP($E494,'Component List'!G$2:H$30,2,FALSE)</f>
        <v>#N/A</v>
      </c>
      <c r="U494" s="77" t="e">
        <f>VLOOKUP($F494,'Component List'!I$2:J$30,2,FALSE)</f>
        <v>#N/A</v>
      </c>
      <c r="V494" s="77" t="e">
        <f>VLOOKUP(G494,'Component List'!K$2:L$30,2,FALSE)</f>
        <v>#N/A</v>
      </c>
      <c r="W494" s="77" t="e">
        <f>VLOOKUP(H494,'Component List'!M$2:N$31,2,FALSE)</f>
        <v>#N/A</v>
      </c>
      <c r="X494" s="77" t="e">
        <f>VLOOKUP(I494,'Component List'!O$2:P$30,2,FALSE)</f>
        <v>#N/A</v>
      </c>
      <c r="Y494" s="77" t="e">
        <f>VLOOKUP(J494,'Component List'!Q$2:R$30,2,FALSE)</f>
        <v>#N/A</v>
      </c>
      <c r="Z494" s="77" t="e">
        <f>VLOOKUP(K494,'Component List'!S$2:T$30,2,FALSE)</f>
        <v>#N/A</v>
      </c>
      <c r="AA494" s="77" t="e">
        <f>VLOOKUP(L494,'Component List'!U$2:V$30,2,FALSE)</f>
        <v>#N/A</v>
      </c>
      <c r="AB494" s="77" t="e">
        <f>VLOOKUP(M494,'Component List'!AA$2:AB$30,2,FALSE)</f>
        <v>#N/A</v>
      </c>
      <c r="AC494" s="77" t="e">
        <f>VLOOKUP(N494,'Component List'!Y$2:Z$30,2,FALSE)</f>
        <v>#N/A</v>
      </c>
      <c r="AD494" s="159" t="e">
        <f>VLOOKUP(O494,'Component List'!W$3:X$30,2,FALSE)</f>
        <v>#N/A</v>
      </c>
    </row>
    <row r="495" spans="1:30" ht="30" customHeight="1" x14ac:dyDescent="0.3">
      <c r="A495" s="231"/>
      <c r="B495" s="173"/>
      <c r="C495" s="78"/>
      <c r="D495" s="78"/>
      <c r="E495" s="79"/>
      <c r="F495" s="78"/>
      <c r="G495" s="78"/>
      <c r="H495" s="78"/>
      <c r="I495" s="78"/>
      <c r="J495" s="78"/>
      <c r="K495" s="110"/>
      <c r="L495" s="110"/>
      <c r="M495" s="78"/>
      <c r="N495" s="78"/>
      <c r="O495" s="117"/>
      <c r="P495" s="114" t="e">
        <f t="shared" si="6"/>
        <v>#N/A</v>
      </c>
      <c r="Q495" s="77" t="e">
        <f>VLOOKUP($B495,'Component List'!$A$2:$B$30,2,FALSE)</f>
        <v>#N/A</v>
      </c>
      <c r="R495" s="77" t="e">
        <f>VLOOKUP($C495,'Component List'!C$2:D$28,2,FALSE)</f>
        <v>#N/A</v>
      </c>
      <c r="S495" s="77" t="e">
        <f>VLOOKUP($D495,'Component List'!E$2:F$30,2,FALSE)</f>
        <v>#N/A</v>
      </c>
      <c r="T495" s="77" t="e">
        <f>VLOOKUP($E495,'Component List'!G$2:H$30,2,FALSE)</f>
        <v>#N/A</v>
      </c>
      <c r="U495" s="77" t="e">
        <f>VLOOKUP($F495,'Component List'!I$2:J$30,2,FALSE)</f>
        <v>#N/A</v>
      </c>
      <c r="V495" s="77" t="e">
        <f>VLOOKUP(G495,'Component List'!K$2:L$30,2,FALSE)</f>
        <v>#N/A</v>
      </c>
      <c r="W495" s="77" t="e">
        <f>VLOOKUP(H495,'Component List'!M$2:N$31,2,FALSE)</f>
        <v>#N/A</v>
      </c>
      <c r="X495" s="77" t="e">
        <f>VLOOKUP(I495,'Component List'!O$2:P$30,2,FALSE)</f>
        <v>#N/A</v>
      </c>
      <c r="Y495" s="77" t="e">
        <f>VLOOKUP(J495,'Component List'!Q$2:R$30,2,FALSE)</f>
        <v>#N/A</v>
      </c>
      <c r="Z495" s="77" t="e">
        <f>VLOOKUP(K495,'Component List'!S$2:T$30,2,FALSE)</f>
        <v>#N/A</v>
      </c>
      <c r="AA495" s="77" t="e">
        <f>VLOOKUP(L495,'Component List'!U$2:V$30,2,FALSE)</f>
        <v>#N/A</v>
      </c>
      <c r="AB495" s="77" t="e">
        <f>VLOOKUP(M495,'Component List'!AA$2:AB$30,2,FALSE)</f>
        <v>#N/A</v>
      </c>
      <c r="AC495" s="77" t="e">
        <f>VLOOKUP(N495,'Component List'!Y$2:Z$30,2,FALSE)</f>
        <v>#N/A</v>
      </c>
      <c r="AD495" s="159" t="e">
        <f>VLOOKUP(O495,'Component List'!W$3:X$30,2,FALSE)</f>
        <v>#N/A</v>
      </c>
    </row>
    <row r="496" spans="1:30" ht="30" customHeight="1" x14ac:dyDescent="0.3">
      <c r="A496" s="231"/>
      <c r="B496" s="173"/>
      <c r="C496" s="78"/>
      <c r="D496" s="78"/>
      <c r="E496" s="79"/>
      <c r="F496" s="78"/>
      <c r="G496" s="78"/>
      <c r="H496" s="78"/>
      <c r="I496" s="78"/>
      <c r="J496" s="78"/>
      <c r="K496" s="110"/>
      <c r="L496" s="110"/>
      <c r="M496" s="78"/>
      <c r="N496" s="78"/>
      <c r="O496" s="117"/>
      <c r="P496" s="114" t="e">
        <f t="shared" si="6"/>
        <v>#N/A</v>
      </c>
      <c r="Q496" s="77" t="e">
        <f>VLOOKUP($B496,'Component List'!$A$2:$B$30,2,FALSE)</f>
        <v>#N/A</v>
      </c>
      <c r="R496" s="77" t="e">
        <f>VLOOKUP($C496,'Component List'!C$2:D$28,2,FALSE)</f>
        <v>#N/A</v>
      </c>
      <c r="S496" s="77" t="e">
        <f>VLOOKUP($D496,'Component List'!E$2:F$30,2,FALSE)</f>
        <v>#N/A</v>
      </c>
      <c r="T496" s="77" t="e">
        <f>VLOOKUP($E496,'Component List'!G$2:H$30,2,FALSE)</f>
        <v>#N/A</v>
      </c>
      <c r="U496" s="77" t="e">
        <f>VLOOKUP($F496,'Component List'!I$2:J$30,2,FALSE)</f>
        <v>#N/A</v>
      </c>
      <c r="V496" s="77" t="e">
        <f>VLOOKUP(G496,'Component List'!K$2:L$30,2,FALSE)</f>
        <v>#N/A</v>
      </c>
      <c r="W496" s="77" t="e">
        <f>VLOOKUP(H496,'Component List'!M$2:N$31,2,FALSE)</f>
        <v>#N/A</v>
      </c>
      <c r="X496" s="77" t="e">
        <f>VLOOKUP(I496,'Component List'!O$2:P$30,2,FALSE)</f>
        <v>#N/A</v>
      </c>
      <c r="Y496" s="77" t="e">
        <f>VLOOKUP(J496,'Component List'!Q$2:R$30,2,FALSE)</f>
        <v>#N/A</v>
      </c>
      <c r="Z496" s="77" t="e">
        <f>VLOOKUP(K496,'Component List'!S$2:T$30,2,FALSE)</f>
        <v>#N/A</v>
      </c>
      <c r="AA496" s="77" t="e">
        <f>VLOOKUP(L496,'Component List'!U$2:V$30,2,FALSE)</f>
        <v>#N/A</v>
      </c>
      <c r="AB496" s="77" t="e">
        <f>VLOOKUP(M496,'Component List'!AA$2:AB$30,2,FALSE)</f>
        <v>#N/A</v>
      </c>
      <c r="AC496" s="77" t="e">
        <f>VLOOKUP(N496,'Component List'!Y$2:Z$30,2,FALSE)</f>
        <v>#N/A</v>
      </c>
      <c r="AD496" s="159" t="e">
        <f>VLOOKUP(O496,'Component List'!W$3:X$30,2,FALSE)</f>
        <v>#N/A</v>
      </c>
    </row>
    <row r="497" spans="1:30" ht="30" customHeight="1" x14ac:dyDescent="0.3">
      <c r="A497" s="231"/>
      <c r="B497" s="173"/>
      <c r="C497" s="78"/>
      <c r="D497" s="78"/>
      <c r="E497" s="79"/>
      <c r="F497" s="78"/>
      <c r="G497" s="78"/>
      <c r="H497" s="78"/>
      <c r="I497" s="78"/>
      <c r="J497" s="78"/>
      <c r="K497" s="110"/>
      <c r="L497" s="110"/>
      <c r="M497" s="78"/>
      <c r="N497" s="78"/>
      <c r="O497" s="117"/>
      <c r="P497" s="114" t="e">
        <f t="shared" si="6"/>
        <v>#N/A</v>
      </c>
      <c r="Q497" s="77" t="e">
        <f>VLOOKUP($B497,'Component List'!$A$2:$B$30,2,FALSE)</f>
        <v>#N/A</v>
      </c>
      <c r="R497" s="77" t="e">
        <f>VLOOKUP($C497,'Component List'!C$2:D$28,2,FALSE)</f>
        <v>#N/A</v>
      </c>
      <c r="S497" s="77" t="e">
        <f>VLOOKUP($D497,'Component List'!E$2:F$30,2,FALSE)</f>
        <v>#N/A</v>
      </c>
      <c r="T497" s="77" t="e">
        <f>VLOOKUP($E497,'Component List'!G$2:H$30,2,FALSE)</f>
        <v>#N/A</v>
      </c>
      <c r="U497" s="77" t="e">
        <f>VLOOKUP($F497,'Component List'!I$2:J$30,2,FALSE)</f>
        <v>#N/A</v>
      </c>
      <c r="V497" s="77" t="e">
        <f>VLOOKUP(G497,'Component List'!K$2:L$30,2,FALSE)</f>
        <v>#N/A</v>
      </c>
      <c r="W497" s="77" t="e">
        <f>VLOOKUP(H497,'Component List'!M$2:N$31,2,FALSE)</f>
        <v>#N/A</v>
      </c>
      <c r="X497" s="77" t="e">
        <f>VLOOKUP(I497,'Component List'!O$2:P$30,2,FALSE)</f>
        <v>#N/A</v>
      </c>
      <c r="Y497" s="77" t="e">
        <f>VLOOKUP(J497,'Component List'!Q$2:R$30,2,FALSE)</f>
        <v>#N/A</v>
      </c>
      <c r="Z497" s="77" t="e">
        <f>VLOOKUP(K497,'Component List'!S$2:T$30,2,FALSE)</f>
        <v>#N/A</v>
      </c>
      <c r="AA497" s="77" t="e">
        <f>VLOOKUP(L497,'Component List'!U$2:V$30,2,FALSE)</f>
        <v>#N/A</v>
      </c>
      <c r="AB497" s="77" t="e">
        <f>VLOOKUP(M497,'Component List'!AA$2:AB$30,2,FALSE)</f>
        <v>#N/A</v>
      </c>
      <c r="AC497" s="77" t="e">
        <f>VLOOKUP(N497,'Component List'!Y$2:Z$30,2,FALSE)</f>
        <v>#N/A</v>
      </c>
      <c r="AD497" s="159" t="e">
        <f>VLOOKUP(O497,'Component List'!W$3:X$30,2,FALSE)</f>
        <v>#N/A</v>
      </c>
    </row>
    <row r="498" spans="1:30" ht="30" customHeight="1" x14ac:dyDescent="0.3">
      <c r="A498" s="231"/>
      <c r="B498" s="173"/>
      <c r="C498" s="78"/>
      <c r="D498" s="78"/>
      <c r="E498" s="79"/>
      <c r="F498" s="78"/>
      <c r="G498" s="78"/>
      <c r="H498" s="78"/>
      <c r="I498" s="78"/>
      <c r="J498" s="78"/>
      <c r="K498" s="110"/>
      <c r="L498" s="110"/>
      <c r="M498" s="78"/>
      <c r="N498" s="78"/>
      <c r="O498" s="117"/>
      <c r="P498" s="114" t="e">
        <f t="shared" si="6"/>
        <v>#N/A</v>
      </c>
      <c r="Q498" s="77" t="e">
        <f>VLOOKUP($B498,'Component List'!$A$2:$B$30,2,FALSE)</f>
        <v>#N/A</v>
      </c>
      <c r="R498" s="77" t="e">
        <f>VLOOKUP($C498,'Component List'!C$2:D$28,2,FALSE)</f>
        <v>#N/A</v>
      </c>
      <c r="S498" s="77" t="e">
        <f>VLOOKUP($D498,'Component List'!E$2:F$30,2,FALSE)</f>
        <v>#N/A</v>
      </c>
      <c r="T498" s="77" t="e">
        <f>VLOOKUP($E498,'Component List'!G$2:H$30,2,FALSE)</f>
        <v>#N/A</v>
      </c>
      <c r="U498" s="77" t="e">
        <f>VLOOKUP($F498,'Component List'!I$2:J$30,2,FALSE)</f>
        <v>#N/A</v>
      </c>
      <c r="V498" s="77" t="e">
        <f>VLOOKUP(G498,'Component List'!K$2:L$30,2,FALSE)</f>
        <v>#N/A</v>
      </c>
      <c r="W498" s="77" t="e">
        <f>VLOOKUP(H498,'Component List'!M$2:N$31,2,FALSE)</f>
        <v>#N/A</v>
      </c>
      <c r="X498" s="77" t="e">
        <f>VLOOKUP(I498,'Component List'!O$2:P$30,2,FALSE)</f>
        <v>#N/A</v>
      </c>
      <c r="Y498" s="77" t="e">
        <f>VLOOKUP(J498,'Component List'!Q$2:R$30,2,FALSE)</f>
        <v>#N/A</v>
      </c>
      <c r="Z498" s="77" t="e">
        <f>VLOOKUP(K498,'Component List'!S$2:T$30,2,FALSE)</f>
        <v>#N/A</v>
      </c>
      <c r="AA498" s="77" t="e">
        <f>VLOOKUP(L498,'Component List'!U$2:V$30,2,FALSE)</f>
        <v>#N/A</v>
      </c>
      <c r="AB498" s="77" t="e">
        <f>VLOOKUP(M498,'Component List'!AA$2:AB$30,2,FALSE)</f>
        <v>#N/A</v>
      </c>
      <c r="AC498" s="77" t="e">
        <f>VLOOKUP(N498,'Component List'!Y$2:Z$30,2,FALSE)</f>
        <v>#N/A</v>
      </c>
      <c r="AD498" s="159" t="e">
        <f>VLOOKUP(O498,'Component List'!W$3:X$30,2,FALSE)</f>
        <v>#N/A</v>
      </c>
    </row>
    <row r="499" spans="1:30" ht="30" customHeight="1" x14ac:dyDescent="0.3">
      <c r="A499" s="231"/>
      <c r="B499" s="173"/>
      <c r="C499" s="78"/>
      <c r="D499" s="78"/>
      <c r="E499" s="79"/>
      <c r="F499" s="78"/>
      <c r="G499" s="78"/>
      <c r="H499" s="78"/>
      <c r="I499" s="78"/>
      <c r="J499" s="78"/>
      <c r="K499" s="110"/>
      <c r="L499" s="110"/>
      <c r="M499" s="78"/>
      <c r="N499" s="78"/>
      <c r="O499" s="117"/>
      <c r="P499" s="114" t="e">
        <f t="shared" si="6"/>
        <v>#N/A</v>
      </c>
      <c r="Q499" s="77" t="e">
        <f>VLOOKUP($B499,'Component List'!$A$2:$B$30,2,FALSE)</f>
        <v>#N/A</v>
      </c>
      <c r="R499" s="77" t="e">
        <f>VLOOKUP($C499,'Component List'!C$2:D$28,2,FALSE)</f>
        <v>#N/A</v>
      </c>
      <c r="S499" s="77" t="e">
        <f>VLOOKUP($D499,'Component List'!E$2:F$30,2,FALSE)</f>
        <v>#N/A</v>
      </c>
      <c r="T499" s="77" t="e">
        <f>VLOOKUP($E499,'Component List'!G$2:H$30,2,FALSE)</f>
        <v>#N/A</v>
      </c>
      <c r="U499" s="77" t="e">
        <f>VLOOKUP($F499,'Component List'!I$2:J$30,2,FALSE)</f>
        <v>#N/A</v>
      </c>
      <c r="V499" s="77" t="e">
        <f>VLOOKUP(G499,'Component List'!K$2:L$30,2,FALSE)</f>
        <v>#N/A</v>
      </c>
      <c r="W499" s="77" t="e">
        <f>VLOOKUP(H499,'Component List'!M$2:N$31,2,FALSE)</f>
        <v>#N/A</v>
      </c>
      <c r="X499" s="77" t="e">
        <f>VLOOKUP(I499,'Component List'!O$2:P$30,2,FALSE)</f>
        <v>#N/A</v>
      </c>
      <c r="Y499" s="77" t="e">
        <f>VLOOKUP(J499,'Component List'!Q$2:R$30,2,FALSE)</f>
        <v>#N/A</v>
      </c>
      <c r="Z499" s="77" t="e">
        <f>VLOOKUP(K499,'Component List'!S$2:T$30,2,FALSE)</f>
        <v>#N/A</v>
      </c>
      <c r="AA499" s="77" t="e">
        <f>VLOOKUP(L499,'Component List'!U$2:V$30,2,FALSE)</f>
        <v>#N/A</v>
      </c>
      <c r="AB499" s="77" t="e">
        <f>VLOOKUP(M499,'Component List'!AA$2:AB$30,2,FALSE)</f>
        <v>#N/A</v>
      </c>
      <c r="AC499" s="77" t="e">
        <f>VLOOKUP(N499,'Component List'!Y$2:Z$30,2,FALSE)</f>
        <v>#N/A</v>
      </c>
      <c r="AD499" s="159" t="e">
        <f>VLOOKUP(O499,'Component List'!W$3:X$30,2,FALSE)</f>
        <v>#N/A</v>
      </c>
    </row>
    <row r="500" spans="1:30" ht="30" customHeight="1" x14ac:dyDescent="0.3">
      <c r="A500" s="231"/>
      <c r="B500" s="173"/>
      <c r="C500" s="78"/>
      <c r="D500" s="78"/>
      <c r="E500" s="79"/>
      <c r="F500" s="78"/>
      <c r="G500" s="78"/>
      <c r="H500" s="78"/>
      <c r="I500" s="78"/>
      <c r="J500" s="78"/>
      <c r="K500" s="110"/>
      <c r="L500" s="110"/>
      <c r="M500" s="78"/>
      <c r="N500" s="78"/>
      <c r="O500" s="117"/>
      <c r="P500" s="114" t="e">
        <f t="shared" si="6"/>
        <v>#N/A</v>
      </c>
      <c r="Q500" s="77" t="e">
        <f>VLOOKUP($B500,'Component List'!$A$2:$B$30,2,FALSE)</f>
        <v>#N/A</v>
      </c>
      <c r="R500" s="77" t="e">
        <f>VLOOKUP($C500,'Component List'!C$2:D$28,2,FALSE)</f>
        <v>#N/A</v>
      </c>
      <c r="S500" s="77" t="e">
        <f>VLOOKUP($D500,'Component List'!E$2:F$30,2,FALSE)</f>
        <v>#N/A</v>
      </c>
      <c r="T500" s="77" t="e">
        <f>VLOOKUP($E500,'Component List'!G$2:H$30,2,FALSE)</f>
        <v>#N/A</v>
      </c>
      <c r="U500" s="77" t="e">
        <f>VLOOKUP($F500,'Component List'!I$2:J$30,2,FALSE)</f>
        <v>#N/A</v>
      </c>
      <c r="V500" s="77" t="e">
        <f>VLOOKUP(G500,'Component List'!K$2:L$30,2,FALSE)</f>
        <v>#N/A</v>
      </c>
      <c r="W500" s="77" t="e">
        <f>VLOOKUP(H500,'Component List'!M$2:N$31,2,FALSE)</f>
        <v>#N/A</v>
      </c>
      <c r="X500" s="77" t="e">
        <f>VLOOKUP(I500,'Component List'!O$2:P$30,2,FALSE)</f>
        <v>#N/A</v>
      </c>
      <c r="Y500" s="77" t="e">
        <f>VLOOKUP(J500,'Component List'!Q$2:R$30,2,FALSE)</f>
        <v>#N/A</v>
      </c>
      <c r="Z500" s="77" t="e">
        <f>VLOOKUP(K500,'Component List'!S$2:T$30,2,FALSE)</f>
        <v>#N/A</v>
      </c>
      <c r="AA500" s="77" t="e">
        <f>VLOOKUP(L500,'Component List'!U$2:V$30,2,FALSE)</f>
        <v>#N/A</v>
      </c>
      <c r="AB500" s="77" t="e">
        <f>VLOOKUP(M500,'Component List'!AA$2:AB$30,2,FALSE)</f>
        <v>#N/A</v>
      </c>
      <c r="AC500" s="77" t="e">
        <f>VLOOKUP(N500,'Component List'!Y$2:Z$30,2,FALSE)</f>
        <v>#N/A</v>
      </c>
      <c r="AD500" s="159" t="e">
        <f>VLOOKUP(O500,'Component List'!W$3:X$30,2,FALSE)</f>
        <v>#N/A</v>
      </c>
    </row>
    <row r="501" spans="1:30" ht="30" customHeight="1" x14ac:dyDescent="0.3">
      <c r="A501" s="231"/>
      <c r="B501" s="173"/>
      <c r="C501" s="78"/>
      <c r="D501" s="78"/>
      <c r="E501" s="79"/>
      <c r="F501" s="78"/>
      <c r="G501" s="78"/>
      <c r="H501" s="78"/>
      <c r="I501" s="78"/>
      <c r="J501" s="78"/>
      <c r="K501" s="110"/>
      <c r="L501" s="110"/>
      <c r="M501" s="78"/>
      <c r="N501" s="78"/>
      <c r="O501" s="117"/>
      <c r="P501" s="114" t="e">
        <f t="shared" si="6"/>
        <v>#N/A</v>
      </c>
      <c r="Q501" s="77" t="e">
        <f>VLOOKUP($B501,'Component List'!$A$2:$B$30,2,FALSE)</f>
        <v>#N/A</v>
      </c>
      <c r="R501" s="77" t="e">
        <f>VLOOKUP($C501,'Component List'!C$2:D$28,2,FALSE)</f>
        <v>#N/A</v>
      </c>
      <c r="S501" s="77" t="e">
        <f>VLOOKUP($D501,'Component List'!E$2:F$30,2,FALSE)</f>
        <v>#N/A</v>
      </c>
      <c r="T501" s="77" t="e">
        <f>VLOOKUP($E501,'Component List'!G$2:H$30,2,FALSE)</f>
        <v>#N/A</v>
      </c>
      <c r="U501" s="77" t="e">
        <f>VLOOKUP($F501,'Component List'!I$2:J$30,2,FALSE)</f>
        <v>#N/A</v>
      </c>
      <c r="V501" s="77" t="e">
        <f>VLOOKUP(G501,'Component List'!K$2:L$30,2,FALSE)</f>
        <v>#N/A</v>
      </c>
      <c r="W501" s="77" t="e">
        <f>VLOOKUP(H501,'Component List'!M$2:N$31,2,FALSE)</f>
        <v>#N/A</v>
      </c>
      <c r="X501" s="77" t="e">
        <f>VLOOKUP(I501,'Component List'!O$2:P$30,2,FALSE)</f>
        <v>#N/A</v>
      </c>
      <c r="Y501" s="77" t="e">
        <f>VLOOKUP(J501,'Component List'!Q$2:R$30,2,FALSE)</f>
        <v>#N/A</v>
      </c>
      <c r="Z501" s="77" t="e">
        <f>VLOOKUP(K501,'Component List'!S$2:T$30,2,FALSE)</f>
        <v>#N/A</v>
      </c>
      <c r="AA501" s="77" t="e">
        <f>VLOOKUP(L501,'Component List'!U$2:V$30,2,FALSE)</f>
        <v>#N/A</v>
      </c>
      <c r="AB501" s="77" t="e">
        <f>VLOOKUP(M501,'Component List'!AA$2:AB$30,2,FALSE)</f>
        <v>#N/A</v>
      </c>
      <c r="AC501" s="77" t="e">
        <f>VLOOKUP(N501,'Component List'!Y$2:Z$30,2,FALSE)</f>
        <v>#N/A</v>
      </c>
      <c r="AD501" s="159" t="e">
        <f>VLOOKUP(O501,'Component List'!W$3:X$30,2,FALSE)</f>
        <v>#N/A</v>
      </c>
    </row>
    <row r="502" spans="1:30" ht="30" customHeight="1" x14ac:dyDescent="0.3">
      <c r="A502" s="231"/>
      <c r="B502" s="173"/>
      <c r="C502" s="78"/>
      <c r="D502" s="78"/>
      <c r="E502" s="79"/>
      <c r="F502" s="78"/>
      <c r="G502" s="78"/>
      <c r="H502" s="78"/>
      <c r="I502" s="78"/>
      <c r="J502" s="78"/>
      <c r="K502" s="110"/>
      <c r="L502" s="110"/>
      <c r="M502" s="78"/>
      <c r="N502" s="78"/>
      <c r="O502" s="117"/>
      <c r="P502" s="114" t="e">
        <f t="shared" si="6"/>
        <v>#N/A</v>
      </c>
      <c r="Q502" s="77" t="e">
        <f>VLOOKUP($B502,'Component List'!$A$2:$B$30,2,FALSE)</f>
        <v>#N/A</v>
      </c>
      <c r="R502" s="77" t="e">
        <f>VLOOKUP($C502,'Component List'!C$2:D$28,2,FALSE)</f>
        <v>#N/A</v>
      </c>
      <c r="S502" s="77" t="e">
        <f>VLOOKUP($D502,'Component List'!E$2:F$30,2,FALSE)</f>
        <v>#N/A</v>
      </c>
      <c r="T502" s="77" t="e">
        <f>VLOOKUP($E502,'Component List'!G$2:H$30,2,FALSE)</f>
        <v>#N/A</v>
      </c>
      <c r="U502" s="77" t="e">
        <f>VLOOKUP($F502,'Component List'!I$2:J$30,2,FALSE)</f>
        <v>#N/A</v>
      </c>
      <c r="V502" s="77" t="e">
        <f>VLOOKUP(G502,'Component List'!K$2:L$30,2,FALSE)</f>
        <v>#N/A</v>
      </c>
      <c r="W502" s="77" t="e">
        <f>VLOOKUP(H502,'Component List'!M$2:N$31,2,FALSE)</f>
        <v>#N/A</v>
      </c>
      <c r="X502" s="77" t="e">
        <f>VLOOKUP(I502,'Component List'!O$2:P$30,2,FALSE)</f>
        <v>#N/A</v>
      </c>
      <c r="Y502" s="77" t="e">
        <f>VLOOKUP(J502,'Component List'!Q$2:R$30,2,FALSE)</f>
        <v>#N/A</v>
      </c>
      <c r="Z502" s="77" t="e">
        <f>VLOOKUP(K502,'Component List'!S$2:T$30,2,FALSE)</f>
        <v>#N/A</v>
      </c>
      <c r="AA502" s="77" t="e">
        <f>VLOOKUP(L502,'Component List'!U$2:V$30,2,FALSE)</f>
        <v>#N/A</v>
      </c>
      <c r="AB502" s="77" t="e">
        <f>VLOOKUP(M502,'Component List'!AA$2:AB$30,2,FALSE)</f>
        <v>#N/A</v>
      </c>
      <c r="AC502" s="77" t="e">
        <f>VLOOKUP(N502,'Component List'!Y$2:Z$30,2,FALSE)</f>
        <v>#N/A</v>
      </c>
      <c r="AD502" s="159" t="e">
        <f>VLOOKUP(O502,'Component List'!W$3:X$30,2,FALSE)</f>
        <v>#N/A</v>
      </c>
    </row>
    <row r="503" spans="1:30" ht="30" customHeight="1" x14ac:dyDescent="0.3">
      <c r="A503" s="231"/>
      <c r="B503" s="173"/>
      <c r="C503" s="78"/>
      <c r="D503" s="78"/>
      <c r="E503" s="79"/>
      <c r="F503" s="78"/>
      <c r="G503" s="78"/>
      <c r="H503" s="78"/>
      <c r="I503" s="78"/>
      <c r="J503" s="78"/>
      <c r="K503" s="110"/>
      <c r="L503" s="110"/>
      <c r="M503" s="78"/>
      <c r="N503" s="78"/>
      <c r="O503" s="117"/>
      <c r="P503" s="114" t="e">
        <f t="shared" si="6"/>
        <v>#N/A</v>
      </c>
      <c r="Q503" s="77" t="e">
        <f>VLOOKUP($B503,'Component List'!$A$2:$B$30,2,FALSE)</f>
        <v>#N/A</v>
      </c>
      <c r="R503" s="77" t="e">
        <f>VLOOKUP($C503,'Component List'!C$2:D$28,2,FALSE)</f>
        <v>#N/A</v>
      </c>
      <c r="S503" s="77" t="e">
        <f>VLOOKUP($D503,'Component List'!E$2:F$30,2,FALSE)</f>
        <v>#N/A</v>
      </c>
      <c r="T503" s="77" t="e">
        <f>VLOOKUP($E503,'Component List'!G$2:H$30,2,FALSE)</f>
        <v>#N/A</v>
      </c>
      <c r="U503" s="77" t="e">
        <f>VLOOKUP($F503,'Component List'!I$2:J$30,2,FALSE)</f>
        <v>#N/A</v>
      </c>
      <c r="V503" s="77" t="e">
        <f>VLOOKUP(G503,'Component List'!K$2:L$30,2,FALSE)</f>
        <v>#N/A</v>
      </c>
      <c r="W503" s="77" t="e">
        <f>VLOOKUP(H503,'Component List'!M$2:N$31,2,FALSE)</f>
        <v>#N/A</v>
      </c>
      <c r="X503" s="77" t="e">
        <f>VLOOKUP(I503,'Component List'!O$2:P$30,2,FALSE)</f>
        <v>#N/A</v>
      </c>
      <c r="Y503" s="77" t="e">
        <f>VLOOKUP(J503,'Component List'!Q$2:R$30,2,FALSE)</f>
        <v>#N/A</v>
      </c>
      <c r="Z503" s="77" t="e">
        <f>VLOOKUP(K503,'Component List'!S$2:T$30,2,FALSE)</f>
        <v>#N/A</v>
      </c>
      <c r="AA503" s="77" t="e">
        <f>VLOOKUP(L503,'Component List'!U$2:V$30,2,FALSE)</f>
        <v>#N/A</v>
      </c>
      <c r="AB503" s="77" t="e">
        <f>VLOOKUP(M503,'Component List'!AA$2:AB$30,2,FALSE)</f>
        <v>#N/A</v>
      </c>
      <c r="AC503" s="77" t="e">
        <f>VLOOKUP(N503,'Component List'!Y$2:Z$30,2,FALSE)</f>
        <v>#N/A</v>
      </c>
      <c r="AD503" s="159" t="e">
        <f>VLOOKUP(O503,'Component List'!W$3:X$30,2,FALSE)</f>
        <v>#N/A</v>
      </c>
    </row>
    <row r="504" spans="1:30" ht="30" customHeight="1" x14ac:dyDescent="0.3">
      <c r="A504" s="231"/>
      <c r="B504" s="173"/>
      <c r="C504" s="78"/>
      <c r="D504" s="78"/>
      <c r="E504" s="79"/>
      <c r="F504" s="78"/>
      <c r="G504" s="78"/>
      <c r="H504" s="78"/>
      <c r="I504" s="78"/>
      <c r="J504" s="78"/>
      <c r="K504" s="110"/>
      <c r="L504" s="110"/>
      <c r="M504" s="78"/>
      <c r="N504" s="78"/>
      <c r="O504" s="117"/>
      <c r="P504" s="114" t="e">
        <f t="shared" si="6"/>
        <v>#N/A</v>
      </c>
      <c r="Q504" s="77" t="e">
        <f>VLOOKUP($B504,'Component List'!$A$2:$B$30,2,FALSE)</f>
        <v>#N/A</v>
      </c>
      <c r="R504" s="77" t="e">
        <f>VLOOKUP($C504,'Component List'!C$2:D$28,2,FALSE)</f>
        <v>#N/A</v>
      </c>
      <c r="S504" s="77" t="e">
        <f>VLOOKUP($D504,'Component List'!E$2:F$30,2,FALSE)</f>
        <v>#N/A</v>
      </c>
      <c r="T504" s="77" t="e">
        <f>VLOOKUP($E504,'Component List'!G$2:H$30,2,FALSE)</f>
        <v>#N/A</v>
      </c>
      <c r="U504" s="77" t="e">
        <f>VLOOKUP($F504,'Component List'!I$2:J$30,2,FALSE)</f>
        <v>#N/A</v>
      </c>
      <c r="V504" s="77" t="e">
        <f>VLOOKUP(G504,'Component List'!K$2:L$30,2,FALSE)</f>
        <v>#N/A</v>
      </c>
      <c r="W504" s="77" t="e">
        <f>VLOOKUP(H504,'Component List'!M$2:N$31,2,FALSE)</f>
        <v>#N/A</v>
      </c>
      <c r="X504" s="77" t="e">
        <f>VLOOKUP(I504,'Component List'!O$2:P$30,2,FALSE)</f>
        <v>#N/A</v>
      </c>
      <c r="Y504" s="77" t="e">
        <f>VLOOKUP(J504,'Component List'!Q$2:R$30,2,FALSE)</f>
        <v>#N/A</v>
      </c>
      <c r="Z504" s="77" t="e">
        <f>VLOOKUP(K504,'Component List'!S$2:T$30,2,FALSE)</f>
        <v>#N/A</v>
      </c>
      <c r="AA504" s="77" t="e">
        <f>VLOOKUP(L504,'Component List'!U$2:V$30,2,FALSE)</f>
        <v>#N/A</v>
      </c>
      <c r="AB504" s="77" t="e">
        <f>VLOOKUP(M504,'Component List'!AA$2:AB$30,2,FALSE)</f>
        <v>#N/A</v>
      </c>
      <c r="AC504" s="77" t="e">
        <f>VLOOKUP(N504,'Component List'!Y$2:Z$30,2,FALSE)</f>
        <v>#N/A</v>
      </c>
      <c r="AD504" s="159" t="e">
        <f>VLOOKUP(O504,'Component List'!W$3:X$30,2,FALSE)</f>
        <v>#N/A</v>
      </c>
    </row>
    <row r="505" spans="1:30" ht="30" customHeight="1" x14ac:dyDescent="0.3">
      <c r="A505" s="231"/>
      <c r="B505" s="173"/>
      <c r="C505" s="78"/>
      <c r="D505" s="78"/>
      <c r="E505" s="79"/>
      <c r="F505" s="78"/>
      <c r="G505" s="78"/>
      <c r="H505" s="78"/>
      <c r="I505" s="78"/>
      <c r="J505" s="78"/>
      <c r="K505" s="110"/>
      <c r="L505" s="110"/>
      <c r="M505" s="78"/>
      <c r="N505" s="78"/>
      <c r="O505" s="117"/>
      <c r="P505" s="114" t="e">
        <f t="shared" si="6"/>
        <v>#N/A</v>
      </c>
      <c r="Q505" s="77" t="e">
        <f>VLOOKUP($B505,'Component List'!$A$2:$B$30,2,FALSE)</f>
        <v>#N/A</v>
      </c>
      <c r="R505" s="77" t="e">
        <f>VLOOKUP($C505,'Component List'!C$2:D$28,2,FALSE)</f>
        <v>#N/A</v>
      </c>
      <c r="S505" s="77" t="e">
        <f>VLOOKUP($D505,'Component List'!E$2:F$30,2,FALSE)</f>
        <v>#N/A</v>
      </c>
      <c r="T505" s="77" t="e">
        <f>VLOOKUP($E505,'Component List'!G$2:H$30,2,FALSE)</f>
        <v>#N/A</v>
      </c>
      <c r="U505" s="77" t="e">
        <f>VLOOKUP($F505,'Component List'!I$2:J$30,2,FALSE)</f>
        <v>#N/A</v>
      </c>
      <c r="V505" s="77" t="e">
        <f>VLOOKUP(G505,'Component List'!K$2:L$30,2,FALSE)</f>
        <v>#N/A</v>
      </c>
      <c r="W505" s="77" t="e">
        <f>VLOOKUP(H505,'Component List'!M$2:N$31,2,FALSE)</f>
        <v>#N/A</v>
      </c>
      <c r="X505" s="77" t="e">
        <f>VLOOKUP(I505,'Component List'!O$2:P$30,2,FALSE)</f>
        <v>#N/A</v>
      </c>
      <c r="Y505" s="77" t="e">
        <f>VLOOKUP(J505,'Component List'!Q$2:R$30,2,FALSE)</f>
        <v>#N/A</v>
      </c>
      <c r="Z505" s="77" t="e">
        <f>VLOOKUP(K505,'Component List'!S$2:T$30,2,FALSE)</f>
        <v>#N/A</v>
      </c>
      <c r="AA505" s="77" t="e">
        <f>VLOOKUP(L505,'Component List'!U$2:V$30,2,FALSE)</f>
        <v>#N/A</v>
      </c>
      <c r="AB505" s="77" t="e">
        <f>VLOOKUP(M505,'Component List'!AA$2:AB$30,2,FALSE)</f>
        <v>#N/A</v>
      </c>
      <c r="AC505" s="77" t="e">
        <f>VLOOKUP(N505,'Component List'!Y$2:Z$30,2,FALSE)</f>
        <v>#N/A</v>
      </c>
      <c r="AD505" s="159" t="e">
        <f>VLOOKUP(O505,'Component List'!W$3:X$30,2,FALSE)</f>
        <v>#N/A</v>
      </c>
    </row>
    <row r="506" spans="1:30" ht="30" customHeight="1" x14ac:dyDescent="0.3">
      <c r="A506" s="231"/>
      <c r="B506" s="173"/>
      <c r="C506" s="78"/>
      <c r="D506" s="78"/>
      <c r="E506" s="79"/>
      <c r="F506" s="78"/>
      <c r="G506" s="78"/>
      <c r="H506" s="78"/>
      <c r="I506" s="78"/>
      <c r="J506" s="78"/>
      <c r="K506" s="110"/>
      <c r="L506" s="110"/>
      <c r="M506" s="78"/>
      <c r="N506" s="78"/>
      <c r="O506" s="117"/>
      <c r="P506" s="114" t="e">
        <f t="shared" si="6"/>
        <v>#N/A</v>
      </c>
      <c r="Q506" s="77" t="e">
        <f>VLOOKUP($B506,'Component List'!$A$2:$B$30,2,FALSE)</f>
        <v>#N/A</v>
      </c>
      <c r="R506" s="77" t="e">
        <f>VLOOKUP($C506,'Component List'!C$2:D$28,2,FALSE)</f>
        <v>#N/A</v>
      </c>
      <c r="S506" s="77" t="e">
        <f>VLOOKUP($D506,'Component List'!E$2:F$30,2,FALSE)</f>
        <v>#N/A</v>
      </c>
      <c r="T506" s="77" t="e">
        <f>VLOOKUP($E506,'Component List'!G$2:H$30,2,FALSE)</f>
        <v>#N/A</v>
      </c>
      <c r="U506" s="77" t="e">
        <f>VLOOKUP($F506,'Component List'!I$2:J$30,2,FALSE)</f>
        <v>#N/A</v>
      </c>
      <c r="V506" s="77" t="e">
        <f>VLOOKUP(G506,'Component List'!K$2:L$30,2,FALSE)</f>
        <v>#N/A</v>
      </c>
      <c r="W506" s="77" t="e">
        <f>VLOOKUP(H506,'Component List'!M$2:N$31,2,FALSE)</f>
        <v>#N/A</v>
      </c>
      <c r="X506" s="77" t="e">
        <f>VLOOKUP(I506,'Component List'!O$2:P$30,2,FALSE)</f>
        <v>#N/A</v>
      </c>
      <c r="Y506" s="77" t="e">
        <f>VLOOKUP(J506,'Component List'!Q$2:R$30,2,FALSE)</f>
        <v>#N/A</v>
      </c>
      <c r="Z506" s="77" t="e">
        <f>VLOOKUP(K506,'Component List'!S$2:T$30,2,FALSE)</f>
        <v>#N/A</v>
      </c>
      <c r="AA506" s="77" t="e">
        <f>VLOOKUP(L506,'Component List'!U$2:V$30,2,FALSE)</f>
        <v>#N/A</v>
      </c>
      <c r="AB506" s="77" t="e">
        <f>VLOOKUP(M506,'Component List'!AA$2:AB$30,2,FALSE)</f>
        <v>#N/A</v>
      </c>
      <c r="AC506" s="77" t="e">
        <f>VLOOKUP(N506,'Component List'!Y$2:Z$30,2,FALSE)</f>
        <v>#N/A</v>
      </c>
      <c r="AD506" s="159" t="e">
        <f>VLOOKUP(O506,'Component List'!W$3:X$30,2,FALSE)</f>
        <v>#N/A</v>
      </c>
    </row>
    <row r="507" spans="1:30" ht="30" customHeight="1" x14ac:dyDescent="0.3">
      <c r="A507" s="231"/>
      <c r="B507" s="173"/>
      <c r="C507" s="78"/>
      <c r="D507" s="78"/>
      <c r="E507" s="79"/>
      <c r="F507" s="78"/>
      <c r="G507" s="78"/>
      <c r="H507" s="78"/>
      <c r="I507" s="78"/>
      <c r="J507" s="78"/>
      <c r="K507" s="110"/>
      <c r="L507" s="110"/>
      <c r="M507" s="78"/>
      <c r="N507" s="78"/>
      <c r="O507" s="117"/>
      <c r="P507" s="114" t="e">
        <f t="shared" si="6"/>
        <v>#N/A</v>
      </c>
      <c r="Q507" s="77" t="e">
        <f>VLOOKUP($B507,'Component List'!$A$2:$B$30,2,FALSE)</f>
        <v>#N/A</v>
      </c>
      <c r="R507" s="77" t="e">
        <f>VLOOKUP($C507,'Component List'!C$2:D$28,2,FALSE)</f>
        <v>#N/A</v>
      </c>
      <c r="S507" s="77" t="e">
        <f>VLOOKUP($D507,'Component List'!E$2:F$30,2,FALSE)</f>
        <v>#N/A</v>
      </c>
      <c r="T507" s="77" t="e">
        <f>VLOOKUP($E507,'Component List'!G$2:H$30,2,FALSE)</f>
        <v>#N/A</v>
      </c>
      <c r="U507" s="77" t="e">
        <f>VLOOKUP($F507,'Component List'!I$2:J$30,2,FALSE)</f>
        <v>#N/A</v>
      </c>
      <c r="V507" s="77" t="e">
        <f>VLOOKUP(G507,'Component List'!K$2:L$30,2,FALSE)</f>
        <v>#N/A</v>
      </c>
      <c r="W507" s="77" t="e">
        <f>VLOOKUP(H507,'Component List'!M$2:N$31,2,FALSE)</f>
        <v>#N/A</v>
      </c>
      <c r="X507" s="77" t="e">
        <f>VLOOKUP(I507,'Component List'!O$2:P$30,2,FALSE)</f>
        <v>#N/A</v>
      </c>
      <c r="Y507" s="77" t="e">
        <f>VLOOKUP(J507,'Component List'!Q$2:R$30,2,FALSE)</f>
        <v>#N/A</v>
      </c>
      <c r="Z507" s="77" t="e">
        <f>VLOOKUP(K507,'Component List'!S$2:T$30,2,FALSE)</f>
        <v>#N/A</v>
      </c>
      <c r="AA507" s="77" t="e">
        <f>VLOOKUP(L507,'Component List'!U$2:V$30,2,FALSE)</f>
        <v>#N/A</v>
      </c>
      <c r="AB507" s="77" t="e">
        <f>VLOOKUP(M507,'Component List'!AA$2:AB$30,2,FALSE)</f>
        <v>#N/A</v>
      </c>
      <c r="AC507" s="77" t="e">
        <f>VLOOKUP(N507,'Component List'!Y$2:Z$30,2,FALSE)</f>
        <v>#N/A</v>
      </c>
      <c r="AD507" s="159" t="e">
        <f>VLOOKUP(O507,'Component List'!W$3:X$30,2,FALSE)</f>
        <v>#N/A</v>
      </c>
    </row>
    <row r="508" spans="1:30" ht="30" customHeight="1" x14ac:dyDescent="0.3">
      <c r="A508" s="231"/>
      <c r="B508" s="173"/>
      <c r="C508" s="78"/>
      <c r="D508" s="78"/>
      <c r="E508" s="79"/>
      <c r="F508" s="78"/>
      <c r="G508" s="78"/>
      <c r="H508" s="78"/>
      <c r="I508" s="78"/>
      <c r="J508" s="78"/>
      <c r="K508" s="110"/>
      <c r="L508" s="110"/>
      <c r="M508" s="78"/>
      <c r="N508" s="78"/>
      <c r="O508" s="117"/>
      <c r="P508" s="114" t="e">
        <f t="shared" si="6"/>
        <v>#N/A</v>
      </c>
      <c r="Q508" s="77" t="e">
        <f>VLOOKUP($B508,'Component List'!$A$2:$B$30,2,FALSE)</f>
        <v>#N/A</v>
      </c>
      <c r="R508" s="77" t="e">
        <f>VLOOKUP($C508,'Component List'!C$2:D$28,2,FALSE)</f>
        <v>#N/A</v>
      </c>
      <c r="S508" s="77" t="e">
        <f>VLOOKUP($D508,'Component List'!E$2:F$30,2,FALSE)</f>
        <v>#N/A</v>
      </c>
      <c r="T508" s="77" t="e">
        <f>VLOOKUP($E508,'Component List'!G$2:H$30,2,FALSE)</f>
        <v>#N/A</v>
      </c>
      <c r="U508" s="77" t="e">
        <f>VLOOKUP($F508,'Component List'!I$2:J$30,2,FALSE)</f>
        <v>#N/A</v>
      </c>
      <c r="V508" s="77" t="e">
        <f>VLOOKUP(G508,'Component List'!K$2:L$30,2,FALSE)</f>
        <v>#N/A</v>
      </c>
      <c r="W508" s="77" t="e">
        <f>VLOOKUP(H508,'Component List'!M$2:N$31,2,FALSE)</f>
        <v>#N/A</v>
      </c>
      <c r="X508" s="77" t="e">
        <f>VLOOKUP(I508,'Component List'!O$2:P$30,2,FALSE)</f>
        <v>#N/A</v>
      </c>
      <c r="Y508" s="77" t="e">
        <f>VLOOKUP(J508,'Component List'!Q$2:R$30,2,FALSE)</f>
        <v>#N/A</v>
      </c>
      <c r="Z508" s="77" t="e">
        <f>VLOOKUP(K508,'Component List'!S$2:T$30,2,FALSE)</f>
        <v>#N/A</v>
      </c>
      <c r="AA508" s="77" t="e">
        <f>VLOOKUP(L508,'Component List'!U$2:V$30,2,FALSE)</f>
        <v>#N/A</v>
      </c>
      <c r="AB508" s="77" t="e">
        <f>VLOOKUP(M508,'Component List'!AA$2:AB$30,2,FALSE)</f>
        <v>#N/A</v>
      </c>
      <c r="AC508" s="77" t="e">
        <f>VLOOKUP(N508,'Component List'!Y$2:Z$30,2,FALSE)</f>
        <v>#N/A</v>
      </c>
      <c r="AD508" s="159" t="e">
        <f>VLOOKUP(O508,'Component List'!W$3:X$30,2,FALSE)</f>
        <v>#N/A</v>
      </c>
    </row>
    <row r="509" spans="1:30" ht="30" customHeight="1" x14ac:dyDescent="0.3">
      <c r="A509" s="231"/>
      <c r="B509" s="173"/>
      <c r="C509" s="78"/>
      <c r="D509" s="78"/>
      <c r="E509" s="79"/>
      <c r="F509" s="78"/>
      <c r="G509" s="78"/>
      <c r="H509" s="78"/>
      <c r="I509" s="78"/>
      <c r="J509" s="78"/>
      <c r="K509" s="110"/>
      <c r="L509" s="110"/>
      <c r="M509" s="78"/>
      <c r="N509" s="78"/>
      <c r="O509" s="117"/>
      <c r="P509" s="114" t="e">
        <f t="shared" si="6"/>
        <v>#N/A</v>
      </c>
      <c r="Q509" s="77" t="e">
        <f>VLOOKUP($B509,'Component List'!$A$2:$B$30,2,FALSE)</f>
        <v>#N/A</v>
      </c>
      <c r="R509" s="77" t="e">
        <f>VLOOKUP($C509,'Component List'!C$2:D$28,2,FALSE)</f>
        <v>#N/A</v>
      </c>
      <c r="S509" s="77" t="e">
        <f>VLOOKUP($D509,'Component List'!E$2:F$30,2,FALSE)</f>
        <v>#N/A</v>
      </c>
      <c r="T509" s="77" t="e">
        <f>VLOOKUP($E509,'Component List'!G$2:H$30,2,FALSE)</f>
        <v>#N/A</v>
      </c>
      <c r="U509" s="77" t="e">
        <f>VLOOKUP($F509,'Component List'!I$2:J$30,2,FALSE)</f>
        <v>#N/A</v>
      </c>
      <c r="V509" s="77" t="e">
        <f>VLOOKUP(G509,'Component List'!K$2:L$30,2,FALSE)</f>
        <v>#N/A</v>
      </c>
      <c r="W509" s="77" t="e">
        <f>VLOOKUP(H509,'Component List'!M$2:N$31,2,FALSE)</f>
        <v>#N/A</v>
      </c>
      <c r="X509" s="77" t="e">
        <f>VLOOKUP(I509,'Component List'!O$2:P$30,2,FALSE)</f>
        <v>#N/A</v>
      </c>
      <c r="Y509" s="77" t="e">
        <f>VLOOKUP(J509,'Component List'!Q$2:R$30,2,FALSE)</f>
        <v>#N/A</v>
      </c>
      <c r="Z509" s="77" t="e">
        <f>VLOOKUP(K509,'Component List'!S$2:T$30,2,FALSE)</f>
        <v>#N/A</v>
      </c>
      <c r="AA509" s="77" t="e">
        <f>VLOOKUP(L509,'Component List'!U$2:V$30,2,FALSE)</f>
        <v>#N/A</v>
      </c>
      <c r="AB509" s="77" t="e">
        <f>VLOOKUP(M509,'Component List'!AA$2:AB$30,2,FALSE)</f>
        <v>#N/A</v>
      </c>
      <c r="AC509" s="77" t="e">
        <f>VLOOKUP(N509,'Component List'!Y$2:Z$30,2,FALSE)</f>
        <v>#N/A</v>
      </c>
      <c r="AD509" s="159" t="e">
        <f>VLOOKUP(O509,'Component List'!W$3:X$30,2,FALSE)</f>
        <v>#N/A</v>
      </c>
    </row>
    <row r="510" spans="1:30" ht="30" customHeight="1" x14ac:dyDescent="0.3">
      <c r="A510" s="231"/>
      <c r="B510" s="173"/>
      <c r="C510" s="78"/>
      <c r="D510" s="78"/>
      <c r="E510" s="79"/>
      <c r="F510" s="78"/>
      <c r="G510" s="78"/>
      <c r="H510" s="78"/>
      <c r="I510" s="78"/>
      <c r="J510" s="78"/>
      <c r="K510" s="110"/>
      <c r="L510" s="110"/>
      <c r="M510" s="78"/>
      <c r="N510" s="78"/>
      <c r="O510" s="117"/>
      <c r="P510" s="114" t="e">
        <f t="shared" si="6"/>
        <v>#N/A</v>
      </c>
      <c r="Q510" s="77" t="e">
        <f>VLOOKUP($B510,'Component List'!$A$2:$B$30,2,FALSE)</f>
        <v>#N/A</v>
      </c>
      <c r="R510" s="77" t="e">
        <f>VLOOKUP($C510,'Component List'!C$2:D$28,2,FALSE)</f>
        <v>#N/A</v>
      </c>
      <c r="S510" s="77" t="e">
        <f>VLOOKUP($D510,'Component List'!E$2:F$30,2,FALSE)</f>
        <v>#N/A</v>
      </c>
      <c r="T510" s="77" t="e">
        <f>VLOOKUP($E510,'Component List'!G$2:H$30,2,FALSE)</f>
        <v>#N/A</v>
      </c>
      <c r="U510" s="77" t="e">
        <f>VLOOKUP($F510,'Component List'!I$2:J$30,2,FALSE)</f>
        <v>#N/A</v>
      </c>
      <c r="V510" s="77" t="e">
        <f>VLOOKUP(G510,'Component List'!K$2:L$30,2,FALSE)</f>
        <v>#N/A</v>
      </c>
      <c r="W510" s="77" t="e">
        <f>VLOOKUP(H510,'Component List'!M$2:N$31,2,FALSE)</f>
        <v>#N/A</v>
      </c>
      <c r="X510" s="77" t="e">
        <f>VLOOKUP(I510,'Component List'!O$2:P$30,2,FALSE)</f>
        <v>#N/A</v>
      </c>
      <c r="Y510" s="77" t="e">
        <f>VLOOKUP(J510,'Component List'!Q$2:R$30,2,FALSE)</f>
        <v>#N/A</v>
      </c>
      <c r="Z510" s="77" t="e">
        <f>VLOOKUP(K510,'Component List'!S$2:T$30,2,FALSE)</f>
        <v>#N/A</v>
      </c>
      <c r="AA510" s="77" t="e">
        <f>VLOOKUP(L510,'Component List'!U$2:V$30,2,FALSE)</f>
        <v>#N/A</v>
      </c>
      <c r="AB510" s="77" t="e">
        <f>VLOOKUP(M510,'Component List'!AA$2:AB$30,2,FALSE)</f>
        <v>#N/A</v>
      </c>
      <c r="AC510" s="77" t="e">
        <f>VLOOKUP(N510,'Component List'!Y$2:Z$30,2,FALSE)</f>
        <v>#N/A</v>
      </c>
      <c r="AD510" s="159" t="e">
        <f>VLOOKUP(O510,'Component List'!W$3:X$30,2,FALSE)</f>
        <v>#N/A</v>
      </c>
    </row>
    <row r="511" spans="1:30" ht="30" customHeight="1" x14ac:dyDescent="0.3">
      <c r="A511" s="231"/>
      <c r="B511" s="173"/>
      <c r="C511" s="78"/>
      <c r="D511" s="78"/>
      <c r="E511" s="79"/>
      <c r="F511" s="78"/>
      <c r="G511" s="78"/>
      <c r="H511" s="78"/>
      <c r="I511" s="78"/>
      <c r="J511" s="78"/>
      <c r="K511" s="110"/>
      <c r="L511" s="110"/>
      <c r="M511" s="78"/>
      <c r="N511" s="78"/>
      <c r="O511" s="117"/>
      <c r="P511" s="114" t="e">
        <f t="shared" si="6"/>
        <v>#N/A</v>
      </c>
      <c r="Q511" s="77" t="e">
        <f>VLOOKUP($B511,'Component List'!$A$2:$B$30,2,FALSE)</f>
        <v>#N/A</v>
      </c>
      <c r="R511" s="77" t="e">
        <f>VLOOKUP($C511,'Component List'!C$2:D$28,2,FALSE)</f>
        <v>#N/A</v>
      </c>
      <c r="S511" s="77" t="e">
        <f>VLOOKUP($D511,'Component List'!E$2:F$30,2,FALSE)</f>
        <v>#N/A</v>
      </c>
      <c r="T511" s="77" t="e">
        <f>VLOOKUP($E511,'Component List'!G$2:H$30,2,FALSE)</f>
        <v>#N/A</v>
      </c>
      <c r="U511" s="77" t="e">
        <f>VLOOKUP($F511,'Component List'!I$2:J$30,2,FALSE)</f>
        <v>#N/A</v>
      </c>
      <c r="V511" s="77" t="e">
        <f>VLOOKUP(G511,'Component List'!K$2:L$30,2,FALSE)</f>
        <v>#N/A</v>
      </c>
      <c r="W511" s="77" t="e">
        <f>VLOOKUP(H511,'Component List'!M$2:N$31,2,FALSE)</f>
        <v>#N/A</v>
      </c>
      <c r="X511" s="77" t="e">
        <f>VLOOKUP(I511,'Component List'!O$2:P$30,2,FALSE)</f>
        <v>#N/A</v>
      </c>
      <c r="Y511" s="77" t="e">
        <f>VLOOKUP(J511,'Component List'!Q$2:R$30,2,FALSE)</f>
        <v>#N/A</v>
      </c>
      <c r="Z511" s="77" t="e">
        <f>VLOOKUP(K511,'Component List'!S$2:T$30,2,FALSE)</f>
        <v>#N/A</v>
      </c>
      <c r="AA511" s="77" t="e">
        <f>VLOOKUP(L511,'Component List'!U$2:V$30,2,FALSE)</f>
        <v>#N/A</v>
      </c>
      <c r="AB511" s="77" t="e">
        <f>VLOOKUP(M511,'Component List'!AA$2:AB$30,2,FALSE)</f>
        <v>#N/A</v>
      </c>
      <c r="AC511" s="77" t="e">
        <f>VLOOKUP(N511,'Component List'!Y$2:Z$30,2,FALSE)</f>
        <v>#N/A</v>
      </c>
      <c r="AD511" s="159" t="e">
        <f>VLOOKUP(O511,'Component List'!W$3:X$30,2,FALSE)</f>
        <v>#N/A</v>
      </c>
    </row>
    <row r="512" spans="1:30" ht="30" customHeight="1" x14ac:dyDescent="0.3">
      <c r="A512" s="231"/>
      <c r="B512" s="173"/>
      <c r="C512" s="78"/>
      <c r="D512" s="78"/>
      <c r="E512" s="79"/>
      <c r="F512" s="78"/>
      <c r="G512" s="78"/>
      <c r="H512" s="78"/>
      <c r="I512" s="78"/>
      <c r="J512" s="78"/>
      <c r="K512" s="110"/>
      <c r="L512" s="110"/>
      <c r="M512" s="78"/>
      <c r="N512" s="78"/>
      <c r="O512" s="117"/>
      <c r="P512" s="114" t="e">
        <f t="shared" si="6"/>
        <v>#N/A</v>
      </c>
      <c r="Q512" s="77" t="e">
        <f>VLOOKUP($B512,'Component List'!$A$2:$B$30,2,FALSE)</f>
        <v>#N/A</v>
      </c>
      <c r="R512" s="77" t="e">
        <f>VLOOKUP($C512,'Component List'!C$2:D$28,2,FALSE)</f>
        <v>#N/A</v>
      </c>
      <c r="S512" s="77" t="e">
        <f>VLOOKUP($D512,'Component List'!E$2:F$30,2,FALSE)</f>
        <v>#N/A</v>
      </c>
      <c r="T512" s="77" t="e">
        <f>VLOOKUP($E512,'Component List'!G$2:H$30,2,FALSE)</f>
        <v>#N/A</v>
      </c>
      <c r="U512" s="77" t="e">
        <f>VLOOKUP($F512,'Component List'!I$2:J$30,2,FALSE)</f>
        <v>#N/A</v>
      </c>
      <c r="V512" s="77" t="e">
        <f>VLOOKUP(G512,'Component List'!K$2:L$30,2,FALSE)</f>
        <v>#N/A</v>
      </c>
      <c r="W512" s="77" t="e">
        <f>VLOOKUP(H512,'Component List'!M$2:N$31,2,FALSE)</f>
        <v>#N/A</v>
      </c>
      <c r="X512" s="77" t="e">
        <f>VLOOKUP(I512,'Component List'!O$2:P$30,2,FALSE)</f>
        <v>#N/A</v>
      </c>
      <c r="Y512" s="77" t="e">
        <f>VLOOKUP(J512,'Component List'!Q$2:R$30,2,FALSE)</f>
        <v>#N/A</v>
      </c>
      <c r="Z512" s="77" t="e">
        <f>VLOOKUP(K512,'Component List'!S$2:T$30,2,FALSE)</f>
        <v>#N/A</v>
      </c>
      <c r="AA512" s="77" t="e">
        <f>VLOOKUP(L512,'Component List'!U$2:V$30,2,FALSE)</f>
        <v>#N/A</v>
      </c>
      <c r="AB512" s="77" t="e">
        <f>VLOOKUP(M512,'Component List'!AA$2:AB$30,2,FALSE)</f>
        <v>#N/A</v>
      </c>
      <c r="AC512" s="77" t="e">
        <f>VLOOKUP(N512,'Component List'!Y$2:Z$30,2,FALSE)</f>
        <v>#N/A</v>
      </c>
      <c r="AD512" s="159" t="e">
        <f>VLOOKUP(O512,'Component List'!W$3:X$30,2,FALSE)</f>
        <v>#N/A</v>
      </c>
    </row>
    <row r="513" spans="1:30" ht="30" customHeight="1" x14ac:dyDescent="0.3">
      <c r="A513" s="231"/>
      <c r="B513" s="173"/>
      <c r="C513" s="78"/>
      <c r="D513" s="78"/>
      <c r="E513" s="79"/>
      <c r="F513" s="78"/>
      <c r="G513" s="78"/>
      <c r="H513" s="78"/>
      <c r="I513" s="78"/>
      <c r="J513" s="78"/>
      <c r="K513" s="110"/>
      <c r="L513" s="110"/>
      <c r="M513" s="78"/>
      <c r="N513" s="78"/>
      <c r="O513" s="117"/>
      <c r="P513" s="114" t="e">
        <f t="shared" si="6"/>
        <v>#N/A</v>
      </c>
      <c r="Q513" s="77" t="e">
        <f>VLOOKUP($B513,'Component List'!$A$2:$B$30,2,FALSE)</f>
        <v>#N/A</v>
      </c>
      <c r="R513" s="77" t="e">
        <f>VLOOKUP($C513,'Component List'!C$2:D$28,2,FALSE)</f>
        <v>#N/A</v>
      </c>
      <c r="S513" s="77" t="e">
        <f>VLOOKUP($D513,'Component List'!E$2:F$30,2,FALSE)</f>
        <v>#N/A</v>
      </c>
      <c r="T513" s="77" t="e">
        <f>VLOOKUP($E513,'Component List'!G$2:H$30,2,FALSE)</f>
        <v>#N/A</v>
      </c>
      <c r="U513" s="77" t="e">
        <f>VLOOKUP($F513,'Component List'!I$2:J$30,2,FALSE)</f>
        <v>#N/A</v>
      </c>
      <c r="V513" s="77" t="e">
        <f>VLOOKUP(G513,'Component List'!K$2:L$30,2,FALSE)</f>
        <v>#N/A</v>
      </c>
      <c r="W513" s="77" t="e">
        <f>VLOOKUP(H513,'Component List'!M$2:N$31,2,FALSE)</f>
        <v>#N/A</v>
      </c>
      <c r="X513" s="77" t="e">
        <f>VLOOKUP(I513,'Component List'!O$2:P$30,2,FALSE)</f>
        <v>#N/A</v>
      </c>
      <c r="Y513" s="77" t="e">
        <f>VLOOKUP(J513,'Component List'!Q$2:R$30,2,FALSE)</f>
        <v>#N/A</v>
      </c>
      <c r="Z513" s="77" t="e">
        <f>VLOOKUP(K513,'Component List'!S$2:T$30,2,FALSE)</f>
        <v>#N/A</v>
      </c>
      <c r="AA513" s="77" t="e">
        <f>VLOOKUP(L513,'Component List'!U$2:V$30,2,FALSE)</f>
        <v>#N/A</v>
      </c>
      <c r="AB513" s="77" t="e">
        <f>VLOOKUP(M513,'Component List'!AA$2:AB$30,2,FALSE)</f>
        <v>#N/A</v>
      </c>
      <c r="AC513" s="77" t="e">
        <f>VLOOKUP(N513,'Component List'!Y$2:Z$30,2,FALSE)</f>
        <v>#N/A</v>
      </c>
      <c r="AD513" s="159" t="e">
        <f>VLOOKUP(O513,'Component List'!W$3:X$30,2,FALSE)</f>
        <v>#N/A</v>
      </c>
    </row>
    <row r="514" spans="1:30" ht="30" customHeight="1" x14ac:dyDescent="0.3">
      <c r="A514" s="231"/>
      <c r="B514" s="173"/>
      <c r="C514" s="78"/>
      <c r="D514" s="78"/>
      <c r="E514" s="79"/>
      <c r="F514" s="78"/>
      <c r="G514" s="78"/>
      <c r="H514" s="78"/>
      <c r="I514" s="78"/>
      <c r="J514" s="78"/>
      <c r="K514" s="110"/>
      <c r="L514" s="110"/>
      <c r="M514" s="78"/>
      <c r="N514" s="78"/>
      <c r="O514" s="117"/>
      <c r="P514" s="114" t="e">
        <f t="shared" si="6"/>
        <v>#N/A</v>
      </c>
      <c r="Q514" s="77" t="e">
        <f>VLOOKUP($B514,'Component List'!$A$2:$B$30,2,FALSE)</f>
        <v>#N/A</v>
      </c>
      <c r="R514" s="77" t="e">
        <f>VLOOKUP($C514,'Component List'!C$2:D$28,2,FALSE)</f>
        <v>#N/A</v>
      </c>
      <c r="S514" s="77" t="e">
        <f>VLOOKUP($D514,'Component List'!E$2:F$30,2,FALSE)</f>
        <v>#N/A</v>
      </c>
      <c r="T514" s="77" t="e">
        <f>VLOOKUP($E514,'Component List'!G$2:H$30,2,FALSE)</f>
        <v>#N/A</v>
      </c>
      <c r="U514" s="77" t="e">
        <f>VLOOKUP($F514,'Component List'!I$2:J$30,2,FALSE)</f>
        <v>#N/A</v>
      </c>
      <c r="V514" s="77" t="e">
        <f>VLOOKUP(G514,'Component List'!K$2:L$30,2,FALSE)</f>
        <v>#N/A</v>
      </c>
      <c r="W514" s="77" t="e">
        <f>VLOOKUP(H514,'Component List'!M$2:N$31,2,FALSE)</f>
        <v>#N/A</v>
      </c>
      <c r="X514" s="77" t="e">
        <f>VLOOKUP(I514,'Component List'!O$2:P$30,2,FALSE)</f>
        <v>#N/A</v>
      </c>
      <c r="Y514" s="77" t="e">
        <f>VLOOKUP(J514,'Component List'!Q$2:R$30,2,FALSE)</f>
        <v>#N/A</v>
      </c>
      <c r="Z514" s="77" t="e">
        <f>VLOOKUP(K514,'Component List'!S$2:T$30,2,FALSE)</f>
        <v>#N/A</v>
      </c>
      <c r="AA514" s="77" t="e">
        <f>VLOOKUP(L514,'Component List'!U$2:V$30,2,FALSE)</f>
        <v>#N/A</v>
      </c>
      <c r="AB514" s="77" t="e">
        <f>VLOOKUP(M514,'Component List'!AA$2:AB$30,2,FALSE)</f>
        <v>#N/A</v>
      </c>
      <c r="AC514" s="77" t="e">
        <f>VLOOKUP(N514,'Component List'!Y$2:Z$30,2,FALSE)</f>
        <v>#N/A</v>
      </c>
      <c r="AD514" s="159" t="e">
        <f>VLOOKUP(O514,'Component List'!W$3:X$30,2,FALSE)</f>
        <v>#N/A</v>
      </c>
    </row>
    <row r="515" spans="1:30" ht="30" customHeight="1" x14ac:dyDescent="0.3">
      <c r="A515" s="231"/>
      <c r="B515" s="173"/>
      <c r="C515" s="78"/>
      <c r="D515" s="78"/>
      <c r="E515" s="79"/>
      <c r="F515" s="78"/>
      <c r="G515" s="78"/>
      <c r="H515" s="78"/>
      <c r="I515" s="78"/>
      <c r="J515" s="78"/>
      <c r="K515" s="110"/>
      <c r="L515" s="110"/>
      <c r="M515" s="78"/>
      <c r="N515" s="78"/>
      <c r="O515" s="117"/>
      <c r="P515" s="114" t="e">
        <f t="shared" si="6"/>
        <v>#N/A</v>
      </c>
      <c r="Q515" s="77" t="e">
        <f>VLOOKUP($B515,'Component List'!$A$2:$B$30,2,FALSE)</f>
        <v>#N/A</v>
      </c>
      <c r="R515" s="77" t="e">
        <f>VLOOKUP($C515,'Component List'!C$2:D$28,2,FALSE)</f>
        <v>#N/A</v>
      </c>
      <c r="S515" s="77" t="e">
        <f>VLOOKUP($D515,'Component List'!E$2:F$30,2,FALSE)</f>
        <v>#N/A</v>
      </c>
      <c r="T515" s="77" t="e">
        <f>VLOOKUP($E515,'Component List'!G$2:H$30,2,FALSE)</f>
        <v>#N/A</v>
      </c>
      <c r="U515" s="77" t="e">
        <f>VLOOKUP($F515,'Component List'!I$2:J$30,2,FALSE)</f>
        <v>#N/A</v>
      </c>
      <c r="V515" s="77" t="e">
        <f>VLOOKUP(G515,'Component List'!K$2:L$30,2,FALSE)</f>
        <v>#N/A</v>
      </c>
      <c r="W515" s="77" t="e">
        <f>VLOOKUP(H515,'Component List'!M$2:N$31,2,FALSE)</f>
        <v>#N/A</v>
      </c>
      <c r="X515" s="77" t="e">
        <f>VLOOKUP(I515,'Component List'!O$2:P$30,2,FALSE)</f>
        <v>#N/A</v>
      </c>
      <c r="Y515" s="77" t="e">
        <f>VLOOKUP(J515,'Component List'!Q$2:R$30,2,FALSE)</f>
        <v>#N/A</v>
      </c>
      <c r="Z515" s="77" t="e">
        <f>VLOOKUP(K515,'Component List'!S$2:T$30,2,FALSE)</f>
        <v>#N/A</v>
      </c>
      <c r="AA515" s="77" t="e">
        <f>VLOOKUP(L515,'Component List'!U$2:V$30,2,FALSE)</f>
        <v>#N/A</v>
      </c>
      <c r="AB515" s="77" t="e">
        <f>VLOOKUP(M515,'Component List'!AA$2:AB$30,2,FALSE)</f>
        <v>#N/A</v>
      </c>
      <c r="AC515" s="77" t="e">
        <f>VLOOKUP(N515,'Component List'!Y$2:Z$30,2,FALSE)</f>
        <v>#N/A</v>
      </c>
      <c r="AD515" s="159" t="e">
        <f>VLOOKUP(O515,'Component List'!W$3:X$30,2,FALSE)</f>
        <v>#N/A</v>
      </c>
    </row>
    <row r="516" spans="1:30" ht="30" customHeight="1" x14ac:dyDescent="0.3">
      <c r="A516" s="231"/>
      <c r="B516" s="173"/>
      <c r="C516" s="78"/>
      <c r="D516" s="78"/>
      <c r="E516" s="79"/>
      <c r="F516" s="78"/>
      <c r="G516" s="78"/>
      <c r="H516" s="78"/>
      <c r="I516" s="78"/>
      <c r="J516" s="78"/>
      <c r="K516" s="110"/>
      <c r="L516" s="110"/>
      <c r="M516" s="78"/>
      <c r="N516" s="78"/>
      <c r="O516" s="117"/>
      <c r="P516" s="114" t="e">
        <f t="shared" si="6"/>
        <v>#N/A</v>
      </c>
      <c r="Q516" s="77" t="e">
        <f>VLOOKUP($B516,'Component List'!$A$2:$B$30,2,FALSE)</f>
        <v>#N/A</v>
      </c>
      <c r="R516" s="77" t="e">
        <f>VLOOKUP($C516,'Component List'!C$2:D$28,2,FALSE)</f>
        <v>#N/A</v>
      </c>
      <c r="S516" s="77" t="e">
        <f>VLOOKUP($D516,'Component List'!E$2:F$30,2,FALSE)</f>
        <v>#N/A</v>
      </c>
      <c r="T516" s="77" t="e">
        <f>VLOOKUP($E516,'Component List'!G$2:H$30,2,FALSE)</f>
        <v>#N/A</v>
      </c>
      <c r="U516" s="77" t="e">
        <f>VLOOKUP($F516,'Component List'!I$2:J$30,2,FALSE)</f>
        <v>#N/A</v>
      </c>
      <c r="V516" s="77" t="e">
        <f>VLOOKUP(G516,'Component List'!K$2:L$30,2,FALSE)</f>
        <v>#N/A</v>
      </c>
      <c r="W516" s="77" t="e">
        <f>VLOOKUP(H516,'Component List'!M$2:N$31,2,FALSE)</f>
        <v>#N/A</v>
      </c>
      <c r="X516" s="77" t="e">
        <f>VLOOKUP(I516,'Component List'!O$2:P$30,2,FALSE)</f>
        <v>#N/A</v>
      </c>
      <c r="Y516" s="77" t="e">
        <f>VLOOKUP(J516,'Component List'!Q$2:R$30,2,FALSE)</f>
        <v>#N/A</v>
      </c>
      <c r="Z516" s="77" t="e">
        <f>VLOOKUP(K516,'Component List'!S$2:T$30,2,FALSE)</f>
        <v>#N/A</v>
      </c>
      <c r="AA516" s="77" t="e">
        <f>VLOOKUP(L516,'Component List'!U$2:V$30,2,FALSE)</f>
        <v>#N/A</v>
      </c>
      <c r="AB516" s="77" t="e">
        <f>VLOOKUP(M516,'Component List'!AA$2:AB$30,2,FALSE)</f>
        <v>#N/A</v>
      </c>
      <c r="AC516" s="77" t="e">
        <f>VLOOKUP(N516,'Component List'!Y$2:Z$30,2,FALSE)</f>
        <v>#N/A</v>
      </c>
      <c r="AD516" s="159" t="e">
        <f>VLOOKUP(O516,'Component List'!W$3:X$30,2,FALSE)</f>
        <v>#N/A</v>
      </c>
    </row>
    <row r="517" spans="1:30" ht="30" customHeight="1" x14ac:dyDescent="0.3">
      <c r="A517" s="231"/>
      <c r="B517" s="173"/>
      <c r="C517" s="78"/>
      <c r="D517" s="78"/>
      <c r="E517" s="79"/>
      <c r="F517" s="78"/>
      <c r="G517" s="78"/>
      <c r="H517" s="78"/>
      <c r="I517" s="78"/>
      <c r="J517" s="78"/>
      <c r="K517" s="110"/>
      <c r="L517" s="110"/>
      <c r="M517" s="78"/>
      <c r="N517" s="78"/>
      <c r="O517" s="117"/>
      <c r="P517" s="114" t="e">
        <f t="shared" si="6"/>
        <v>#N/A</v>
      </c>
      <c r="Q517" s="77" t="e">
        <f>VLOOKUP($B517,'Component List'!$A$2:$B$30,2,FALSE)</f>
        <v>#N/A</v>
      </c>
      <c r="R517" s="77" t="e">
        <f>VLOOKUP($C517,'Component List'!C$2:D$28,2,FALSE)</f>
        <v>#N/A</v>
      </c>
      <c r="S517" s="77" t="e">
        <f>VLOOKUP($D517,'Component List'!E$2:F$30,2,FALSE)</f>
        <v>#N/A</v>
      </c>
      <c r="T517" s="77" t="e">
        <f>VLOOKUP($E517,'Component List'!G$2:H$30,2,FALSE)</f>
        <v>#N/A</v>
      </c>
      <c r="U517" s="77" t="e">
        <f>VLOOKUP($F517,'Component List'!I$2:J$30,2,FALSE)</f>
        <v>#N/A</v>
      </c>
      <c r="V517" s="77" t="e">
        <f>VLOOKUP(G517,'Component List'!K$2:L$30,2,FALSE)</f>
        <v>#N/A</v>
      </c>
      <c r="W517" s="77" t="e">
        <f>VLOOKUP(H517,'Component List'!M$2:N$31,2,FALSE)</f>
        <v>#N/A</v>
      </c>
      <c r="X517" s="77" t="e">
        <f>VLOOKUP(I517,'Component List'!O$2:P$30,2,FALSE)</f>
        <v>#N/A</v>
      </c>
      <c r="Y517" s="77" t="e">
        <f>VLOOKUP(J517,'Component List'!Q$2:R$30,2,FALSE)</f>
        <v>#N/A</v>
      </c>
      <c r="Z517" s="77" t="e">
        <f>VLOOKUP(K517,'Component List'!S$2:T$30,2,FALSE)</f>
        <v>#N/A</v>
      </c>
      <c r="AA517" s="77" t="e">
        <f>VLOOKUP(L517,'Component List'!U$2:V$30,2,FALSE)</f>
        <v>#N/A</v>
      </c>
      <c r="AB517" s="77" t="e">
        <f>VLOOKUP(M517,'Component List'!AA$2:AB$30,2,FALSE)</f>
        <v>#N/A</v>
      </c>
      <c r="AC517" s="77" t="e">
        <f>VLOOKUP(N517,'Component List'!Y$2:Z$30,2,FALSE)</f>
        <v>#N/A</v>
      </c>
      <c r="AD517" s="159" t="e">
        <f>VLOOKUP(O517,'Component List'!W$3:X$30,2,FALSE)</f>
        <v>#N/A</v>
      </c>
    </row>
    <row r="518" spans="1:30" ht="30" customHeight="1" x14ac:dyDescent="0.3">
      <c r="A518" s="231"/>
      <c r="B518" s="173"/>
      <c r="C518" s="78"/>
      <c r="D518" s="78"/>
      <c r="E518" s="79"/>
      <c r="F518" s="78"/>
      <c r="G518" s="78"/>
      <c r="H518" s="78"/>
      <c r="I518" s="78"/>
      <c r="J518" s="78"/>
      <c r="K518" s="110"/>
      <c r="L518" s="110"/>
      <c r="M518" s="78"/>
      <c r="N518" s="78"/>
      <c r="O518" s="117"/>
      <c r="P518" s="114" t="e">
        <f t="shared" si="6"/>
        <v>#N/A</v>
      </c>
      <c r="Q518" s="77" t="e">
        <f>VLOOKUP($B518,'Component List'!$A$2:$B$30,2,FALSE)</f>
        <v>#N/A</v>
      </c>
      <c r="R518" s="77" t="e">
        <f>VLOOKUP($C518,'Component List'!C$2:D$28,2,FALSE)</f>
        <v>#N/A</v>
      </c>
      <c r="S518" s="77" t="e">
        <f>VLOOKUP($D518,'Component List'!E$2:F$30,2,FALSE)</f>
        <v>#N/A</v>
      </c>
      <c r="T518" s="77" t="e">
        <f>VLOOKUP($E518,'Component List'!G$2:H$30,2,FALSE)</f>
        <v>#N/A</v>
      </c>
      <c r="U518" s="77" t="e">
        <f>VLOOKUP($F518,'Component List'!I$2:J$30,2,FALSE)</f>
        <v>#N/A</v>
      </c>
      <c r="V518" s="77" t="e">
        <f>VLOOKUP(G518,'Component List'!K$2:L$30,2,FALSE)</f>
        <v>#N/A</v>
      </c>
      <c r="W518" s="77" t="e">
        <f>VLOOKUP(H518,'Component List'!M$2:N$31,2,FALSE)</f>
        <v>#N/A</v>
      </c>
      <c r="X518" s="77" t="e">
        <f>VLOOKUP(I518,'Component List'!O$2:P$30,2,FALSE)</f>
        <v>#N/A</v>
      </c>
      <c r="Y518" s="77" t="e">
        <f>VLOOKUP(J518,'Component List'!Q$2:R$30,2,FALSE)</f>
        <v>#N/A</v>
      </c>
      <c r="Z518" s="77" t="e">
        <f>VLOOKUP(K518,'Component List'!S$2:T$30,2,FALSE)</f>
        <v>#N/A</v>
      </c>
      <c r="AA518" s="77" t="e">
        <f>VLOOKUP(L518,'Component List'!U$2:V$30,2,FALSE)</f>
        <v>#N/A</v>
      </c>
      <c r="AB518" s="77" t="e">
        <f>VLOOKUP(M518,'Component List'!AA$2:AB$30,2,FALSE)</f>
        <v>#N/A</v>
      </c>
      <c r="AC518" s="77" t="e">
        <f>VLOOKUP(N518,'Component List'!Y$2:Z$30,2,FALSE)</f>
        <v>#N/A</v>
      </c>
      <c r="AD518" s="159" t="e">
        <f>VLOOKUP(O518,'Component List'!W$3:X$30,2,FALSE)</f>
        <v>#N/A</v>
      </c>
    </row>
    <row r="519" spans="1:30" ht="30" customHeight="1" x14ac:dyDescent="0.3">
      <c r="A519" s="231"/>
      <c r="B519" s="173"/>
      <c r="C519" s="78"/>
      <c r="D519" s="78"/>
      <c r="E519" s="79"/>
      <c r="F519" s="78"/>
      <c r="G519" s="78"/>
      <c r="H519" s="78"/>
      <c r="I519" s="78"/>
      <c r="J519" s="78"/>
      <c r="K519" s="110"/>
      <c r="L519" s="110"/>
      <c r="M519" s="78"/>
      <c r="N519" s="78"/>
      <c r="O519" s="117"/>
      <c r="P519" s="114" t="e">
        <f t="shared" si="6"/>
        <v>#N/A</v>
      </c>
      <c r="Q519" s="77" t="e">
        <f>VLOOKUP($B519,'Component List'!$A$2:$B$30,2,FALSE)</f>
        <v>#N/A</v>
      </c>
      <c r="R519" s="77" t="e">
        <f>VLOOKUP($C519,'Component List'!C$2:D$28,2,FALSE)</f>
        <v>#N/A</v>
      </c>
      <c r="S519" s="77" t="e">
        <f>VLOOKUP($D519,'Component List'!E$2:F$30,2,FALSE)</f>
        <v>#N/A</v>
      </c>
      <c r="T519" s="77" t="e">
        <f>VLOOKUP($E519,'Component List'!G$2:H$30,2,FALSE)</f>
        <v>#N/A</v>
      </c>
      <c r="U519" s="77" t="e">
        <f>VLOOKUP($F519,'Component List'!I$2:J$30,2,FALSE)</f>
        <v>#N/A</v>
      </c>
      <c r="V519" s="77" t="e">
        <f>VLOOKUP(G519,'Component List'!K$2:L$30,2,FALSE)</f>
        <v>#N/A</v>
      </c>
      <c r="W519" s="77" t="e">
        <f>VLOOKUP(H519,'Component List'!M$2:N$31,2,FALSE)</f>
        <v>#N/A</v>
      </c>
      <c r="X519" s="77" t="e">
        <f>VLOOKUP(I519,'Component List'!O$2:P$30,2,FALSE)</f>
        <v>#N/A</v>
      </c>
      <c r="Y519" s="77" t="e">
        <f>VLOOKUP(J519,'Component List'!Q$2:R$30,2,FALSE)</f>
        <v>#N/A</v>
      </c>
      <c r="Z519" s="77" t="e">
        <f>VLOOKUP(K519,'Component List'!S$2:T$30,2,FALSE)</f>
        <v>#N/A</v>
      </c>
      <c r="AA519" s="77" t="e">
        <f>VLOOKUP(L519,'Component List'!U$2:V$30,2,FALSE)</f>
        <v>#N/A</v>
      </c>
      <c r="AB519" s="77" t="e">
        <f>VLOOKUP(M519,'Component List'!AA$2:AB$30,2,FALSE)</f>
        <v>#N/A</v>
      </c>
      <c r="AC519" s="77" t="e">
        <f>VLOOKUP(N519,'Component List'!Y$2:Z$30,2,FALSE)</f>
        <v>#N/A</v>
      </c>
      <c r="AD519" s="159" t="e">
        <f>VLOOKUP(O519,'Component List'!W$3:X$30,2,FALSE)</f>
        <v>#N/A</v>
      </c>
    </row>
    <row r="520" spans="1:30" ht="30" customHeight="1" x14ac:dyDescent="0.3">
      <c r="A520" s="231"/>
      <c r="B520" s="173"/>
      <c r="C520" s="78"/>
      <c r="D520" s="78"/>
      <c r="E520" s="79"/>
      <c r="F520" s="78"/>
      <c r="G520" s="78"/>
      <c r="H520" s="78"/>
      <c r="I520" s="78"/>
      <c r="J520" s="78"/>
      <c r="K520" s="110"/>
      <c r="L520" s="110"/>
      <c r="M520" s="78"/>
      <c r="N520" s="78"/>
      <c r="O520" s="117"/>
      <c r="P520" s="114" t="e">
        <f t="shared" si="6"/>
        <v>#N/A</v>
      </c>
      <c r="Q520" s="77" t="e">
        <f>VLOOKUP($B520,'Component List'!$A$2:$B$30,2,FALSE)</f>
        <v>#N/A</v>
      </c>
      <c r="R520" s="77" t="e">
        <f>VLOOKUP($C520,'Component List'!C$2:D$28,2,FALSE)</f>
        <v>#N/A</v>
      </c>
      <c r="S520" s="77" t="e">
        <f>VLOOKUP($D520,'Component List'!E$2:F$30,2,FALSE)</f>
        <v>#N/A</v>
      </c>
      <c r="T520" s="77" t="e">
        <f>VLOOKUP($E520,'Component List'!G$2:H$30,2,FALSE)</f>
        <v>#N/A</v>
      </c>
      <c r="U520" s="77" t="e">
        <f>VLOOKUP($F520,'Component List'!I$2:J$30,2,FALSE)</f>
        <v>#N/A</v>
      </c>
      <c r="V520" s="77" t="e">
        <f>VLOOKUP(G520,'Component List'!K$2:L$30,2,FALSE)</f>
        <v>#N/A</v>
      </c>
      <c r="W520" s="77" t="e">
        <f>VLOOKUP(H520,'Component List'!M$2:N$31,2,FALSE)</f>
        <v>#N/A</v>
      </c>
      <c r="X520" s="77" t="e">
        <f>VLOOKUP(I520,'Component List'!O$2:P$30,2,FALSE)</f>
        <v>#N/A</v>
      </c>
      <c r="Y520" s="77" t="e">
        <f>VLOOKUP(J520,'Component List'!Q$2:R$30,2,FALSE)</f>
        <v>#N/A</v>
      </c>
      <c r="Z520" s="77" t="e">
        <f>VLOOKUP(K520,'Component List'!S$2:T$30,2,FALSE)</f>
        <v>#N/A</v>
      </c>
      <c r="AA520" s="77" t="e">
        <f>VLOOKUP(L520,'Component List'!U$2:V$30,2,FALSE)</f>
        <v>#N/A</v>
      </c>
      <c r="AB520" s="77" t="e">
        <f>VLOOKUP(M520,'Component List'!AA$2:AB$30,2,FALSE)</f>
        <v>#N/A</v>
      </c>
      <c r="AC520" s="77" t="e">
        <f>VLOOKUP(N520,'Component List'!Y$2:Z$30,2,FALSE)</f>
        <v>#N/A</v>
      </c>
      <c r="AD520" s="159" t="e">
        <f>VLOOKUP(O520,'Component List'!W$3:X$30,2,FALSE)</f>
        <v>#N/A</v>
      </c>
    </row>
    <row r="521" spans="1:30" ht="30" customHeight="1" x14ac:dyDescent="0.3">
      <c r="A521" s="231"/>
      <c r="B521" s="173"/>
      <c r="C521" s="78"/>
      <c r="D521" s="78"/>
      <c r="E521" s="79"/>
      <c r="F521" s="78"/>
      <c r="G521" s="78"/>
      <c r="H521" s="78"/>
      <c r="I521" s="78"/>
      <c r="J521" s="78"/>
      <c r="K521" s="110"/>
      <c r="L521" s="110"/>
      <c r="M521" s="78"/>
      <c r="N521" s="78"/>
      <c r="O521" s="117"/>
      <c r="P521" s="114" t="e">
        <f t="shared" si="6"/>
        <v>#N/A</v>
      </c>
      <c r="Q521" s="77" t="e">
        <f>VLOOKUP($B521,'Component List'!$A$2:$B$30,2,FALSE)</f>
        <v>#N/A</v>
      </c>
      <c r="R521" s="77" t="e">
        <f>VLOOKUP($C521,'Component List'!C$2:D$28,2,FALSE)</f>
        <v>#N/A</v>
      </c>
      <c r="S521" s="77" t="e">
        <f>VLOOKUP($D521,'Component List'!E$2:F$30,2,FALSE)</f>
        <v>#N/A</v>
      </c>
      <c r="T521" s="77" t="e">
        <f>VLOOKUP($E521,'Component List'!G$2:H$30,2,FALSE)</f>
        <v>#N/A</v>
      </c>
      <c r="U521" s="77" t="e">
        <f>VLOOKUP($F521,'Component List'!I$2:J$30,2,FALSE)</f>
        <v>#N/A</v>
      </c>
      <c r="V521" s="77" t="e">
        <f>VLOOKUP(G521,'Component List'!K$2:L$30,2,FALSE)</f>
        <v>#N/A</v>
      </c>
      <c r="W521" s="77" t="e">
        <f>VLOOKUP(H521,'Component List'!M$2:N$31,2,FALSE)</f>
        <v>#N/A</v>
      </c>
      <c r="X521" s="77" t="e">
        <f>VLOOKUP(I521,'Component List'!O$2:P$30,2,FALSE)</f>
        <v>#N/A</v>
      </c>
      <c r="Y521" s="77" t="e">
        <f>VLOOKUP(J521,'Component List'!Q$2:R$30,2,FALSE)</f>
        <v>#N/A</v>
      </c>
      <c r="Z521" s="77" t="e">
        <f>VLOOKUP(K521,'Component List'!S$2:T$30,2,FALSE)</f>
        <v>#N/A</v>
      </c>
      <c r="AA521" s="77" t="e">
        <f>VLOOKUP(L521,'Component List'!U$2:V$30,2,FALSE)</f>
        <v>#N/A</v>
      </c>
      <c r="AB521" s="77" t="e">
        <f>VLOOKUP(M521,'Component List'!AA$2:AB$30,2,FALSE)</f>
        <v>#N/A</v>
      </c>
      <c r="AC521" s="77" t="e">
        <f>VLOOKUP(N521,'Component List'!Y$2:Z$30,2,FALSE)</f>
        <v>#N/A</v>
      </c>
      <c r="AD521" s="159" t="e">
        <f>VLOOKUP(O521,'Component List'!W$3:X$30,2,FALSE)</f>
        <v>#N/A</v>
      </c>
    </row>
    <row r="522" spans="1:30" ht="30" customHeight="1" x14ac:dyDescent="0.3">
      <c r="A522" s="231"/>
      <c r="B522" s="173"/>
      <c r="C522" s="78"/>
      <c r="D522" s="78"/>
      <c r="E522" s="79"/>
      <c r="F522" s="78"/>
      <c r="G522" s="78"/>
      <c r="H522" s="78"/>
      <c r="I522" s="78"/>
      <c r="J522" s="78"/>
      <c r="K522" s="110"/>
      <c r="L522" s="110"/>
      <c r="M522" s="78"/>
      <c r="N522" s="78"/>
      <c r="O522" s="117"/>
      <c r="P522" s="114" t="e">
        <f t="shared" si="6"/>
        <v>#N/A</v>
      </c>
      <c r="Q522" s="77" t="e">
        <f>VLOOKUP($B522,'Component List'!$A$2:$B$30,2,FALSE)</f>
        <v>#N/A</v>
      </c>
      <c r="R522" s="77" t="e">
        <f>VLOOKUP($C522,'Component List'!C$2:D$28,2,FALSE)</f>
        <v>#N/A</v>
      </c>
      <c r="S522" s="77" t="e">
        <f>VLOOKUP($D522,'Component List'!E$2:F$30,2,FALSE)</f>
        <v>#N/A</v>
      </c>
      <c r="T522" s="77" t="e">
        <f>VLOOKUP($E522,'Component List'!G$2:H$30,2,FALSE)</f>
        <v>#N/A</v>
      </c>
      <c r="U522" s="77" t="e">
        <f>VLOOKUP($F522,'Component List'!I$2:J$30,2,FALSE)</f>
        <v>#N/A</v>
      </c>
      <c r="V522" s="77" t="e">
        <f>VLOOKUP(G522,'Component List'!K$2:L$30,2,FALSE)</f>
        <v>#N/A</v>
      </c>
      <c r="W522" s="77" t="e">
        <f>VLOOKUP(H522,'Component List'!M$2:N$31,2,FALSE)</f>
        <v>#N/A</v>
      </c>
      <c r="X522" s="77" t="e">
        <f>VLOOKUP(I522,'Component List'!O$2:P$30,2,FALSE)</f>
        <v>#N/A</v>
      </c>
      <c r="Y522" s="77" t="e">
        <f>VLOOKUP(J522,'Component List'!Q$2:R$30,2,FALSE)</f>
        <v>#N/A</v>
      </c>
      <c r="Z522" s="77" t="e">
        <f>VLOOKUP(K522,'Component List'!S$2:T$30,2,FALSE)</f>
        <v>#N/A</v>
      </c>
      <c r="AA522" s="77" t="e">
        <f>VLOOKUP(L522,'Component List'!U$2:V$30,2,FALSE)</f>
        <v>#N/A</v>
      </c>
      <c r="AB522" s="77" t="e">
        <f>VLOOKUP(M522,'Component List'!AA$2:AB$30,2,FALSE)</f>
        <v>#N/A</v>
      </c>
      <c r="AC522" s="77" t="e">
        <f>VLOOKUP(N522,'Component List'!Y$2:Z$30,2,FALSE)</f>
        <v>#N/A</v>
      </c>
      <c r="AD522" s="159" t="e">
        <f>VLOOKUP(O522,'Component List'!W$3:X$30,2,FALSE)</f>
        <v>#N/A</v>
      </c>
    </row>
    <row r="523" spans="1:30" ht="30" customHeight="1" x14ac:dyDescent="0.3">
      <c r="A523" s="231"/>
      <c r="B523" s="173"/>
      <c r="C523" s="78"/>
      <c r="D523" s="78"/>
      <c r="E523" s="79"/>
      <c r="F523" s="78"/>
      <c r="G523" s="78"/>
      <c r="H523" s="78"/>
      <c r="I523" s="78"/>
      <c r="J523" s="78"/>
      <c r="K523" s="110"/>
      <c r="L523" s="110"/>
      <c r="M523" s="78"/>
      <c r="N523" s="78"/>
      <c r="O523" s="117"/>
      <c r="P523" s="114" t="e">
        <f t="shared" si="6"/>
        <v>#N/A</v>
      </c>
      <c r="Q523" s="77" t="e">
        <f>VLOOKUP($B523,'Component List'!$A$2:$B$30,2,FALSE)</f>
        <v>#N/A</v>
      </c>
      <c r="R523" s="77" t="e">
        <f>VLOOKUP($C523,'Component List'!C$2:D$28,2,FALSE)</f>
        <v>#N/A</v>
      </c>
      <c r="S523" s="77" t="e">
        <f>VLOOKUP($D523,'Component List'!E$2:F$30,2,FALSE)</f>
        <v>#N/A</v>
      </c>
      <c r="T523" s="77" t="e">
        <f>VLOOKUP($E523,'Component List'!G$2:H$30,2,FALSE)</f>
        <v>#N/A</v>
      </c>
      <c r="U523" s="77" t="e">
        <f>VLOOKUP($F523,'Component List'!I$2:J$30,2,FALSE)</f>
        <v>#N/A</v>
      </c>
      <c r="V523" s="77" t="e">
        <f>VLOOKUP(G523,'Component List'!K$2:L$30,2,FALSE)</f>
        <v>#N/A</v>
      </c>
      <c r="W523" s="77" t="e">
        <f>VLOOKUP(H523,'Component List'!M$2:N$31,2,FALSE)</f>
        <v>#N/A</v>
      </c>
      <c r="X523" s="77" t="e">
        <f>VLOOKUP(I523,'Component List'!O$2:P$30,2,FALSE)</f>
        <v>#N/A</v>
      </c>
      <c r="Y523" s="77" t="e">
        <f>VLOOKUP(J523,'Component List'!Q$2:R$30,2,FALSE)</f>
        <v>#N/A</v>
      </c>
      <c r="Z523" s="77" t="e">
        <f>VLOOKUP(K523,'Component List'!S$2:T$30,2,FALSE)</f>
        <v>#N/A</v>
      </c>
      <c r="AA523" s="77" t="e">
        <f>VLOOKUP(L523,'Component List'!U$2:V$30,2,FALSE)</f>
        <v>#N/A</v>
      </c>
      <c r="AB523" s="77" t="e">
        <f>VLOOKUP(M523,'Component List'!AA$2:AB$30,2,FALSE)</f>
        <v>#N/A</v>
      </c>
      <c r="AC523" s="77" t="e">
        <f>VLOOKUP(N523,'Component List'!Y$2:Z$30,2,FALSE)</f>
        <v>#N/A</v>
      </c>
      <c r="AD523" s="159" t="e">
        <f>VLOOKUP(O523,'Component List'!W$3:X$30,2,FALSE)</f>
        <v>#N/A</v>
      </c>
    </row>
    <row r="524" spans="1:30" ht="30" customHeight="1" x14ac:dyDescent="0.3">
      <c r="A524" s="231"/>
      <c r="B524" s="173"/>
      <c r="C524" s="78"/>
      <c r="D524" s="78"/>
      <c r="E524" s="79"/>
      <c r="F524" s="78"/>
      <c r="G524" s="78"/>
      <c r="H524" s="78"/>
      <c r="I524" s="78"/>
      <c r="J524" s="78"/>
      <c r="K524" s="110"/>
      <c r="L524" s="110"/>
      <c r="M524" s="78"/>
      <c r="N524" s="78"/>
      <c r="O524" s="117"/>
      <c r="P524" s="114" t="e">
        <f t="shared" si="6"/>
        <v>#N/A</v>
      </c>
      <c r="Q524" s="77" t="e">
        <f>VLOOKUP($B524,'Component List'!$A$2:$B$30,2,FALSE)</f>
        <v>#N/A</v>
      </c>
      <c r="R524" s="77" t="e">
        <f>VLOOKUP($C524,'Component List'!C$2:D$28,2,FALSE)</f>
        <v>#N/A</v>
      </c>
      <c r="S524" s="77" t="e">
        <f>VLOOKUP($D524,'Component List'!E$2:F$30,2,FALSE)</f>
        <v>#N/A</v>
      </c>
      <c r="T524" s="77" t="e">
        <f>VLOOKUP($E524,'Component List'!G$2:H$30,2,FALSE)</f>
        <v>#N/A</v>
      </c>
      <c r="U524" s="77" t="e">
        <f>VLOOKUP($F524,'Component List'!I$2:J$30,2,FALSE)</f>
        <v>#N/A</v>
      </c>
      <c r="V524" s="77" t="e">
        <f>VLOOKUP(G524,'Component List'!K$2:L$30,2,FALSE)</f>
        <v>#N/A</v>
      </c>
      <c r="W524" s="77" t="e">
        <f>VLOOKUP(H524,'Component List'!M$2:N$31,2,FALSE)</f>
        <v>#N/A</v>
      </c>
      <c r="X524" s="77" t="e">
        <f>VLOOKUP(I524,'Component List'!O$2:P$30,2,FALSE)</f>
        <v>#N/A</v>
      </c>
      <c r="Y524" s="77" t="e">
        <f>VLOOKUP(J524,'Component List'!Q$2:R$30,2,FALSE)</f>
        <v>#N/A</v>
      </c>
      <c r="Z524" s="77" t="e">
        <f>VLOOKUP(K524,'Component List'!S$2:T$30,2,FALSE)</f>
        <v>#N/A</v>
      </c>
      <c r="AA524" s="77" t="e">
        <f>VLOOKUP(L524,'Component List'!U$2:V$30,2,FALSE)</f>
        <v>#N/A</v>
      </c>
      <c r="AB524" s="77" t="e">
        <f>VLOOKUP(M524,'Component List'!AA$2:AB$30,2,FALSE)</f>
        <v>#N/A</v>
      </c>
      <c r="AC524" s="77" t="e">
        <f>VLOOKUP(N524,'Component List'!Y$2:Z$30,2,FALSE)</f>
        <v>#N/A</v>
      </c>
      <c r="AD524" s="159" t="e">
        <f>VLOOKUP(O524,'Component List'!W$3:X$30,2,FALSE)</f>
        <v>#N/A</v>
      </c>
    </row>
    <row r="525" spans="1:30" ht="30" customHeight="1" x14ac:dyDescent="0.3">
      <c r="A525" s="231"/>
      <c r="B525" s="173"/>
      <c r="C525" s="78"/>
      <c r="D525" s="78"/>
      <c r="E525" s="79"/>
      <c r="F525" s="78"/>
      <c r="G525" s="78"/>
      <c r="H525" s="78"/>
      <c r="I525" s="78"/>
      <c r="J525" s="78"/>
      <c r="K525" s="110"/>
      <c r="L525" s="110"/>
      <c r="M525" s="78"/>
      <c r="N525" s="78"/>
      <c r="O525" s="117"/>
      <c r="P525" s="114" t="e">
        <f t="shared" ref="P525:P588" si="7">Q525&amp;R525&amp;S525&amp;T525&amp;U525&amp;V525&amp;W525&amp;X525&amp;Y525&amp;Z525&amp;AA525&amp;AD525&amp;AC525&amp;AB525</f>
        <v>#N/A</v>
      </c>
      <c r="Q525" s="77" t="e">
        <f>VLOOKUP($B525,'Component List'!$A$2:$B$30,2,FALSE)</f>
        <v>#N/A</v>
      </c>
      <c r="R525" s="77" t="e">
        <f>VLOOKUP($C525,'Component List'!C$2:D$28,2,FALSE)</f>
        <v>#N/A</v>
      </c>
      <c r="S525" s="77" t="e">
        <f>VLOOKUP($D525,'Component List'!E$2:F$30,2,FALSE)</f>
        <v>#N/A</v>
      </c>
      <c r="T525" s="77" t="e">
        <f>VLOOKUP($E525,'Component List'!G$2:H$30,2,FALSE)</f>
        <v>#N/A</v>
      </c>
      <c r="U525" s="77" t="e">
        <f>VLOOKUP($F525,'Component List'!I$2:J$30,2,FALSE)</f>
        <v>#N/A</v>
      </c>
      <c r="V525" s="77" t="e">
        <f>VLOOKUP(G525,'Component List'!K$2:L$30,2,FALSE)</f>
        <v>#N/A</v>
      </c>
      <c r="W525" s="77" t="e">
        <f>VLOOKUP(H525,'Component List'!M$2:N$31,2,FALSE)</f>
        <v>#N/A</v>
      </c>
      <c r="X525" s="77" t="e">
        <f>VLOOKUP(I525,'Component List'!O$2:P$30,2,FALSE)</f>
        <v>#N/A</v>
      </c>
      <c r="Y525" s="77" t="e">
        <f>VLOOKUP(J525,'Component List'!Q$2:R$30,2,FALSE)</f>
        <v>#N/A</v>
      </c>
      <c r="Z525" s="77" t="e">
        <f>VLOOKUP(K525,'Component List'!S$2:T$30,2,FALSE)</f>
        <v>#N/A</v>
      </c>
      <c r="AA525" s="77" t="e">
        <f>VLOOKUP(L525,'Component List'!U$2:V$30,2,FALSE)</f>
        <v>#N/A</v>
      </c>
      <c r="AB525" s="77" t="e">
        <f>VLOOKUP(M525,'Component List'!AA$2:AB$30,2,FALSE)</f>
        <v>#N/A</v>
      </c>
      <c r="AC525" s="77" t="e">
        <f>VLOOKUP(N525,'Component List'!Y$2:Z$30,2,FALSE)</f>
        <v>#N/A</v>
      </c>
      <c r="AD525" s="159" t="e">
        <f>VLOOKUP(O525,'Component List'!W$3:X$30,2,FALSE)</f>
        <v>#N/A</v>
      </c>
    </row>
    <row r="526" spans="1:30" ht="30" customHeight="1" x14ac:dyDescent="0.3">
      <c r="A526" s="231"/>
      <c r="B526" s="173"/>
      <c r="C526" s="78"/>
      <c r="D526" s="78"/>
      <c r="E526" s="79"/>
      <c r="F526" s="78"/>
      <c r="G526" s="78"/>
      <c r="H526" s="78"/>
      <c r="I526" s="78"/>
      <c r="J526" s="78"/>
      <c r="K526" s="110"/>
      <c r="L526" s="110"/>
      <c r="M526" s="78"/>
      <c r="N526" s="78"/>
      <c r="O526" s="117"/>
      <c r="P526" s="114" t="e">
        <f t="shared" si="7"/>
        <v>#N/A</v>
      </c>
      <c r="Q526" s="77" t="e">
        <f>VLOOKUP($B526,'Component List'!$A$2:$B$30,2,FALSE)</f>
        <v>#N/A</v>
      </c>
      <c r="R526" s="77" t="e">
        <f>VLOOKUP($C526,'Component List'!C$2:D$28,2,FALSE)</f>
        <v>#N/A</v>
      </c>
      <c r="S526" s="77" t="e">
        <f>VLOOKUP($D526,'Component List'!E$2:F$30,2,FALSE)</f>
        <v>#N/A</v>
      </c>
      <c r="T526" s="77" t="e">
        <f>VLOOKUP($E526,'Component List'!G$2:H$30,2,FALSE)</f>
        <v>#N/A</v>
      </c>
      <c r="U526" s="77" t="e">
        <f>VLOOKUP($F526,'Component List'!I$2:J$30,2,FALSE)</f>
        <v>#N/A</v>
      </c>
      <c r="V526" s="77" t="e">
        <f>VLOOKUP(G526,'Component List'!K$2:L$30,2,FALSE)</f>
        <v>#N/A</v>
      </c>
      <c r="W526" s="77" t="e">
        <f>VLOOKUP(H526,'Component List'!M$2:N$31,2,FALSE)</f>
        <v>#N/A</v>
      </c>
      <c r="X526" s="77" t="e">
        <f>VLOOKUP(I526,'Component List'!O$2:P$30,2,FALSE)</f>
        <v>#N/A</v>
      </c>
      <c r="Y526" s="77" t="e">
        <f>VLOOKUP(J526,'Component List'!Q$2:R$30,2,FALSE)</f>
        <v>#N/A</v>
      </c>
      <c r="Z526" s="77" t="e">
        <f>VLOOKUP(K526,'Component List'!S$2:T$30,2,FALSE)</f>
        <v>#N/A</v>
      </c>
      <c r="AA526" s="77" t="e">
        <f>VLOOKUP(L526,'Component List'!U$2:V$30,2,FALSE)</f>
        <v>#N/A</v>
      </c>
      <c r="AB526" s="77" t="e">
        <f>VLOOKUP(M526,'Component List'!AA$2:AB$30,2,FALSE)</f>
        <v>#N/A</v>
      </c>
      <c r="AC526" s="77" t="e">
        <f>VLOOKUP(N526,'Component List'!Y$2:Z$30,2,FALSE)</f>
        <v>#N/A</v>
      </c>
      <c r="AD526" s="159" t="e">
        <f>VLOOKUP(O526,'Component List'!W$3:X$30,2,FALSE)</f>
        <v>#N/A</v>
      </c>
    </row>
    <row r="527" spans="1:30" ht="30" customHeight="1" x14ac:dyDescent="0.3">
      <c r="A527" s="231"/>
      <c r="B527" s="173"/>
      <c r="C527" s="78"/>
      <c r="D527" s="78"/>
      <c r="E527" s="79"/>
      <c r="F527" s="78"/>
      <c r="G527" s="78"/>
      <c r="H527" s="78"/>
      <c r="I527" s="78"/>
      <c r="J527" s="78"/>
      <c r="K527" s="110"/>
      <c r="L527" s="110"/>
      <c r="M527" s="78"/>
      <c r="N527" s="78"/>
      <c r="O527" s="117"/>
      <c r="P527" s="114" t="e">
        <f t="shared" si="7"/>
        <v>#N/A</v>
      </c>
      <c r="Q527" s="77" t="e">
        <f>VLOOKUP($B527,'Component List'!$A$2:$B$30,2,FALSE)</f>
        <v>#N/A</v>
      </c>
      <c r="R527" s="77" t="e">
        <f>VLOOKUP($C527,'Component List'!C$2:D$28,2,FALSE)</f>
        <v>#N/A</v>
      </c>
      <c r="S527" s="77" t="e">
        <f>VLOOKUP($D527,'Component List'!E$2:F$30,2,FALSE)</f>
        <v>#N/A</v>
      </c>
      <c r="T527" s="77" t="e">
        <f>VLOOKUP($E527,'Component List'!G$2:H$30,2,FALSE)</f>
        <v>#N/A</v>
      </c>
      <c r="U527" s="77" t="e">
        <f>VLOOKUP($F527,'Component List'!I$2:J$30,2,FALSE)</f>
        <v>#N/A</v>
      </c>
      <c r="V527" s="77" t="e">
        <f>VLOOKUP(G527,'Component List'!K$2:L$30,2,FALSE)</f>
        <v>#N/A</v>
      </c>
      <c r="W527" s="77" t="e">
        <f>VLOOKUP(H527,'Component List'!M$2:N$31,2,FALSE)</f>
        <v>#N/A</v>
      </c>
      <c r="X527" s="77" t="e">
        <f>VLOOKUP(I527,'Component List'!O$2:P$30,2,FALSE)</f>
        <v>#N/A</v>
      </c>
      <c r="Y527" s="77" t="e">
        <f>VLOOKUP(J527,'Component List'!Q$2:R$30,2,FALSE)</f>
        <v>#N/A</v>
      </c>
      <c r="Z527" s="77" t="e">
        <f>VLOOKUP(K527,'Component List'!S$2:T$30,2,FALSE)</f>
        <v>#N/A</v>
      </c>
      <c r="AA527" s="77" t="e">
        <f>VLOOKUP(L527,'Component List'!U$2:V$30,2,FALSE)</f>
        <v>#N/A</v>
      </c>
      <c r="AB527" s="77" t="e">
        <f>VLOOKUP(M527,'Component List'!AA$2:AB$30,2,FALSE)</f>
        <v>#N/A</v>
      </c>
      <c r="AC527" s="77" t="e">
        <f>VLOOKUP(N527,'Component List'!Y$2:Z$30,2,FALSE)</f>
        <v>#N/A</v>
      </c>
      <c r="AD527" s="159" t="e">
        <f>VLOOKUP(O527,'Component List'!W$3:X$30,2,FALSE)</f>
        <v>#N/A</v>
      </c>
    </row>
    <row r="528" spans="1:30" ht="30" customHeight="1" x14ac:dyDescent="0.3">
      <c r="A528" s="231"/>
      <c r="B528" s="173"/>
      <c r="C528" s="78"/>
      <c r="D528" s="78"/>
      <c r="E528" s="79"/>
      <c r="F528" s="78"/>
      <c r="G528" s="78"/>
      <c r="H528" s="78"/>
      <c r="I528" s="78"/>
      <c r="J528" s="78"/>
      <c r="K528" s="110"/>
      <c r="L528" s="110"/>
      <c r="M528" s="78"/>
      <c r="N528" s="78"/>
      <c r="O528" s="117"/>
      <c r="P528" s="114" t="e">
        <f t="shared" si="7"/>
        <v>#N/A</v>
      </c>
      <c r="Q528" s="77" t="e">
        <f>VLOOKUP($B528,'Component List'!$A$2:$B$30,2,FALSE)</f>
        <v>#N/A</v>
      </c>
      <c r="R528" s="77" t="e">
        <f>VLOOKUP($C528,'Component List'!C$2:D$28,2,FALSE)</f>
        <v>#N/A</v>
      </c>
      <c r="S528" s="77" t="e">
        <f>VLOOKUP($D528,'Component List'!E$2:F$30,2,FALSE)</f>
        <v>#N/A</v>
      </c>
      <c r="T528" s="77" t="e">
        <f>VLOOKUP($E528,'Component List'!G$2:H$30,2,FALSE)</f>
        <v>#N/A</v>
      </c>
      <c r="U528" s="77" t="e">
        <f>VLOOKUP($F528,'Component List'!I$2:J$30,2,FALSE)</f>
        <v>#N/A</v>
      </c>
      <c r="V528" s="77" t="e">
        <f>VLOOKUP(G528,'Component List'!K$2:L$30,2,FALSE)</f>
        <v>#N/A</v>
      </c>
      <c r="W528" s="77" t="e">
        <f>VLOOKUP(H528,'Component List'!M$2:N$31,2,FALSE)</f>
        <v>#N/A</v>
      </c>
      <c r="X528" s="77" t="e">
        <f>VLOOKUP(I528,'Component List'!O$2:P$30,2,FALSE)</f>
        <v>#N/A</v>
      </c>
      <c r="Y528" s="77" t="e">
        <f>VLOOKUP(J528,'Component List'!Q$2:R$30,2,FALSE)</f>
        <v>#N/A</v>
      </c>
      <c r="Z528" s="77" t="e">
        <f>VLOOKUP(K528,'Component List'!S$2:T$30,2,FALSE)</f>
        <v>#N/A</v>
      </c>
      <c r="AA528" s="77" t="e">
        <f>VLOOKUP(L528,'Component List'!U$2:V$30,2,FALSE)</f>
        <v>#N/A</v>
      </c>
      <c r="AB528" s="77" t="e">
        <f>VLOOKUP(M528,'Component List'!AA$2:AB$30,2,FALSE)</f>
        <v>#N/A</v>
      </c>
      <c r="AC528" s="77" t="e">
        <f>VLOOKUP(N528,'Component List'!Y$2:Z$30,2,FALSE)</f>
        <v>#N/A</v>
      </c>
      <c r="AD528" s="159" t="e">
        <f>VLOOKUP(O528,'Component List'!W$3:X$30,2,FALSE)</f>
        <v>#N/A</v>
      </c>
    </row>
    <row r="529" spans="1:30" ht="30" customHeight="1" x14ac:dyDescent="0.3">
      <c r="A529" s="231"/>
      <c r="B529" s="173"/>
      <c r="C529" s="78"/>
      <c r="D529" s="78"/>
      <c r="E529" s="79"/>
      <c r="F529" s="78"/>
      <c r="G529" s="78"/>
      <c r="H529" s="78"/>
      <c r="I529" s="78"/>
      <c r="J529" s="78"/>
      <c r="K529" s="110"/>
      <c r="L529" s="110"/>
      <c r="M529" s="78"/>
      <c r="N529" s="78"/>
      <c r="O529" s="117"/>
      <c r="P529" s="114" t="e">
        <f t="shared" si="7"/>
        <v>#N/A</v>
      </c>
      <c r="Q529" s="77" t="e">
        <f>VLOOKUP($B529,'Component List'!$A$2:$B$30,2,FALSE)</f>
        <v>#N/A</v>
      </c>
      <c r="R529" s="77" t="e">
        <f>VLOOKUP($C529,'Component List'!C$2:D$28,2,FALSE)</f>
        <v>#N/A</v>
      </c>
      <c r="S529" s="77" t="e">
        <f>VLOOKUP($D529,'Component List'!E$2:F$30,2,FALSE)</f>
        <v>#N/A</v>
      </c>
      <c r="T529" s="77" t="e">
        <f>VLOOKUP($E529,'Component List'!G$2:H$30,2,FALSE)</f>
        <v>#N/A</v>
      </c>
      <c r="U529" s="77" t="e">
        <f>VLOOKUP($F529,'Component List'!I$2:J$30,2,FALSE)</f>
        <v>#N/A</v>
      </c>
      <c r="V529" s="77" t="e">
        <f>VLOOKUP(G529,'Component List'!K$2:L$30,2,FALSE)</f>
        <v>#N/A</v>
      </c>
      <c r="W529" s="77" t="e">
        <f>VLOOKUP(H529,'Component List'!M$2:N$31,2,FALSE)</f>
        <v>#N/A</v>
      </c>
      <c r="X529" s="77" t="e">
        <f>VLOOKUP(I529,'Component List'!O$2:P$30,2,FALSE)</f>
        <v>#N/A</v>
      </c>
      <c r="Y529" s="77" t="e">
        <f>VLOOKUP(J529,'Component List'!Q$2:R$30,2,FALSE)</f>
        <v>#N/A</v>
      </c>
      <c r="Z529" s="77" t="e">
        <f>VLOOKUP(K529,'Component List'!S$2:T$30,2,FALSE)</f>
        <v>#N/A</v>
      </c>
      <c r="AA529" s="77" t="e">
        <f>VLOOKUP(L529,'Component List'!U$2:V$30,2,FALSE)</f>
        <v>#N/A</v>
      </c>
      <c r="AB529" s="77" t="e">
        <f>VLOOKUP(M529,'Component List'!AA$2:AB$30,2,FALSE)</f>
        <v>#N/A</v>
      </c>
      <c r="AC529" s="77" t="e">
        <f>VLOOKUP(N529,'Component List'!Y$2:Z$30,2,FALSE)</f>
        <v>#N/A</v>
      </c>
      <c r="AD529" s="159" t="e">
        <f>VLOOKUP(O529,'Component List'!W$3:X$30,2,FALSE)</f>
        <v>#N/A</v>
      </c>
    </row>
    <row r="530" spans="1:30" ht="30" customHeight="1" x14ac:dyDescent="0.3">
      <c r="A530" s="231"/>
      <c r="B530" s="173"/>
      <c r="C530" s="78"/>
      <c r="D530" s="78"/>
      <c r="E530" s="79"/>
      <c r="F530" s="78"/>
      <c r="G530" s="78"/>
      <c r="H530" s="78"/>
      <c r="I530" s="78"/>
      <c r="J530" s="78"/>
      <c r="K530" s="110"/>
      <c r="L530" s="110"/>
      <c r="M530" s="78"/>
      <c r="N530" s="78"/>
      <c r="O530" s="117"/>
      <c r="P530" s="114" t="e">
        <f t="shared" si="7"/>
        <v>#N/A</v>
      </c>
      <c r="Q530" s="77" t="e">
        <f>VLOOKUP($B530,'Component List'!$A$2:$B$30,2,FALSE)</f>
        <v>#N/A</v>
      </c>
      <c r="R530" s="77" t="e">
        <f>VLOOKUP($C530,'Component List'!C$2:D$28,2,FALSE)</f>
        <v>#N/A</v>
      </c>
      <c r="S530" s="77" t="e">
        <f>VLOOKUP($D530,'Component List'!E$2:F$30,2,FALSE)</f>
        <v>#N/A</v>
      </c>
      <c r="T530" s="77" t="e">
        <f>VLOOKUP($E530,'Component List'!G$2:H$30,2,FALSE)</f>
        <v>#N/A</v>
      </c>
      <c r="U530" s="77" t="e">
        <f>VLOOKUP($F530,'Component List'!I$2:J$30,2,FALSE)</f>
        <v>#N/A</v>
      </c>
      <c r="V530" s="77" t="e">
        <f>VLOOKUP(G530,'Component List'!K$2:L$30,2,FALSE)</f>
        <v>#N/A</v>
      </c>
      <c r="W530" s="77" t="e">
        <f>VLOOKUP(H530,'Component List'!M$2:N$31,2,FALSE)</f>
        <v>#N/A</v>
      </c>
      <c r="X530" s="77" t="e">
        <f>VLOOKUP(I530,'Component List'!O$2:P$30,2,FALSE)</f>
        <v>#N/A</v>
      </c>
      <c r="Y530" s="77" t="e">
        <f>VLOOKUP(J530,'Component List'!Q$2:R$30,2,FALSE)</f>
        <v>#N/A</v>
      </c>
      <c r="Z530" s="77" t="e">
        <f>VLOOKUP(K530,'Component List'!S$2:T$30,2,FALSE)</f>
        <v>#N/A</v>
      </c>
      <c r="AA530" s="77" t="e">
        <f>VLOOKUP(L530,'Component List'!U$2:V$30,2,FALSE)</f>
        <v>#N/A</v>
      </c>
      <c r="AB530" s="77" t="e">
        <f>VLOOKUP(M530,'Component List'!AA$2:AB$30,2,FALSE)</f>
        <v>#N/A</v>
      </c>
      <c r="AC530" s="77" t="e">
        <f>VLOOKUP(N530,'Component List'!Y$2:Z$30,2,FALSE)</f>
        <v>#N/A</v>
      </c>
      <c r="AD530" s="159" t="e">
        <f>VLOOKUP(O530,'Component List'!W$3:X$30,2,FALSE)</f>
        <v>#N/A</v>
      </c>
    </row>
    <row r="531" spans="1:30" ht="30" customHeight="1" x14ac:dyDescent="0.3">
      <c r="A531" s="231"/>
      <c r="B531" s="173"/>
      <c r="C531" s="78"/>
      <c r="D531" s="78"/>
      <c r="E531" s="79"/>
      <c r="F531" s="78"/>
      <c r="G531" s="78"/>
      <c r="H531" s="78"/>
      <c r="I531" s="78"/>
      <c r="J531" s="78"/>
      <c r="K531" s="110"/>
      <c r="L531" s="110"/>
      <c r="M531" s="78"/>
      <c r="N531" s="78"/>
      <c r="O531" s="117"/>
      <c r="P531" s="114" t="e">
        <f t="shared" si="7"/>
        <v>#N/A</v>
      </c>
      <c r="Q531" s="77" t="e">
        <f>VLOOKUP($B531,'Component List'!$A$2:$B$30,2,FALSE)</f>
        <v>#N/A</v>
      </c>
      <c r="R531" s="77" t="e">
        <f>VLOOKUP($C531,'Component List'!C$2:D$28,2,FALSE)</f>
        <v>#N/A</v>
      </c>
      <c r="S531" s="77" t="e">
        <f>VLOOKUP($D531,'Component List'!E$2:F$30,2,FALSE)</f>
        <v>#N/A</v>
      </c>
      <c r="T531" s="77" t="e">
        <f>VLOOKUP($E531,'Component List'!G$2:H$30,2,FALSE)</f>
        <v>#N/A</v>
      </c>
      <c r="U531" s="77" t="e">
        <f>VLOOKUP($F531,'Component List'!I$2:J$30,2,FALSE)</f>
        <v>#N/A</v>
      </c>
      <c r="V531" s="77" t="e">
        <f>VLOOKUP(G531,'Component List'!K$2:L$30,2,FALSE)</f>
        <v>#N/A</v>
      </c>
      <c r="W531" s="77" t="e">
        <f>VLOOKUP(H531,'Component List'!M$2:N$31,2,FALSE)</f>
        <v>#N/A</v>
      </c>
      <c r="X531" s="77" t="e">
        <f>VLOOKUP(I531,'Component List'!O$2:P$30,2,FALSE)</f>
        <v>#N/A</v>
      </c>
      <c r="Y531" s="77" t="e">
        <f>VLOOKUP(J531,'Component List'!Q$2:R$30,2,FALSE)</f>
        <v>#N/A</v>
      </c>
      <c r="Z531" s="77" t="e">
        <f>VLOOKUP(K531,'Component List'!S$2:T$30,2,FALSE)</f>
        <v>#N/A</v>
      </c>
      <c r="AA531" s="77" t="e">
        <f>VLOOKUP(L531,'Component List'!U$2:V$30,2,FALSE)</f>
        <v>#N/A</v>
      </c>
      <c r="AB531" s="77" t="e">
        <f>VLOOKUP(M531,'Component List'!AA$2:AB$30,2,FALSE)</f>
        <v>#N/A</v>
      </c>
      <c r="AC531" s="77" t="e">
        <f>VLOOKUP(N531,'Component List'!Y$2:Z$30,2,FALSE)</f>
        <v>#N/A</v>
      </c>
      <c r="AD531" s="159" t="e">
        <f>VLOOKUP(O531,'Component List'!W$3:X$30,2,FALSE)</f>
        <v>#N/A</v>
      </c>
    </row>
    <row r="532" spans="1:30" ht="30" customHeight="1" x14ac:dyDescent="0.3">
      <c r="A532" s="231"/>
      <c r="B532" s="173"/>
      <c r="C532" s="78"/>
      <c r="D532" s="78"/>
      <c r="E532" s="79"/>
      <c r="F532" s="78"/>
      <c r="G532" s="78"/>
      <c r="H532" s="78"/>
      <c r="I532" s="78"/>
      <c r="J532" s="78"/>
      <c r="K532" s="110"/>
      <c r="L532" s="110"/>
      <c r="M532" s="78"/>
      <c r="N532" s="78"/>
      <c r="O532" s="117"/>
      <c r="P532" s="114" t="e">
        <f t="shared" si="7"/>
        <v>#N/A</v>
      </c>
      <c r="Q532" s="77" t="e">
        <f>VLOOKUP($B532,'Component List'!$A$2:$B$30,2,FALSE)</f>
        <v>#N/A</v>
      </c>
      <c r="R532" s="77" t="e">
        <f>VLOOKUP($C532,'Component List'!C$2:D$28,2,FALSE)</f>
        <v>#N/A</v>
      </c>
      <c r="S532" s="77" t="e">
        <f>VLOOKUP($D532,'Component List'!E$2:F$30,2,FALSE)</f>
        <v>#N/A</v>
      </c>
      <c r="T532" s="77" t="e">
        <f>VLOOKUP($E532,'Component List'!G$2:H$30,2,FALSE)</f>
        <v>#N/A</v>
      </c>
      <c r="U532" s="77" t="e">
        <f>VLOOKUP($F532,'Component List'!I$2:J$30,2,FALSE)</f>
        <v>#N/A</v>
      </c>
      <c r="V532" s="77" t="e">
        <f>VLOOKUP(G532,'Component List'!K$2:L$30,2,FALSE)</f>
        <v>#N/A</v>
      </c>
      <c r="W532" s="77" t="e">
        <f>VLOOKUP(H532,'Component List'!M$2:N$31,2,FALSE)</f>
        <v>#N/A</v>
      </c>
      <c r="X532" s="77" t="e">
        <f>VLOOKUP(I532,'Component List'!O$2:P$30,2,FALSE)</f>
        <v>#N/A</v>
      </c>
      <c r="Y532" s="77" t="e">
        <f>VLOOKUP(J532,'Component List'!Q$2:R$30,2,FALSE)</f>
        <v>#N/A</v>
      </c>
      <c r="Z532" s="77" t="e">
        <f>VLOOKUP(K532,'Component List'!S$2:T$30,2,FALSE)</f>
        <v>#N/A</v>
      </c>
      <c r="AA532" s="77" t="e">
        <f>VLOOKUP(L532,'Component List'!U$2:V$30,2,FALSE)</f>
        <v>#N/A</v>
      </c>
      <c r="AB532" s="77" t="e">
        <f>VLOOKUP(M532,'Component List'!AA$2:AB$30,2,FALSE)</f>
        <v>#N/A</v>
      </c>
      <c r="AC532" s="77" t="e">
        <f>VLOOKUP(N532,'Component List'!Y$2:Z$30,2,FALSE)</f>
        <v>#N/A</v>
      </c>
      <c r="AD532" s="159" t="e">
        <f>VLOOKUP(O532,'Component List'!W$3:X$30,2,FALSE)</f>
        <v>#N/A</v>
      </c>
    </row>
    <row r="533" spans="1:30" ht="30" customHeight="1" x14ac:dyDescent="0.3">
      <c r="A533" s="231"/>
      <c r="B533" s="173"/>
      <c r="C533" s="78"/>
      <c r="D533" s="78"/>
      <c r="E533" s="79"/>
      <c r="F533" s="78"/>
      <c r="G533" s="78"/>
      <c r="H533" s="78"/>
      <c r="I533" s="78"/>
      <c r="J533" s="78"/>
      <c r="K533" s="110"/>
      <c r="L533" s="110"/>
      <c r="M533" s="78"/>
      <c r="N533" s="78"/>
      <c r="O533" s="117"/>
      <c r="P533" s="114" t="e">
        <f t="shared" si="7"/>
        <v>#N/A</v>
      </c>
      <c r="Q533" s="77" t="e">
        <f>VLOOKUP($B533,'Component List'!$A$2:$B$30,2,FALSE)</f>
        <v>#N/A</v>
      </c>
      <c r="R533" s="77" t="e">
        <f>VLOOKUP($C533,'Component List'!C$2:D$28,2,FALSE)</f>
        <v>#N/A</v>
      </c>
      <c r="S533" s="77" t="e">
        <f>VLOOKUP($D533,'Component List'!E$2:F$30,2,FALSE)</f>
        <v>#N/A</v>
      </c>
      <c r="T533" s="77" t="e">
        <f>VLOOKUP($E533,'Component List'!G$2:H$30,2,FALSE)</f>
        <v>#N/A</v>
      </c>
      <c r="U533" s="77" t="e">
        <f>VLOOKUP($F533,'Component List'!I$2:J$30,2,FALSE)</f>
        <v>#N/A</v>
      </c>
      <c r="V533" s="77" t="e">
        <f>VLOOKUP(G533,'Component List'!K$2:L$30,2,FALSE)</f>
        <v>#N/A</v>
      </c>
      <c r="W533" s="77" t="e">
        <f>VLOOKUP(H533,'Component List'!M$2:N$31,2,FALSE)</f>
        <v>#N/A</v>
      </c>
      <c r="X533" s="77" t="e">
        <f>VLOOKUP(I533,'Component List'!O$2:P$30,2,FALSE)</f>
        <v>#N/A</v>
      </c>
      <c r="Y533" s="77" t="e">
        <f>VLOOKUP(J533,'Component List'!Q$2:R$30,2,FALSE)</f>
        <v>#N/A</v>
      </c>
      <c r="Z533" s="77" t="e">
        <f>VLOOKUP(K533,'Component List'!S$2:T$30,2,FALSE)</f>
        <v>#N/A</v>
      </c>
      <c r="AA533" s="77" t="e">
        <f>VLOOKUP(L533,'Component List'!U$2:V$30,2,FALSE)</f>
        <v>#N/A</v>
      </c>
      <c r="AB533" s="77" t="e">
        <f>VLOOKUP(M533,'Component List'!AA$2:AB$30,2,FALSE)</f>
        <v>#N/A</v>
      </c>
      <c r="AC533" s="77" t="e">
        <f>VLOOKUP(N533,'Component List'!Y$2:Z$30,2,FALSE)</f>
        <v>#N/A</v>
      </c>
      <c r="AD533" s="159" t="e">
        <f>VLOOKUP(O533,'Component List'!W$3:X$30,2,FALSE)</f>
        <v>#N/A</v>
      </c>
    </row>
    <row r="534" spans="1:30" ht="30" customHeight="1" x14ac:dyDescent="0.3">
      <c r="A534" s="231"/>
      <c r="B534" s="173"/>
      <c r="C534" s="78"/>
      <c r="D534" s="78"/>
      <c r="E534" s="79"/>
      <c r="F534" s="78"/>
      <c r="G534" s="78"/>
      <c r="H534" s="78"/>
      <c r="I534" s="78"/>
      <c r="J534" s="78"/>
      <c r="K534" s="110"/>
      <c r="L534" s="110"/>
      <c r="M534" s="78"/>
      <c r="N534" s="78"/>
      <c r="O534" s="117"/>
      <c r="P534" s="114" t="e">
        <f t="shared" si="7"/>
        <v>#N/A</v>
      </c>
      <c r="Q534" s="77" t="e">
        <f>VLOOKUP($B534,'Component List'!$A$2:$B$30,2,FALSE)</f>
        <v>#N/A</v>
      </c>
      <c r="R534" s="77" t="e">
        <f>VLOOKUP($C534,'Component List'!C$2:D$28,2,FALSE)</f>
        <v>#N/A</v>
      </c>
      <c r="S534" s="77" t="e">
        <f>VLOOKUP($D534,'Component List'!E$2:F$30,2,FALSE)</f>
        <v>#N/A</v>
      </c>
      <c r="T534" s="77" t="e">
        <f>VLOOKUP($E534,'Component List'!G$2:H$30,2,FALSE)</f>
        <v>#N/A</v>
      </c>
      <c r="U534" s="77" t="e">
        <f>VLOOKUP($F534,'Component List'!I$2:J$30,2,FALSE)</f>
        <v>#N/A</v>
      </c>
      <c r="V534" s="77" t="e">
        <f>VLOOKUP(G534,'Component List'!K$2:L$30,2,FALSE)</f>
        <v>#N/A</v>
      </c>
      <c r="W534" s="77" t="e">
        <f>VLOOKUP(H534,'Component List'!M$2:N$31,2,FALSE)</f>
        <v>#N/A</v>
      </c>
      <c r="X534" s="77" t="e">
        <f>VLOOKUP(I534,'Component List'!O$2:P$30,2,FALSE)</f>
        <v>#N/A</v>
      </c>
      <c r="Y534" s="77" t="e">
        <f>VLOOKUP(J534,'Component List'!Q$2:R$30,2,FALSE)</f>
        <v>#N/A</v>
      </c>
      <c r="Z534" s="77" t="e">
        <f>VLOOKUP(K534,'Component List'!S$2:T$30,2,FALSE)</f>
        <v>#N/A</v>
      </c>
      <c r="AA534" s="77" t="e">
        <f>VLOOKUP(L534,'Component List'!U$2:V$30,2,FALSE)</f>
        <v>#N/A</v>
      </c>
      <c r="AB534" s="77" t="e">
        <f>VLOOKUP(M534,'Component List'!AA$2:AB$30,2,FALSE)</f>
        <v>#N/A</v>
      </c>
      <c r="AC534" s="77" t="e">
        <f>VLOOKUP(N534,'Component List'!Y$2:Z$30,2,FALSE)</f>
        <v>#N/A</v>
      </c>
      <c r="AD534" s="159" t="e">
        <f>VLOOKUP(O534,'Component List'!W$3:X$30,2,FALSE)</f>
        <v>#N/A</v>
      </c>
    </row>
    <row r="535" spans="1:30" ht="30" customHeight="1" x14ac:dyDescent="0.3">
      <c r="A535" s="231"/>
      <c r="B535" s="173"/>
      <c r="C535" s="78"/>
      <c r="D535" s="78"/>
      <c r="E535" s="79"/>
      <c r="F535" s="78"/>
      <c r="G535" s="78"/>
      <c r="H535" s="78"/>
      <c r="I535" s="78"/>
      <c r="J535" s="78"/>
      <c r="K535" s="110"/>
      <c r="L535" s="110"/>
      <c r="M535" s="78"/>
      <c r="N535" s="78"/>
      <c r="O535" s="117"/>
      <c r="P535" s="114" t="e">
        <f t="shared" si="7"/>
        <v>#N/A</v>
      </c>
      <c r="Q535" s="77" t="e">
        <f>VLOOKUP($B535,'Component List'!$A$2:$B$30,2,FALSE)</f>
        <v>#N/A</v>
      </c>
      <c r="R535" s="77" t="e">
        <f>VLOOKUP($C535,'Component List'!C$2:D$28,2,FALSE)</f>
        <v>#N/A</v>
      </c>
      <c r="S535" s="77" t="e">
        <f>VLOOKUP($D535,'Component List'!E$2:F$30,2,FALSE)</f>
        <v>#N/A</v>
      </c>
      <c r="T535" s="77" t="e">
        <f>VLOOKUP($E535,'Component List'!G$2:H$30,2,FALSE)</f>
        <v>#N/A</v>
      </c>
      <c r="U535" s="77" t="e">
        <f>VLOOKUP($F535,'Component List'!I$2:J$30,2,FALSE)</f>
        <v>#N/A</v>
      </c>
      <c r="V535" s="77" t="e">
        <f>VLOOKUP(G535,'Component List'!K$2:L$30,2,FALSE)</f>
        <v>#N/A</v>
      </c>
      <c r="W535" s="77" t="e">
        <f>VLOOKUP(H535,'Component List'!M$2:N$31,2,FALSE)</f>
        <v>#N/A</v>
      </c>
      <c r="X535" s="77" t="e">
        <f>VLOOKUP(I535,'Component List'!O$2:P$30,2,FALSE)</f>
        <v>#N/A</v>
      </c>
      <c r="Y535" s="77" t="e">
        <f>VLOOKUP(J535,'Component List'!Q$2:R$30,2,FALSE)</f>
        <v>#N/A</v>
      </c>
      <c r="Z535" s="77" t="e">
        <f>VLOOKUP(K535,'Component List'!S$2:T$30,2,FALSE)</f>
        <v>#N/A</v>
      </c>
      <c r="AA535" s="77" t="e">
        <f>VLOOKUP(L535,'Component List'!U$2:V$30,2,FALSE)</f>
        <v>#N/A</v>
      </c>
      <c r="AB535" s="77" t="e">
        <f>VLOOKUP(M535,'Component List'!AA$2:AB$30,2,FALSE)</f>
        <v>#N/A</v>
      </c>
      <c r="AC535" s="77" t="e">
        <f>VLOOKUP(N535,'Component List'!Y$2:Z$30,2,FALSE)</f>
        <v>#N/A</v>
      </c>
      <c r="AD535" s="159" t="e">
        <f>VLOOKUP(O535,'Component List'!W$3:X$30,2,FALSE)</f>
        <v>#N/A</v>
      </c>
    </row>
    <row r="536" spans="1:30" ht="30" customHeight="1" x14ac:dyDescent="0.3">
      <c r="A536" s="231"/>
      <c r="B536" s="173"/>
      <c r="C536" s="78"/>
      <c r="D536" s="78"/>
      <c r="E536" s="79"/>
      <c r="F536" s="78"/>
      <c r="G536" s="78"/>
      <c r="H536" s="78"/>
      <c r="I536" s="78"/>
      <c r="J536" s="78"/>
      <c r="K536" s="110"/>
      <c r="L536" s="110"/>
      <c r="M536" s="78"/>
      <c r="N536" s="78"/>
      <c r="O536" s="117"/>
      <c r="P536" s="114" t="e">
        <f t="shared" si="7"/>
        <v>#N/A</v>
      </c>
      <c r="Q536" s="77" t="e">
        <f>VLOOKUP($B536,'Component List'!$A$2:$B$30,2,FALSE)</f>
        <v>#N/A</v>
      </c>
      <c r="R536" s="77" t="e">
        <f>VLOOKUP($C536,'Component List'!C$2:D$28,2,FALSE)</f>
        <v>#N/A</v>
      </c>
      <c r="S536" s="77" t="e">
        <f>VLOOKUP($D536,'Component List'!E$2:F$30,2,FALSE)</f>
        <v>#N/A</v>
      </c>
      <c r="T536" s="77" t="e">
        <f>VLOOKUP($E536,'Component List'!G$2:H$30,2,FALSE)</f>
        <v>#N/A</v>
      </c>
      <c r="U536" s="77" t="e">
        <f>VLOOKUP($F536,'Component List'!I$2:J$30,2,FALSE)</f>
        <v>#N/A</v>
      </c>
      <c r="V536" s="77" t="e">
        <f>VLOOKUP(G536,'Component List'!K$2:L$30,2,FALSE)</f>
        <v>#N/A</v>
      </c>
      <c r="W536" s="77" t="e">
        <f>VLOOKUP(H536,'Component List'!M$2:N$31,2,FALSE)</f>
        <v>#N/A</v>
      </c>
      <c r="X536" s="77" t="e">
        <f>VLOOKUP(I536,'Component List'!O$2:P$30,2,FALSE)</f>
        <v>#N/A</v>
      </c>
      <c r="Y536" s="77" t="e">
        <f>VLOOKUP(J536,'Component List'!Q$2:R$30,2,FALSE)</f>
        <v>#N/A</v>
      </c>
      <c r="Z536" s="77" t="e">
        <f>VLOOKUP(K536,'Component List'!S$2:T$30,2,FALSE)</f>
        <v>#N/A</v>
      </c>
      <c r="AA536" s="77" t="e">
        <f>VLOOKUP(L536,'Component List'!U$2:V$30,2,FALSE)</f>
        <v>#N/A</v>
      </c>
      <c r="AB536" s="77" t="e">
        <f>VLOOKUP(M536,'Component List'!AA$2:AB$30,2,FALSE)</f>
        <v>#N/A</v>
      </c>
      <c r="AC536" s="77" t="e">
        <f>VLOOKUP(N536,'Component List'!Y$2:Z$30,2,FALSE)</f>
        <v>#N/A</v>
      </c>
      <c r="AD536" s="159" t="e">
        <f>VLOOKUP(O536,'Component List'!W$3:X$30,2,FALSE)</f>
        <v>#N/A</v>
      </c>
    </row>
    <row r="537" spans="1:30" ht="30" customHeight="1" x14ac:dyDescent="0.3">
      <c r="A537" s="231"/>
      <c r="B537" s="173"/>
      <c r="C537" s="78"/>
      <c r="D537" s="78"/>
      <c r="E537" s="79"/>
      <c r="F537" s="78"/>
      <c r="G537" s="78"/>
      <c r="H537" s="78"/>
      <c r="I537" s="78"/>
      <c r="J537" s="78"/>
      <c r="K537" s="110"/>
      <c r="L537" s="110"/>
      <c r="M537" s="78"/>
      <c r="N537" s="78"/>
      <c r="O537" s="117"/>
      <c r="P537" s="114" t="e">
        <f t="shared" si="7"/>
        <v>#N/A</v>
      </c>
      <c r="Q537" s="77" t="e">
        <f>VLOOKUP($B537,'Component List'!$A$2:$B$30,2,FALSE)</f>
        <v>#N/A</v>
      </c>
      <c r="R537" s="77" t="e">
        <f>VLOOKUP($C537,'Component List'!C$2:D$28,2,FALSE)</f>
        <v>#N/A</v>
      </c>
      <c r="S537" s="77" t="e">
        <f>VLOOKUP($D537,'Component List'!E$2:F$30,2,FALSE)</f>
        <v>#N/A</v>
      </c>
      <c r="T537" s="77" t="e">
        <f>VLOOKUP($E537,'Component List'!G$2:H$30,2,FALSE)</f>
        <v>#N/A</v>
      </c>
      <c r="U537" s="77" t="e">
        <f>VLOOKUP($F537,'Component List'!I$2:J$30,2,FALSE)</f>
        <v>#N/A</v>
      </c>
      <c r="V537" s="77" t="e">
        <f>VLOOKUP(G537,'Component List'!K$2:L$30,2,FALSE)</f>
        <v>#N/A</v>
      </c>
      <c r="W537" s="77" t="e">
        <f>VLOOKUP(H537,'Component List'!M$2:N$31,2,FALSE)</f>
        <v>#N/A</v>
      </c>
      <c r="X537" s="77" t="e">
        <f>VLOOKUP(I537,'Component List'!O$2:P$30,2,FALSE)</f>
        <v>#N/A</v>
      </c>
      <c r="Y537" s="77" t="e">
        <f>VLOOKUP(J537,'Component List'!Q$2:R$30,2,FALSE)</f>
        <v>#N/A</v>
      </c>
      <c r="Z537" s="77" t="e">
        <f>VLOOKUP(K537,'Component List'!S$2:T$30,2,FALSE)</f>
        <v>#N/A</v>
      </c>
      <c r="AA537" s="77" t="e">
        <f>VLOOKUP(L537,'Component List'!U$2:V$30,2,FALSE)</f>
        <v>#N/A</v>
      </c>
      <c r="AB537" s="77" t="e">
        <f>VLOOKUP(M537,'Component List'!AA$2:AB$30,2,FALSE)</f>
        <v>#N/A</v>
      </c>
      <c r="AC537" s="77" t="e">
        <f>VLOOKUP(N537,'Component List'!Y$2:Z$30,2,FALSE)</f>
        <v>#N/A</v>
      </c>
      <c r="AD537" s="159" t="e">
        <f>VLOOKUP(O537,'Component List'!W$3:X$30,2,FALSE)</f>
        <v>#N/A</v>
      </c>
    </row>
    <row r="538" spans="1:30" ht="30" customHeight="1" x14ac:dyDescent="0.3">
      <c r="A538" s="231"/>
      <c r="B538" s="173"/>
      <c r="C538" s="78"/>
      <c r="D538" s="78"/>
      <c r="E538" s="79"/>
      <c r="F538" s="78"/>
      <c r="G538" s="78"/>
      <c r="H538" s="78"/>
      <c r="I538" s="78"/>
      <c r="J538" s="78"/>
      <c r="K538" s="110"/>
      <c r="L538" s="110"/>
      <c r="M538" s="78"/>
      <c r="N538" s="78"/>
      <c r="O538" s="117"/>
      <c r="P538" s="114" t="e">
        <f t="shared" si="7"/>
        <v>#N/A</v>
      </c>
      <c r="Q538" s="77" t="e">
        <f>VLOOKUP($B538,'Component List'!$A$2:$B$30,2,FALSE)</f>
        <v>#N/A</v>
      </c>
      <c r="R538" s="77" t="e">
        <f>VLOOKUP($C538,'Component List'!C$2:D$28,2,FALSE)</f>
        <v>#N/A</v>
      </c>
      <c r="S538" s="77" t="e">
        <f>VLOOKUP($D538,'Component List'!E$2:F$30,2,FALSE)</f>
        <v>#N/A</v>
      </c>
      <c r="T538" s="77" t="e">
        <f>VLOOKUP($E538,'Component List'!G$2:H$30,2,FALSE)</f>
        <v>#N/A</v>
      </c>
      <c r="U538" s="77" t="e">
        <f>VLOOKUP($F538,'Component List'!I$2:J$30,2,FALSE)</f>
        <v>#N/A</v>
      </c>
      <c r="V538" s="77" t="e">
        <f>VLOOKUP(G538,'Component List'!K$2:L$30,2,FALSE)</f>
        <v>#N/A</v>
      </c>
      <c r="W538" s="77" t="e">
        <f>VLOOKUP(H538,'Component List'!M$2:N$31,2,FALSE)</f>
        <v>#N/A</v>
      </c>
      <c r="X538" s="77" t="e">
        <f>VLOOKUP(I538,'Component List'!O$2:P$30,2,FALSE)</f>
        <v>#N/A</v>
      </c>
      <c r="Y538" s="77" t="e">
        <f>VLOOKUP(J538,'Component List'!Q$2:R$30,2,FALSE)</f>
        <v>#N/A</v>
      </c>
      <c r="Z538" s="77" t="e">
        <f>VLOOKUP(K538,'Component List'!S$2:T$30,2,FALSE)</f>
        <v>#N/A</v>
      </c>
      <c r="AA538" s="77" t="e">
        <f>VLOOKUP(L538,'Component List'!U$2:V$30,2,FALSE)</f>
        <v>#N/A</v>
      </c>
      <c r="AB538" s="77" t="e">
        <f>VLOOKUP(M538,'Component List'!AA$2:AB$30,2,FALSE)</f>
        <v>#N/A</v>
      </c>
      <c r="AC538" s="77" t="e">
        <f>VLOOKUP(N538,'Component List'!Y$2:Z$30,2,FALSE)</f>
        <v>#N/A</v>
      </c>
      <c r="AD538" s="159" t="e">
        <f>VLOOKUP(O538,'Component List'!W$3:X$30,2,FALSE)</f>
        <v>#N/A</v>
      </c>
    </row>
    <row r="539" spans="1:30" ht="30" customHeight="1" x14ac:dyDescent="0.3">
      <c r="A539" s="231"/>
      <c r="B539" s="173"/>
      <c r="C539" s="78"/>
      <c r="D539" s="78"/>
      <c r="E539" s="79"/>
      <c r="F539" s="78"/>
      <c r="G539" s="78"/>
      <c r="H539" s="78"/>
      <c r="I539" s="78"/>
      <c r="J539" s="78"/>
      <c r="K539" s="110"/>
      <c r="L539" s="110"/>
      <c r="M539" s="78"/>
      <c r="N539" s="78"/>
      <c r="O539" s="117"/>
      <c r="P539" s="114" t="e">
        <f t="shared" si="7"/>
        <v>#N/A</v>
      </c>
      <c r="Q539" s="77" t="e">
        <f>VLOOKUP($B539,'Component List'!$A$2:$B$30,2,FALSE)</f>
        <v>#N/A</v>
      </c>
      <c r="R539" s="77" t="e">
        <f>VLOOKUP($C539,'Component List'!C$2:D$28,2,FALSE)</f>
        <v>#N/A</v>
      </c>
      <c r="S539" s="77" t="e">
        <f>VLOOKUP($D539,'Component List'!E$2:F$30,2,FALSE)</f>
        <v>#N/A</v>
      </c>
      <c r="T539" s="77" t="e">
        <f>VLOOKUP($E539,'Component List'!G$2:H$30,2,FALSE)</f>
        <v>#N/A</v>
      </c>
      <c r="U539" s="77" t="e">
        <f>VLOOKUP($F539,'Component List'!I$2:J$30,2,FALSE)</f>
        <v>#N/A</v>
      </c>
      <c r="V539" s="77" t="e">
        <f>VLOOKUP(G539,'Component List'!K$2:L$30,2,FALSE)</f>
        <v>#N/A</v>
      </c>
      <c r="W539" s="77" t="e">
        <f>VLOOKUP(H539,'Component List'!M$2:N$31,2,FALSE)</f>
        <v>#N/A</v>
      </c>
      <c r="X539" s="77" t="e">
        <f>VLOOKUP(I539,'Component List'!O$2:P$30,2,FALSE)</f>
        <v>#N/A</v>
      </c>
      <c r="Y539" s="77" t="e">
        <f>VLOOKUP(J539,'Component List'!Q$2:R$30,2,FALSE)</f>
        <v>#N/A</v>
      </c>
      <c r="Z539" s="77" t="e">
        <f>VLOOKUP(K539,'Component List'!S$2:T$30,2,FALSE)</f>
        <v>#N/A</v>
      </c>
      <c r="AA539" s="77" t="e">
        <f>VLOOKUP(L539,'Component List'!U$2:V$30,2,FALSE)</f>
        <v>#N/A</v>
      </c>
      <c r="AB539" s="77" t="e">
        <f>VLOOKUP(M539,'Component List'!AA$2:AB$30,2,FALSE)</f>
        <v>#N/A</v>
      </c>
      <c r="AC539" s="77" t="e">
        <f>VLOOKUP(N539,'Component List'!Y$2:Z$30,2,FALSE)</f>
        <v>#N/A</v>
      </c>
      <c r="AD539" s="159" t="e">
        <f>VLOOKUP(O539,'Component List'!W$3:X$30,2,FALSE)</f>
        <v>#N/A</v>
      </c>
    </row>
    <row r="540" spans="1:30" ht="30" customHeight="1" x14ac:dyDescent="0.3">
      <c r="A540" s="231"/>
      <c r="B540" s="173"/>
      <c r="C540" s="78"/>
      <c r="D540" s="78"/>
      <c r="E540" s="79"/>
      <c r="F540" s="78"/>
      <c r="G540" s="78"/>
      <c r="H540" s="78"/>
      <c r="I540" s="78"/>
      <c r="J540" s="78"/>
      <c r="K540" s="110"/>
      <c r="L540" s="110"/>
      <c r="M540" s="78"/>
      <c r="N540" s="78"/>
      <c r="O540" s="117"/>
      <c r="P540" s="114" t="e">
        <f t="shared" si="7"/>
        <v>#N/A</v>
      </c>
      <c r="Q540" s="77" t="e">
        <f>VLOOKUP($B540,'Component List'!$A$2:$B$30,2,FALSE)</f>
        <v>#N/A</v>
      </c>
      <c r="R540" s="77" t="e">
        <f>VLOOKUP($C540,'Component List'!C$2:D$28,2,FALSE)</f>
        <v>#N/A</v>
      </c>
      <c r="S540" s="77" t="e">
        <f>VLOOKUP($D540,'Component List'!E$2:F$30,2,FALSE)</f>
        <v>#N/A</v>
      </c>
      <c r="T540" s="77" t="e">
        <f>VLOOKUP($E540,'Component List'!G$2:H$30,2,FALSE)</f>
        <v>#N/A</v>
      </c>
      <c r="U540" s="77" t="e">
        <f>VLOOKUP($F540,'Component List'!I$2:J$30,2,FALSE)</f>
        <v>#N/A</v>
      </c>
      <c r="V540" s="77" t="e">
        <f>VLOOKUP(G540,'Component List'!K$2:L$30,2,FALSE)</f>
        <v>#N/A</v>
      </c>
      <c r="W540" s="77" t="e">
        <f>VLOOKUP(H540,'Component List'!M$2:N$31,2,FALSE)</f>
        <v>#N/A</v>
      </c>
      <c r="X540" s="77" t="e">
        <f>VLOOKUP(I540,'Component List'!O$2:P$30,2,FALSE)</f>
        <v>#N/A</v>
      </c>
      <c r="Y540" s="77" t="e">
        <f>VLOOKUP(J540,'Component List'!Q$2:R$30,2,FALSE)</f>
        <v>#N/A</v>
      </c>
      <c r="Z540" s="77" t="e">
        <f>VLOOKUP(K540,'Component List'!S$2:T$30,2,FALSE)</f>
        <v>#N/A</v>
      </c>
      <c r="AA540" s="77" t="e">
        <f>VLOOKUP(L540,'Component List'!U$2:V$30,2,FALSE)</f>
        <v>#N/A</v>
      </c>
      <c r="AB540" s="77" t="e">
        <f>VLOOKUP(M540,'Component List'!AA$2:AB$30,2,FALSE)</f>
        <v>#N/A</v>
      </c>
      <c r="AC540" s="77" t="e">
        <f>VLOOKUP(N540,'Component List'!Y$2:Z$30,2,FALSE)</f>
        <v>#N/A</v>
      </c>
      <c r="AD540" s="159" t="e">
        <f>VLOOKUP(O540,'Component List'!W$3:X$30,2,FALSE)</f>
        <v>#N/A</v>
      </c>
    </row>
    <row r="541" spans="1:30" ht="30" customHeight="1" x14ac:dyDescent="0.3">
      <c r="A541" s="231"/>
      <c r="B541" s="173"/>
      <c r="C541" s="78"/>
      <c r="D541" s="78"/>
      <c r="E541" s="79"/>
      <c r="F541" s="78"/>
      <c r="G541" s="78"/>
      <c r="H541" s="78"/>
      <c r="I541" s="78"/>
      <c r="J541" s="78"/>
      <c r="K541" s="110"/>
      <c r="L541" s="110"/>
      <c r="M541" s="78"/>
      <c r="N541" s="78"/>
      <c r="O541" s="117"/>
      <c r="P541" s="114" t="e">
        <f t="shared" si="7"/>
        <v>#N/A</v>
      </c>
      <c r="Q541" s="77" t="e">
        <f>VLOOKUP($B541,'Component List'!$A$2:$B$30,2,FALSE)</f>
        <v>#N/A</v>
      </c>
      <c r="R541" s="77" t="e">
        <f>VLOOKUP($C541,'Component List'!C$2:D$28,2,FALSE)</f>
        <v>#N/A</v>
      </c>
      <c r="S541" s="77" t="e">
        <f>VLOOKUP($D541,'Component List'!E$2:F$30,2,FALSE)</f>
        <v>#N/A</v>
      </c>
      <c r="T541" s="77" t="e">
        <f>VLOOKUP($E541,'Component List'!G$2:H$30,2,FALSE)</f>
        <v>#N/A</v>
      </c>
      <c r="U541" s="77" t="e">
        <f>VLOOKUP($F541,'Component List'!I$2:J$30,2,FALSE)</f>
        <v>#N/A</v>
      </c>
      <c r="V541" s="77" t="e">
        <f>VLOOKUP(G541,'Component List'!K$2:L$30,2,FALSE)</f>
        <v>#N/A</v>
      </c>
      <c r="W541" s="77" t="e">
        <f>VLOOKUP(H541,'Component List'!M$2:N$31,2,FALSE)</f>
        <v>#N/A</v>
      </c>
      <c r="X541" s="77" t="e">
        <f>VLOOKUP(I541,'Component List'!O$2:P$30,2,FALSE)</f>
        <v>#N/A</v>
      </c>
      <c r="Y541" s="77" t="e">
        <f>VLOOKUP(J541,'Component List'!Q$2:R$30,2,FALSE)</f>
        <v>#N/A</v>
      </c>
      <c r="Z541" s="77" t="e">
        <f>VLOOKUP(K541,'Component List'!S$2:T$30,2,FALSE)</f>
        <v>#N/A</v>
      </c>
      <c r="AA541" s="77" t="e">
        <f>VLOOKUP(L541,'Component List'!U$2:V$30,2,FALSE)</f>
        <v>#N/A</v>
      </c>
      <c r="AB541" s="77" t="e">
        <f>VLOOKUP(M541,'Component List'!AA$2:AB$30,2,FALSE)</f>
        <v>#N/A</v>
      </c>
      <c r="AC541" s="77" t="e">
        <f>VLOOKUP(N541,'Component List'!Y$2:Z$30,2,FALSE)</f>
        <v>#N/A</v>
      </c>
      <c r="AD541" s="159" t="e">
        <f>VLOOKUP(O541,'Component List'!W$3:X$30,2,FALSE)</f>
        <v>#N/A</v>
      </c>
    </row>
    <row r="542" spans="1:30" ht="30" customHeight="1" x14ac:dyDescent="0.3">
      <c r="A542" s="231"/>
      <c r="B542" s="173"/>
      <c r="C542" s="78"/>
      <c r="D542" s="78"/>
      <c r="E542" s="79"/>
      <c r="F542" s="78"/>
      <c r="G542" s="78"/>
      <c r="H542" s="78"/>
      <c r="I542" s="78"/>
      <c r="J542" s="78"/>
      <c r="K542" s="110"/>
      <c r="L542" s="110"/>
      <c r="M542" s="78"/>
      <c r="N542" s="78"/>
      <c r="O542" s="117"/>
      <c r="P542" s="114" t="e">
        <f t="shared" si="7"/>
        <v>#N/A</v>
      </c>
      <c r="Q542" s="77" t="e">
        <f>VLOOKUP($B542,'Component List'!$A$2:$B$30,2,FALSE)</f>
        <v>#N/A</v>
      </c>
      <c r="R542" s="77" t="e">
        <f>VLOOKUP($C542,'Component List'!C$2:D$28,2,FALSE)</f>
        <v>#N/A</v>
      </c>
      <c r="S542" s="77" t="e">
        <f>VLOOKUP($D542,'Component List'!E$2:F$30,2,FALSE)</f>
        <v>#N/A</v>
      </c>
      <c r="T542" s="77" t="e">
        <f>VLOOKUP($E542,'Component List'!G$2:H$30,2,FALSE)</f>
        <v>#N/A</v>
      </c>
      <c r="U542" s="77" t="e">
        <f>VLOOKUP($F542,'Component List'!I$2:J$30,2,FALSE)</f>
        <v>#N/A</v>
      </c>
      <c r="V542" s="77" t="e">
        <f>VLOOKUP(G542,'Component List'!K$2:L$30,2,FALSE)</f>
        <v>#N/A</v>
      </c>
      <c r="W542" s="77" t="e">
        <f>VLOOKUP(H542,'Component List'!M$2:N$31,2,FALSE)</f>
        <v>#N/A</v>
      </c>
      <c r="X542" s="77" t="e">
        <f>VLOOKUP(I542,'Component List'!O$2:P$30,2,FALSE)</f>
        <v>#N/A</v>
      </c>
      <c r="Y542" s="77" t="e">
        <f>VLOOKUP(J542,'Component List'!Q$2:R$30,2,FALSE)</f>
        <v>#N/A</v>
      </c>
      <c r="Z542" s="77" t="e">
        <f>VLOOKUP(K542,'Component List'!S$2:T$30,2,FALSE)</f>
        <v>#N/A</v>
      </c>
      <c r="AA542" s="77" t="e">
        <f>VLOOKUP(L542,'Component List'!U$2:V$30,2,FALSE)</f>
        <v>#N/A</v>
      </c>
      <c r="AB542" s="77" t="e">
        <f>VLOOKUP(M542,'Component List'!AA$2:AB$30,2,FALSE)</f>
        <v>#N/A</v>
      </c>
      <c r="AC542" s="77" t="e">
        <f>VLOOKUP(N542,'Component List'!Y$2:Z$30,2,FALSE)</f>
        <v>#N/A</v>
      </c>
      <c r="AD542" s="159" t="e">
        <f>VLOOKUP(O542,'Component List'!W$3:X$30,2,FALSE)</f>
        <v>#N/A</v>
      </c>
    </row>
    <row r="543" spans="1:30" ht="30" customHeight="1" x14ac:dyDescent="0.3">
      <c r="A543" s="231"/>
      <c r="B543" s="173"/>
      <c r="C543" s="78"/>
      <c r="D543" s="78"/>
      <c r="E543" s="79"/>
      <c r="F543" s="78"/>
      <c r="G543" s="78"/>
      <c r="H543" s="78"/>
      <c r="I543" s="78"/>
      <c r="J543" s="78"/>
      <c r="K543" s="110"/>
      <c r="L543" s="110"/>
      <c r="M543" s="78"/>
      <c r="N543" s="78"/>
      <c r="O543" s="117"/>
      <c r="P543" s="114" t="e">
        <f t="shared" si="7"/>
        <v>#N/A</v>
      </c>
      <c r="Q543" s="77" t="e">
        <f>VLOOKUP($B543,'Component List'!$A$2:$B$30,2,FALSE)</f>
        <v>#N/A</v>
      </c>
      <c r="R543" s="77" t="e">
        <f>VLOOKUP($C543,'Component List'!C$2:D$28,2,FALSE)</f>
        <v>#N/A</v>
      </c>
      <c r="S543" s="77" t="e">
        <f>VLOOKUP($D543,'Component List'!E$2:F$30,2,FALSE)</f>
        <v>#N/A</v>
      </c>
      <c r="T543" s="77" t="e">
        <f>VLOOKUP($E543,'Component List'!G$2:H$30,2,FALSE)</f>
        <v>#N/A</v>
      </c>
      <c r="U543" s="77" t="e">
        <f>VLOOKUP($F543,'Component List'!I$2:J$30,2,FALSE)</f>
        <v>#N/A</v>
      </c>
      <c r="V543" s="77" t="e">
        <f>VLOOKUP(G543,'Component List'!K$2:L$30,2,FALSE)</f>
        <v>#N/A</v>
      </c>
      <c r="W543" s="77" t="e">
        <f>VLOOKUP(H543,'Component List'!M$2:N$31,2,FALSE)</f>
        <v>#N/A</v>
      </c>
      <c r="X543" s="77" t="e">
        <f>VLOOKUP(I543,'Component List'!O$2:P$30,2,FALSE)</f>
        <v>#N/A</v>
      </c>
      <c r="Y543" s="77" t="e">
        <f>VLOOKUP(J543,'Component List'!Q$2:R$30,2,FALSE)</f>
        <v>#N/A</v>
      </c>
      <c r="Z543" s="77" t="e">
        <f>VLOOKUP(K543,'Component List'!S$2:T$30,2,FALSE)</f>
        <v>#N/A</v>
      </c>
      <c r="AA543" s="77" t="e">
        <f>VLOOKUP(L543,'Component List'!U$2:V$30,2,FALSE)</f>
        <v>#N/A</v>
      </c>
      <c r="AB543" s="77" t="e">
        <f>VLOOKUP(M543,'Component List'!AA$2:AB$30,2,FALSE)</f>
        <v>#N/A</v>
      </c>
      <c r="AC543" s="77" t="e">
        <f>VLOOKUP(N543,'Component List'!Y$2:Z$30,2,FALSE)</f>
        <v>#N/A</v>
      </c>
      <c r="AD543" s="159" t="e">
        <f>VLOOKUP(O543,'Component List'!W$3:X$30,2,FALSE)</f>
        <v>#N/A</v>
      </c>
    </row>
    <row r="544" spans="1:30" ht="30" customHeight="1" x14ac:dyDescent="0.3">
      <c r="A544" s="231"/>
      <c r="B544" s="173"/>
      <c r="C544" s="78"/>
      <c r="D544" s="78"/>
      <c r="E544" s="79"/>
      <c r="F544" s="78"/>
      <c r="G544" s="78"/>
      <c r="H544" s="78"/>
      <c r="I544" s="78"/>
      <c r="J544" s="78"/>
      <c r="K544" s="110"/>
      <c r="L544" s="110"/>
      <c r="M544" s="78"/>
      <c r="N544" s="78"/>
      <c r="O544" s="117"/>
      <c r="P544" s="114" t="e">
        <f t="shared" si="7"/>
        <v>#N/A</v>
      </c>
      <c r="Q544" s="77" t="e">
        <f>VLOOKUP($B544,'Component List'!$A$2:$B$30,2,FALSE)</f>
        <v>#N/A</v>
      </c>
      <c r="R544" s="77" t="e">
        <f>VLOOKUP($C544,'Component List'!C$2:D$28,2,FALSE)</f>
        <v>#N/A</v>
      </c>
      <c r="S544" s="77" t="e">
        <f>VLOOKUP($D544,'Component List'!E$2:F$30,2,FALSE)</f>
        <v>#N/A</v>
      </c>
      <c r="T544" s="77" t="e">
        <f>VLOOKUP($E544,'Component List'!G$2:H$30,2,FALSE)</f>
        <v>#N/A</v>
      </c>
      <c r="U544" s="77" t="e">
        <f>VLOOKUP($F544,'Component List'!I$2:J$30,2,FALSE)</f>
        <v>#N/A</v>
      </c>
      <c r="V544" s="77" t="e">
        <f>VLOOKUP(G544,'Component List'!K$2:L$30,2,FALSE)</f>
        <v>#N/A</v>
      </c>
      <c r="W544" s="77" t="e">
        <f>VLOOKUP(H544,'Component List'!M$2:N$31,2,FALSE)</f>
        <v>#N/A</v>
      </c>
      <c r="X544" s="77" t="e">
        <f>VLOOKUP(I544,'Component List'!O$2:P$30,2,FALSE)</f>
        <v>#N/A</v>
      </c>
      <c r="Y544" s="77" t="e">
        <f>VLOOKUP(J544,'Component List'!Q$2:R$30,2,FALSE)</f>
        <v>#N/A</v>
      </c>
      <c r="Z544" s="77" t="e">
        <f>VLOOKUP(K544,'Component List'!S$2:T$30,2,FALSE)</f>
        <v>#N/A</v>
      </c>
      <c r="AA544" s="77" t="e">
        <f>VLOOKUP(L544,'Component List'!U$2:V$30,2,FALSE)</f>
        <v>#N/A</v>
      </c>
      <c r="AB544" s="77" t="e">
        <f>VLOOKUP(M544,'Component List'!AA$2:AB$30,2,FALSE)</f>
        <v>#N/A</v>
      </c>
      <c r="AC544" s="77" t="e">
        <f>VLOOKUP(N544,'Component List'!Y$2:Z$30,2,FALSE)</f>
        <v>#N/A</v>
      </c>
      <c r="AD544" s="159" t="e">
        <f>VLOOKUP(O544,'Component List'!W$3:X$30,2,FALSE)</f>
        <v>#N/A</v>
      </c>
    </row>
    <row r="545" spans="1:30" ht="30" customHeight="1" x14ac:dyDescent="0.3">
      <c r="A545" s="231"/>
      <c r="B545" s="173"/>
      <c r="C545" s="78"/>
      <c r="D545" s="78"/>
      <c r="E545" s="79"/>
      <c r="F545" s="78"/>
      <c r="G545" s="78"/>
      <c r="H545" s="78"/>
      <c r="I545" s="78"/>
      <c r="J545" s="78"/>
      <c r="K545" s="110"/>
      <c r="L545" s="110"/>
      <c r="M545" s="78"/>
      <c r="N545" s="78"/>
      <c r="O545" s="117"/>
      <c r="P545" s="114" t="e">
        <f t="shared" si="7"/>
        <v>#N/A</v>
      </c>
      <c r="Q545" s="77" t="e">
        <f>VLOOKUP($B545,'Component List'!$A$2:$B$30,2,FALSE)</f>
        <v>#N/A</v>
      </c>
      <c r="R545" s="77" t="e">
        <f>VLOOKUP($C545,'Component List'!C$2:D$28,2,FALSE)</f>
        <v>#N/A</v>
      </c>
      <c r="S545" s="77" t="e">
        <f>VLOOKUP($D545,'Component List'!E$2:F$30,2,FALSE)</f>
        <v>#N/A</v>
      </c>
      <c r="T545" s="77" t="e">
        <f>VLOOKUP($E545,'Component List'!G$2:H$30,2,FALSE)</f>
        <v>#N/A</v>
      </c>
      <c r="U545" s="77" t="e">
        <f>VLOOKUP($F545,'Component List'!I$2:J$30,2,FALSE)</f>
        <v>#N/A</v>
      </c>
      <c r="V545" s="77" t="e">
        <f>VLOOKUP(G545,'Component List'!K$2:L$30,2,FALSE)</f>
        <v>#N/A</v>
      </c>
      <c r="W545" s="77" t="e">
        <f>VLOOKUP(H545,'Component List'!M$2:N$31,2,FALSE)</f>
        <v>#N/A</v>
      </c>
      <c r="X545" s="77" t="e">
        <f>VLOOKUP(I545,'Component List'!O$2:P$30,2,FALSE)</f>
        <v>#N/A</v>
      </c>
      <c r="Y545" s="77" t="e">
        <f>VLOOKUP(J545,'Component List'!Q$2:R$30,2,FALSE)</f>
        <v>#N/A</v>
      </c>
      <c r="Z545" s="77" t="e">
        <f>VLOOKUP(K545,'Component List'!S$2:T$30,2,FALSE)</f>
        <v>#N/A</v>
      </c>
      <c r="AA545" s="77" t="e">
        <f>VLOOKUP(L545,'Component List'!U$2:V$30,2,FALSE)</f>
        <v>#N/A</v>
      </c>
      <c r="AB545" s="77" t="e">
        <f>VLOOKUP(M545,'Component List'!AA$2:AB$30,2,FALSE)</f>
        <v>#N/A</v>
      </c>
      <c r="AC545" s="77" t="e">
        <f>VLOOKUP(N545,'Component List'!Y$2:Z$30,2,FALSE)</f>
        <v>#N/A</v>
      </c>
      <c r="AD545" s="159" t="e">
        <f>VLOOKUP(O545,'Component List'!W$3:X$30,2,FALSE)</f>
        <v>#N/A</v>
      </c>
    </row>
    <row r="546" spans="1:30" ht="30" customHeight="1" x14ac:dyDescent="0.3">
      <c r="A546" s="231"/>
      <c r="B546" s="173"/>
      <c r="C546" s="78"/>
      <c r="D546" s="78"/>
      <c r="E546" s="79"/>
      <c r="F546" s="78"/>
      <c r="G546" s="78"/>
      <c r="H546" s="78"/>
      <c r="I546" s="78"/>
      <c r="J546" s="78"/>
      <c r="K546" s="110"/>
      <c r="L546" s="110"/>
      <c r="M546" s="78"/>
      <c r="N546" s="78"/>
      <c r="O546" s="117"/>
      <c r="P546" s="114" t="e">
        <f t="shared" si="7"/>
        <v>#N/A</v>
      </c>
      <c r="Q546" s="77" t="e">
        <f>VLOOKUP($B546,'Component List'!$A$2:$B$30,2,FALSE)</f>
        <v>#N/A</v>
      </c>
      <c r="R546" s="77" t="e">
        <f>VLOOKUP($C546,'Component List'!C$2:D$28,2,FALSE)</f>
        <v>#N/A</v>
      </c>
      <c r="S546" s="77" t="e">
        <f>VLOOKUP($D546,'Component List'!E$2:F$30,2,FALSE)</f>
        <v>#N/A</v>
      </c>
      <c r="T546" s="77" t="e">
        <f>VLOOKUP($E546,'Component List'!G$2:H$30,2,FALSE)</f>
        <v>#N/A</v>
      </c>
      <c r="U546" s="77" t="e">
        <f>VLOOKUP($F546,'Component List'!I$2:J$30,2,FALSE)</f>
        <v>#N/A</v>
      </c>
      <c r="V546" s="77" t="e">
        <f>VLOOKUP(G546,'Component List'!K$2:L$30,2,FALSE)</f>
        <v>#N/A</v>
      </c>
      <c r="W546" s="77" t="e">
        <f>VLOOKUP(H546,'Component List'!M$2:N$31,2,FALSE)</f>
        <v>#N/A</v>
      </c>
      <c r="X546" s="77" t="e">
        <f>VLOOKUP(I546,'Component List'!O$2:P$30,2,FALSE)</f>
        <v>#N/A</v>
      </c>
      <c r="Y546" s="77" t="e">
        <f>VLOOKUP(J546,'Component List'!Q$2:R$30,2,FALSE)</f>
        <v>#N/A</v>
      </c>
      <c r="Z546" s="77" t="e">
        <f>VLOOKUP(K546,'Component List'!S$2:T$30,2,FALSE)</f>
        <v>#N/A</v>
      </c>
      <c r="AA546" s="77" t="e">
        <f>VLOOKUP(L546,'Component List'!U$2:V$30,2,FALSE)</f>
        <v>#N/A</v>
      </c>
      <c r="AB546" s="77" t="e">
        <f>VLOOKUP(M546,'Component List'!AA$2:AB$30,2,FALSE)</f>
        <v>#N/A</v>
      </c>
      <c r="AC546" s="77" t="e">
        <f>VLOOKUP(N546,'Component List'!Y$2:Z$30,2,FALSE)</f>
        <v>#N/A</v>
      </c>
      <c r="AD546" s="159" t="e">
        <f>VLOOKUP(O546,'Component List'!W$3:X$30,2,FALSE)</f>
        <v>#N/A</v>
      </c>
    </row>
    <row r="547" spans="1:30" ht="30" customHeight="1" x14ac:dyDescent="0.3">
      <c r="A547" s="231"/>
      <c r="B547" s="173"/>
      <c r="C547" s="78"/>
      <c r="D547" s="78"/>
      <c r="E547" s="79"/>
      <c r="F547" s="78"/>
      <c r="G547" s="78"/>
      <c r="H547" s="78"/>
      <c r="I547" s="78"/>
      <c r="J547" s="78"/>
      <c r="K547" s="110"/>
      <c r="L547" s="110"/>
      <c r="M547" s="78"/>
      <c r="N547" s="78"/>
      <c r="O547" s="117"/>
      <c r="P547" s="114" t="e">
        <f t="shared" si="7"/>
        <v>#N/A</v>
      </c>
      <c r="Q547" s="77" t="e">
        <f>VLOOKUP($B547,'Component List'!$A$2:$B$30,2,FALSE)</f>
        <v>#N/A</v>
      </c>
      <c r="R547" s="77" t="e">
        <f>VLOOKUP($C547,'Component List'!C$2:D$28,2,FALSE)</f>
        <v>#N/A</v>
      </c>
      <c r="S547" s="77" t="e">
        <f>VLOOKUP($D547,'Component List'!E$2:F$30,2,FALSE)</f>
        <v>#N/A</v>
      </c>
      <c r="T547" s="77" t="e">
        <f>VLOOKUP($E547,'Component List'!G$2:H$30,2,FALSE)</f>
        <v>#N/A</v>
      </c>
      <c r="U547" s="77" t="e">
        <f>VLOOKUP($F547,'Component List'!I$2:J$30,2,FALSE)</f>
        <v>#N/A</v>
      </c>
      <c r="V547" s="77" t="e">
        <f>VLOOKUP(G547,'Component List'!K$2:L$30,2,FALSE)</f>
        <v>#N/A</v>
      </c>
      <c r="W547" s="77" t="e">
        <f>VLOOKUP(H547,'Component List'!M$2:N$31,2,FALSE)</f>
        <v>#N/A</v>
      </c>
      <c r="X547" s="77" t="e">
        <f>VLOOKUP(I547,'Component List'!O$2:P$30,2,FALSE)</f>
        <v>#N/A</v>
      </c>
      <c r="Y547" s="77" t="e">
        <f>VLOOKUP(J547,'Component List'!Q$2:R$30,2,FALSE)</f>
        <v>#N/A</v>
      </c>
      <c r="Z547" s="77" t="e">
        <f>VLOOKUP(K547,'Component List'!S$2:T$30,2,FALSE)</f>
        <v>#N/A</v>
      </c>
      <c r="AA547" s="77" t="e">
        <f>VLOOKUP(L547,'Component List'!U$2:V$30,2,FALSE)</f>
        <v>#N/A</v>
      </c>
      <c r="AB547" s="77" t="e">
        <f>VLOOKUP(M547,'Component List'!AA$2:AB$30,2,FALSE)</f>
        <v>#N/A</v>
      </c>
      <c r="AC547" s="77" t="e">
        <f>VLOOKUP(N547,'Component List'!Y$2:Z$30,2,FALSE)</f>
        <v>#N/A</v>
      </c>
      <c r="AD547" s="159" t="e">
        <f>VLOOKUP(O547,'Component List'!W$3:X$30,2,FALSE)</f>
        <v>#N/A</v>
      </c>
    </row>
    <row r="548" spans="1:30" ht="30" customHeight="1" x14ac:dyDescent="0.3">
      <c r="A548" s="231"/>
      <c r="B548" s="173"/>
      <c r="C548" s="78"/>
      <c r="D548" s="78"/>
      <c r="E548" s="79"/>
      <c r="F548" s="78"/>
      <c r="G548" s="78"/>
      <c r="H548" s="78"/>
      <c r="I548" s="78"/>
      <c r="J548" s="78"/>
      <c r="K548" s="110"/>
      <c r="L548" s="110"/>
      <c r="M548" s="78"/>
      <c r="N548" s="78"/>
      <c r="O548" s="117"/>
      <c r="P548" s="114" t="e">
        <f t="shared" si="7"/>
        <v>#N/A</v>
      </c>
      <c r="Q548" s="77" t="e">
        <f>VLOOKUP($B548,'Component List'!$A$2:$B$30,2,FALSE)</f>
        <v>#N/A</v>
      </c>
      <c r="R548" s="77" t="e">
        <f>VLOOKUP($C548,'Component List'!C$2:D$28,2,FALSE)</f>
        <v>#N/A</v>
      </c>
      <c r="S548" s="77" t="e">
        <f>VLOOKUP($D548,'Component List'!E$2:F$30,2,FALSE)</f>
        <v>#N/A</v>
      </c>
      <c r="T548" s="77" t="e">
        <f>VLOOKUP($E548,'Component List'!G$2:H$30,2,FALSE)</f>
        <v>#N/A</v>
      </c>
      <c r="U548" s="77" t="e">
        <f>VLOOKUP($F548,'Component List'!I$2:J$30,2,FALSE)</f>
        <v>#N/A</v>
      </c>
      <c r="V548" s="77" t="e">
        <f>VLOOKUP(G548,'Component List'!K$2:L$30,2,FALSE)</f>
        <v>#N/A</v>
      </c>
      <c r="W548" s="77" t="e">
        <f>VLOOKUP(H548,'Component List'!M$2:N$31,2,FALSE)</f>
        <v>#N/A</v>
      </c>
      <c r="X548" s="77" t="e">
        <f>VLOOKUP(I548,'Component List'!O$2:P$30,2,FALSE)</f>
        <v>#N/A</v>
      </c>
      <c r="Y548" s="77" t="e">
        <f>VLOOKUP(J548,'Component List'!Q$2:R$30,2,FALSE)</f>
        <v>#N/A</v>
      </c>
      <c r="Z548" s="77" t="e">
        <f>VLOOKUP(K548,'Component List'!S$2:T$30,2,FALSE)</f>
        <v>#N/A</v>
      </c>
      <c r="AA548" s="77" t="e">
        <f>VLOOKUP(L548,'Component List'!U$2:V$30,2,FALSE)</f>
        <v>#N/A</v>
      </c>
      <c r="AB548" s="77" t="e">
        <f>VLOOKUP(M548,'Component List'!AA$2:AB$30,2,FALSE)</f>
        <v>#N/A</v>
      </c>
      <c r="AC548" s="77" t="e">
        <f>VLOOKUP(N548,'Component List'!Y$2:Z$30,2,FALSE)</f>
        <v>#N/A</v>
      </c>
      <c r="AD548" s="159" t="e">
        <f>VLOOKUP(O548,'Component List'!W$3:X$30,2,FALSE)</f>
        <v>#N/A</v>
      </c>
    </row>
    <row r="549" spans="1:30" ht="30" customHeight="1" x14ac:dyDescent="0.3">
      <c r="A549" s="231"/>
      <c r="B549" s="173"/>
      <c r="C549" s="78"/>
      <c r="D549" s="78"/>
      <c r="E549" s="79"/>
      <c r="F549" s="78"/>
      <c r="G549" s="78"/>
      <c r="H549" s="78"/>
      <c r="I549" s="78"/>
      <c r="J549" s="78"/>
      <c r="K549" s="110"/>
      <c r="L549" s="110"/>
      <c r="M549" s="78"/>
      <c r="N549" s="78"/>
      <c r="O549" s="117"/>
      <c r="P549" s="114" t="e">
        <f t="shared" si="7"/>
        <v>#N/A</v>
      </c>
      <c r="Q549" s="77" t="e">
        <f>VLOOKUP($B549,'Component List'!$A$2:$B$30,2,FALSE)</f>
        <v>#N/A</v>
      </c>
      <c r="R549" s="77" t="e">
        <f>VLOOKUP($C549,'Component List'!C$2:D$28,2,FALSE)</f>
        <v>#N/A</v>
      </c>
      <c r="S549" s="77" t="e">
        <f>VLOOKUP($D549,'Component List'!E$2:F$30,2,FALSE)</f>
        <v>#N/A</v>
      </c>
      <c r="T549" s="77" t="e">
        <f>VLOOKUP($E549,'Component List'!G$2:H$30,2,FALSE)</f>
        <v>#N/A</v>
      </c>
      <c r="U549" s="77" t="e">
        <f>VLOOKUP($F549,'Component List'!I$2:J$30,2,FALSE)</f>
        <v>#N/A</v>
      </c>
      <c r="V549" s="77" t="e">
        <f>VLOOKUP(G549,'Component List'!K$2:L$30,2,FALSE)</f>
        <v>#N/A</v>
      </c>
      <c r="W549" s="77" t="e">
        <f>VLOOKUP(H549,'Component List'!M$2:N$31,2,FALSE)</f>
        <v>#N/A</v>
      </c>
      <c r="X549" s="77" t="e">
        <f>VLOOKUP(I549,'Component List'!O$2:P$30,2,FALSE)</f>
        <v>#N/A</v>
      </c>
      <c r="Y549" s="77" t="e">
        <f>VLOOKUP(J549,'Component List'!Q$2:R$30,2,FALSE)</f>
        <v>#N/A</v>
      </c>
      <c r="Z549" s="77" t="e">
        <f>VLOOKUP(K549,'Component List'!S$2:T$30,2,FALSE)</f>
        <v>#N/A</v>
      </c>
      <c r="AA549" s="77" t="e">
        <f>VLOOKUP(L549,'Component List'!U$2:V$30,2,FALSE)</f>
        <v>#N/A</v>
      </c>
      <c r="AB549" s="77" t="e">
        <f>VLOOKUP(M549,'Component List'!AA$2:AB$30,2,FALSE)</f>
        <v>#N/A</v>
      </c>
      <c r="AC549" s="77" t="e">
        <f>VLOOKUP(N549,'Component List'!Y$2:Z$30,2,FALSE)</f>
        <v>#N/A</v>
      </c>
      <c r="AD549" s="159" t="e">
        <f>VLOOKUP(O549,'Component List'!W$3:X$30,2,FALSE)</f>
        <v>#N/A</v>
      </c>
    </row>
    <row r="550" spans="1:30" ht="30" customHeight="1" x14ac:dyDescent="0.3">
      <c r="A550" s="231"/>
      <c r="B550" s="173"/>
      <c r="C550" s="78"/>
      <c r="D550" s="78"/>
      <c r="E550" s="79"/>
      <c r="F550" s="78"/>
      <c r="G550" s="78"/>
      <c r="H550" s="78"/>
      <c r="I550" s="78"/>
      <c r="J550" s="78"/>
      <c r="K550" s="110"/>
      <c r="L550" s="110"/>
      <c r="M550" s="78"/>
      <c r="N550" s="78"/>
      <c r="O550" s="117"/>
      <c r="P550" s="114" t="e">
        <f t="shared" si="7"/>
        <v>#N/A</v>
      </c>
      <c r="Q550" s="77" t="e">
        <f>VLOOKUP($B550,'Component List'!$A$2:$B$30,2,FALSE)</f>
        <v>#N/A</v>
      </c>
      <c r="R550" s="77" t="e">
        <f>VLOOKUP($C550,'Component List'!C$2:D$28,2,FALSE)</f>
        <v>#N/A</v>
      </c>
      <c r="S550" s="77" t="e">
        <f>VLOOKUP($D550,'Component List'!E$2:F$30,2,FALSE)</f>
        <v>#N/A</v>
      </c>
      <c r="T550" s="77" t="e">
        <f>VLOOKUP($E550,'Component List'!G$2:H$30,2,FALSE)</f>
        <v>#N/A</v>
      </c>
      <c r="U550" s="77" t="e">
        <f>VLOOKUP($F550,'Component List'!I$2:J$30,2,FALSE)</f>
        <v>#N/A</v>
      </c>
      <c r="V550" s="77" t="e">
        <f>VLOOKUP(G550,'Component List'!K$2:L$30,2,FALSE)</f>
        <v>#N/A</v>
      </c>
      <c r="W550" s="77" t="e">
        <f>VLOOKUP(H550,'Component List'!M$2:N$31,2,FALSE)</f>
        <v>#N/A</v>
      </c>
      <c r="X550" s="77" t="e">
        <f>VLOOKUP(I550,'Component List'!O$2:P$30,2,FALSE)</f>
        <v>#N/A</v>
      </c>
      <c r="Y550" s="77" t="e">
        <f>VLOOKUP(J550,'Component List'!Q$2:R$30,2,FALSE)</f>
        <v>#N/A</v>
      </c>
      <c r="Z550" s="77" t="e">
        <f>VLOOKUP(K550,'Component List'!S$2:T$30,2,FALSE)</f>
        <v>#N/A</v>
      </c>
      <c r="AA550" s="77" t="e">
        <f>VLOOKUP(L550,'Component List'!U$2:V$30,2,FALSE)</f>
        <v>#N/A</v>
      </c>
      <c r="AB550" s="77" t="e">
        <f>VLOOKUP(M550,'Component List'!AA$2:AB$30,2,FALSE)</f>
        <v>#N/A</v>
      </c>
      <c r="AC550" s="77" t="e">
        <f>VLOOKUP(N550,'Component List'!Y$2:Z$30,2,FALSE)</f>
        <v>#N/A</v>
      </c>
      <c r="AD550" s="159" t="e">
        <f>VLOOKUP(O550,'Component List'!W$3:X$30,2,FALSE)</f>
        <v>#N/A</v>
      </c>
    </row>
    <row r="551" spans="1:30" ht="30" customHeight="1" x14ac:dyDescent="0.3">
      <c r="A551" s="231"/>
      <c r="B551" s="173"/>
      <c r="C551" s="78"/>
      <c r="D551" s="78"/>
      <c r="E551" s="79"/>
      <c r="F551" s="78"/>
      <c r="G551" s="78"/>
      <c r="H551" s="78"/>
      <c r="I551" s="78"/>
      <c r="J551" s="78"/>
      <c r="K551" s="110"/>
      <c r="L551" s="110"/>
      <c r="M551" s="78"/>
      <c r="N551" s="78"/>
      <c r="O551" s="117"/>
      <c r="P551" s="114" t="e">
        <f t="shared" si="7"/>
        <v>#N/A</v>
      </c>
      <c r="Q551" s="77" t="e">
        <f>VLOOKUP($B551,'Component List'!$A$2:$B$30,2,FALSE)</f>
        <v>#N/A</v>
      </c>
      <c r="R551" s="77" t="e">
        <f>VLOOKUP($C551,'Component List'!C$2:D$28,2,FALSE)</f>
        <v>#N/A</v>
      </c>
      <c r="S551" s="77" t="e">
        <f>VLOOKUP($D551,'Component List'!E$2:F$30,2,FALSE)</f>
        <v>#N/A</v>
      </c>
      <c r="T551" s="77" t="e">
        <f>VLOOKUP($E551,'Component List'!G$2:H$30,2,FALSE)</f>
        <v>#N/A</v>
      </c>
      <c r="U551" s="77" t="e">
        <f>VLOOKUP($F551,'Component List'!I$2:J$30,2,FALSE)</f>
        <v>#N/A</v>
      </c>
      <c r="V551" s="77" t="e">
        <f>VLOOKUP(G551,'Component List'!K$2:L$30,2,FALSE)</f>
        <v>#N/A</v>
      </c>
      <c r="W551" s="77" t="e">
        <f>VLOOKUP(H551,'Component List'!M$2:N$31,2,FALSE)</f>
        <v>#N/A</v>
      </c>
      <c r="X551" s="77" t="e">
        <f>VLOOKUP(I551,'Component List'!O$2:P$30,2,FALSE)</f>
        <v>#N/A</v>
      </c>
      <c r="Y551" s="77" t="e">
        <f>VLOOKUP(J551,'Component List'!Q$2:R$30,2,FALSE)</f>
        <v>#N/A</v>
      </c>
      <c r="Z551" s="77" t="e">
        <f>VLOOKUP(K551,'Component List'!S$2:T$30,2,FALSE)</f>
        <v>#N/A</v>
      </c>
      <c r="AA551" s="77" t="e">
        <f>VLOOKUP(L551,'Component List'!U$2:V$30,2,FALSE)</f>
        <v>#N/A</v>
      </c>
      <c r="AB551" s="77" t="e">
        <f>VLOOKUP(M551,'Component List'!AA$2:AB$30,2,FALSE)</f>
        <v>#N/A</v>
      </c>
      <c r="AC551" s="77" t="e">
        <f>VLOOKUP(N551,'Component List'!Y$2:Z$30,2,FALSE)</f>
        <v>#N/A</v>
      </c>
      <c r="AD551" s="159" t="e">
        <f>VLOOKUP(O551,'Component List'!W$3:X$30,2,FALSE)</f>
        <v>#N/A</v>
      </c>
    </row>
    <row r="552" spans="1:30" ht="30" customHeight="1" x14ac:dyDescent="0.3">
      <c r="A552" s="231"/>
      <c r="B552" s="173"/>
      <c r="C552" s="78"/>
      <c r="D552" s="78"/>
      <c r="E552" s="79"/>
      <c r="F552" s="78"/>
      <c r="G552" s="78"/>
      <c r="H552" s="78"/>
      <c r="I552" s="78"/>
      <c r="J552" s="78"/>
      <c r="K552" s="110"/>
      <c r="L552" s="110"/>
      <c r="M552" s="78"/>
      <c r="N552" s="78"/>
      <c r="O552" s="117"/>
      <c r="P552" s="114" t="e">
        <f t="shared" si="7"/>
        <v>#N/A</v>
      </c>
      <c r="Q552" s="77" t="e">
        <f>VLOOKUP($B552,'Component List'!$A$2:$B$30,2,FALSE)</f>
        <v>#N/A</v>
      </c>
      <c r="R552" s="77" t="e">
        <f>VLOOKUP($C552,'Component List'!C$2:D$28,2,FALSE)</f>
        <v>#N/A</v>
      </c>
      <c r="S552" s="77" t="e">
        <f>VLOOKUP($D552,'Component List'!E$2:F$30,2,FALSE)</f>
        <v>#N/A</v>
      </c>
      <c r="T552" s="77" t="e">
        <f>VLOOKUP($E552,'Component List'!G$2:H$30,2,FALSE)</f>
        <v>#N/A</v>
      </c>
      <c r="U552" s="77" t="e">
        <f>VLOOKUP($F552,'Component List'!I$2:J$30,2,FALSE)</f>
        <v>#N/A</v>
      </c>
      <c r="V552" s="77" t="e">
        <f>VLOOKUP(G552,'Component List'!K$2:L$30,2,FALSE)</f>
        <v>#N/A</v>
      </c>
      <c r="W552" s="77" t="e">
        <f>VLOOKUP(H552,'Component List'!M$2:N$31,2,FALSE)</f>
        <v>#N/A</v>
      </c>
      <c r="X552" s="77" t="e">
        <f>VLOOKUP(I552,'Component List'!O$2:P$30,2,FALSE)</f>
        <v>#N/A</v>
      </c>
      <c r="Y552" s="77" t="e">
        <f>VLOOKUP(J552,'Component List'!Q$2:R$30,2,FALSE)</f>
        <v>#N/A</v>
      </c>
      <c r="Z552" s="77" t="e">
        <f>VLOOKUP(K552,'Component List'!S$2:T$30,2,FALSE)</f>
        <v>#N/A</v>
      </c>
      <c r="AA552" s="77" t="e">
        <f>VLOOKUP(L552,'Component List'!U$2:V$30,2,FALSE)</f>
        <v>#N/A</v>
      </c>
      <c r="AB552" s="77" t="e">
        <f>VLOOKUP(M552,'Component List'!AA$2:AB$30,2,FALSE)</f>
        <v>#N/A</v>
      </c>
      <c r="AC552" s="77" t="e">
        <f>VLOOKUP(N552,'Component List'!Y$2:Z$30,2,FALSE)</f>
        <v>#N/A</v>
      </c>
      <c r="AD552" s="159" t="e">
        <f>VLOOKUP(O552,'Component List'!W$3:X$30,2,FALSE)</f>
        <v>#N/A</v>
      </c>
    </row>
    <row r="553" spans="1:30" ht="30" customHeight="1" x14ac:dyDescent="0.3">
      <c r="A553" s="231"/>
      <c r="B553" s="173"/>
      <c r="C553" s="78"/>
      <c r="D553" s="78"/>
      <c r="E553" s="79"/>
      <c r="F553" s="78"/>
      <c r="G553" s="78"/>
      <c r="H553" s="78"/>
      <c r="I553" s="78"/>
      <c r="J553" s="78"/>
      <c r="K553" s="110"/>
      <c r="L553" s="110"/>
      <c r="M553" s="78"/>
      <c r="N553" s="78"/>
      <c r="O553" s="117"/>
      <c r="P553" s="114" t="e">
        <f t="shared" si="7"/>
        <v>#N/A</v>
      </c>
      <c r="Q553" s="77" t="e">
        <f>VLOOKUP($B553,'Component List'!$A$2:$B$30,2,FALSE)</f>
        <v>#N/A</v>
      </c>
      <c r="R553" s="77" t="e">
        <f>VLOOKUP($C553,'Component List'!C$2:D$28,2,FALSE)</f>
        <v>#N/A</v>
      </c>
      <c r="S553" s="77" t="e">
        <f>VLOOKUP($D553,'Component List'!E$2:F$30,2,FALSE)</f>
        <v>#N/A</v>
      </c>
      <c r="T553" s="77" t="e">
        <f>VLOOKUP($E553,'Component List'!G$2:H$30,2,FALSE)</f>
        <v>#N/A</v>
      </c>
      <c r="U553" s="77" t="e">
        <f>VLOOKUP($F553,'Component List'!I$2:J$30,2,FALSE)</f>
        <v>#N/A</v>
      </c>
      <c r="V553" s="77" t="e">
        <f>VLOOKUP(G553,'Component List'!K$2:L$30,2,FALSE)</f>
        <v>#N/A</v>
      </c>
      <c r="W553" s="77" t="e">
        <f>VLOOKUP(H553,'Component List'!M$2:N$31,2,FALSE)</f>
        <v>#N/A</v>
      </c>
      <c r="X553" s="77" t="e">
        <f>VLOOKUP(I553,'Component List'!O$2:P$30,2,FALSE)</f>
        <v>#N/A</v>
      </c>
      <c r="Y553" s="77" t="e">
        <f>VLOOKUP(J553,'Component List'!Q$2:R$30,2,FALSE)</f>
        <v>#N/A</v>
      </c>
      <c r="Z553" s="77" t="e">
        <f>VLOOKUP(K553,'Component List'!S$2:T$30,2,FALSE)</f>
        <v>#N/A</v>
      </c>
      <c r="AA553" s="77" t="e">
        <f>VLOOKUP(L553,'Component List'!U$2:V$30,2,FALSE)</f>
        <v>#N/A</v>
      </c>
      <c r="AB553" s="77" t="e">
        <f>VLOOKUP(M553,'Component List'!AA$2:AB$30,2,FALSE)</f>
        <v>#N/A</v>
      </c>
      <c r="AC553" s="77" t="e">
        <f>VLOOKUP(N553,'Component List'!Y$2:Z$30,2,FALSE)</f>
        <v>#N/A</v>
      </c>
      <c r="AD553" s="159" t="e">
        <f>VLOOKUP(O553,'Component List'!W$3:X$30,2,FALSE)</f>
        <v>#N/A</v>
      </c>
    </row>
    <row r="554" spans="1:30" ht="30" customHeight="1" x14ac:dyDescent="0.3">
      <c r="A554" s="231"/>
      <c r="B554" s="173"/>
      <c r="C554" s="78"/>
      <c r="D554" s="78"/>
      <c r="E554" s="79"/>
      <c r="F554" s="78"/>
      <c r="G554" s="78"/>
      <c r="H554" s="78"/>
      <c r="I554" s="78"/>
      <c r="J554" s="78"/>
      <c r="K554" s="110"/>
      <c r="L554" s="110"/>
      <c r="M554" s="78"/>
      <c r="N554" s="78"/>
      <c r="O554" s="117"/>
      <c r="P554" s="114" t="e">
        <f t="shared" si="7"/>
        <v>#N/A</v>
      </c>
      <c r="Q554" s="77" t="e">
        <f>VLOOKUP($B554,'Component List'!$A$2:$B$30,2,FALSE)</f>
        <v>#N/A</v>
      </c>
      <c r="R554" s="77" t="e">
        <f>VLOOKUP($C554,'Component List'!C$2:D$28,2,FALSE)</f>
        <v>#N/A</v>
      </c>
      <c r="S554" s="77" t="e">
        <f>VLOOKUP($D554,'Component List'!E$2:F$30,2,FALSE)</f>
        <v>#N/A</v>
      </c>
      <c r="T554" s="77" t="e">
        <f>VLOOKUP($E554,'Component List'!G$2:H$30,2,FALSE)</f>
        <v>#N/A</v>
      </c>
      <c r="U554" s="77" t="e">
        <f>VLOOKUP($F554,'Component List'!I$2:J$30,2,FALSE)</f>
        <v>#N/A</v>
      </c>
      <c r="V554" s="77" t="e">
        <f>VLOOKUP(G554,'Component List'!K$2:L$30,2,FALSE)</f>
        <v>#N/A</v>
      </c>
      <c r="W554" s="77" t="e">
        <f>VLOOKUP(H554,'Component List'!M$2:N$31,2,FALSE)</f>
        <v>#N/A</v>
      </c>
      <c r="X554" s="77" t="e">
        <f>VLOOKUP(I554,'Component List'!O$2:P$30,2,FALSE)</f>
        <v>#N/A</v>
      </c>
      <c r="Y554" s="77" t="e">
        <f>VLOOKUP(J554,'Component List'!Q$2:R$30,2,FALSE)</f>
        <v>#N/A</v>
      </c>
      <c r="Z554" s="77" t="e">
        <f>VLOOKUP(K554,'Component List'!S$2:T$30,2,FALSE)</f>
        <v>#N/A</v>
      </c>
      <c r="AA554" s="77" t="e">
        <f>VLOOKUP(L554,'Component List'!U$2:V$30,2,FALSE)</f>
        <v>#N/A</v>
      </c>
      <c r="AB554" s="77" t="e">
        <f>VLOOKUP(M554,'Component List'!AA$2:AB$30,2,FALSE)</f>
        <v>#N/A</v>
      </c>
      <c r="AC554" s="77" t="e">
        <f>VLOOKUP(N554,'Component List'!Y$2:Z$30,2,FALSE)</f>
        <v>#N/A</v>
      </c>
      <c r="AD554" s="159" t="e">
        <f>VLOOKUP(O554,'Component List'!W$3:X$30,2,FALSE)</f>
        <v>#N/A</v>
      </c>
    </row>
    <row r="555" spans="1:30" ht="30" customHeight="1" x14ac:dyDescent="0.3">
      <c r="A555" s="231"/>
      <c r="B555" s="173"/>
      <c r="C555" s="78"/>
      <c r="D555" s="78"/>
      <c r="E555" s="79"/>
      <c r="F555" s="78"/>
      <c r="G555" s="78"/>
      <c r="H555" s="78"/>
      <c r="I555" s="78"/>
      <c r="J555" s="78"/>
      <c r="K555" s="110"/>
      <c r="L555" s="110"/>
      <c r="M555" s="78"/>
      <c r="N555" s="78"/>
      <c r="O555" s="117"/>
      <c r="P555" s="114" t="e">
        <f t="shared" si="7"/>
        <v>#N/A</v>
      </c>
      <c r="Q555" s="77" t="e">
        <f>VLOOKUP($B555,'Component List'!$A$2:$B$30,2,FALSE)</f>
        <v>#N/A</v>
      </c>
      <c r="R555" s="77" t="e">
        <f>VLOOKUP($C555,'Component List'!C$2:D$28,2,FALSE)</f>
        <v>#N/A</v>
      </c>
      <c r="S555" s="77" t="e">
        <f>VLOOKUP($D555,'Component List'!E$2:F$30,2,FALSE)</f>
        <v>#N/A</v>
      </c>
      <c r="T555" s="77" t="e">
        <f>VLOOKUP($E555,'Component List'!G$2:H$30,2,FALSE)</f>
        <v>#N/A</v>
      </c>
      <c r="U555" s="77" t="e">
        <f>VLOOKUP($F555,'Component List'!I$2:J$30,2,FALSE)</f>
        <v>#N/A</v>
      </c>
      <c r="V555" s="77" t="e">
        <f>VLOOKUP(G555,'Component List'!K$2:L$30,2,FALSE)</f>
        <v>#N/A</v>
      </c>
      <c r="W555" s="77" t="e">
        <f>VLOOKUP(H555,'Component List'!M$2:N$31,2,FALSE)</f>
        <v>#N/A</v>
      </c>
      <c r="X555" s="77" t="e">
        <f>VLOOKUP(I555,'Component List'!O$2:P$30,2,FALSE)</f>
        <v>#N/A</v>
      </c>
      <c r="Y555" s="77" t="e">
        <f>VLOOKUP(J555,'Component List'!Q$2:R$30,2,FALSE)</f>
        <v>#N/A</v>
      </c>
      <c r="Z555" s="77" t="e">
        <f>VLOOKUP(K555,'Component List'!S$2:T$30,2,FALSE)</f>
        <v>#N/A</v>
      </c>
      <c r="AA555" s="77" t="e">
        <f>VLOOKUP(L555,'Component List'!U$2:V$30,2,FALSE)</f>
        <v>#N/A</v>
      </c>
      <c r="AB555" s="77" t="e">
        <f>VLOOKUP(M555,'Component List'!AA$2:AB$30,2,FALSE)</f>
        <v>#N/A</v>
      </c>
      <c r="AC555" s="77" t="e">
        <f>VLOOKUP(N555,'Component List'!Y$2:Z$30,2,FALSE)</f>
        <v>#N/A</v>
      </c>
      <c r="AD555" s="159" t="e">
        <f>VLOOKUP(O555,'Component List'!W$3:X$30,2,FALSE)</f>
        <v>#N/A</v>
      </c>
    </row>
    <row r="556" spans="1:30" ht="30" customHeight="1" x14ac:dyDescent="0.3">
      <c r="A556" s="231"/>
      <c r="B556" s="173"/>
      <c r="C556" s="78"/>
      <c r="D556" s="78"/>
      <c r="E556" s="79"/>
      <c r="F556" s="78"/>
      <c r="G556" s="78"/>
      <c r="H556" s="78"/>
      <c r="I556" s="78"/>
      <c r="J556" s="78"/>
      <c r="K556" s="110"/>
      <c r="L556" s="110"/>
      <c r="M556" s="78"/>
      <c r="N556" s="78"/>
      <c r="O556" s="117"/>
      <c r="P556" s="114" t="e">
        <f t="shared" si="7"/>
        <v>#N/A</v>
      </c>
      <c r="Q556" s="77" t="e">
        <f>VLOOKUP($B556,'Component List'!$A$2:$B$30,2,FALSE)</f>
        <v>#N/A</v>
      </c>
      <c r="R556" s="77" t="e">
        <f>VLOOKUP($C556,'Component List'!C$2:D$28,2,FALSE)</f>
        <v>#N/A</v>
      </c>
      <c r="S556" s="77" t="e">
        <f>VLOOKUP($D556,'Component List'!E$2:F$30,2,FALSE)</f>
        <v>#N/A</v>
      </c>
      <c r="T556" s="77" t="e">
        <f>VLOOKUP($E556,'Component List'!G$2:H$30,2,FALSE)</f>
        <v>#N/A</v>
      </c>
      <c r="U556" s="77" t="e">
        <f>VLOOKUP($F556,'Component List'!I$2:J$30,2,FALSE)</f>
        <v>#N/A</v>
      </c>
      <c r="V556" s="77" t="e">
        <f>VLOOKUP(G556,'Component List'!K$2:L$30,2,FALSE)</f>
        <v>#N/A</v>
      </c>
      <c r="W556" s="77" t="e">
        <f>VLOOKUP(H556,'Component List'!M$2:N$31,2,FALSE)</f>
        <v>#N/A</v>
      </c>
      <c r="X556" s="77" t="e">
        <f>VLOOKUP(I556,'Component List'!O$2:P$30,2,FALSE)</f>
        <v>#N/A</v>
      </c>
      <c r="Y556" s="77" t="e">
        <f>VLOOKUP(J556,'Component List'!Q$2:R$30,2,FALSE)</f>
        <v>#N/A</v>
      </c>
      <c r="Z556" s="77" t="e">
        <f>VLOOKUP(K556,'Component List'!S$2:T$30,2,FALSE)</f>
        <v>#N/A</v>
      </c>
      <c r="AA556" s="77" t="e">
        <f>VLOOKUP(L556,'Component List'!U$2:V$30,2,FALSE)</f>
        <v>#N/A</v>
      </c>
      <c r="AB556" s="77" t="e">
        <f>VLOOKUP(M556,'Component List'!AA$2:AB$30,2,FALSE)</f>
        <v>#N/A</v>
      </c>
      <c r="AC556" s="77" t="e">
        <f>VLOOKUP(N556,'Component List'!Y$2:Z$30,2,FALSE)</f>
        <v>#N/A</v>
      </c>
      <c r="AD556" s="159" t="e">
        <f>VLOOKUP(O556,'Component List'!W$3:X$30,2,FALSE)</f>
        <v>#N/A</v>
      </c>
    </row>
    <row r="557" spans="1:30" ht="30" customHeight="1" x14ac:dyDescent="0.3">
      <c r="A557" s="231"/>
      <c r="B557" s="173"/>
      <c r="C557" s="78"/>
      <c r="D557" s="78"/>
      <c r="E557" s="79"/>
      <c r="F557" s="78"/>
      <c r="G557" s="78"/>
      <c r="H557" s="78"/>
      <c r="I557" s="78"/>
      <c r="J557" s="78"/>
      <c r="K557" s="110"/>
      <c r="L557" s="110"/>
      <c r="M557" s="78"/>
      <c r="N557" s="78"/>
      <c r="O557" s="117"/>
      <c r="P557" s="114" t="e">
        <f t="shared" si="7"/>
        <v>#N/A</v>
      </c>
      <c r="Q557" s="77" t="e">
        <f>VLOOKUP($B557,'Component List'!$A$2:$B$30,2,FALSE)</f>
        <v>#N/A</v>
      </c>
      <c r="R557" s="77" t="e">
        <f>VLOOKUP($C557,'Component List'!C$2:D$28,2,FALSE)</f>
        <v>#N/A</v>
      </c>
      <c r="S557" s="77" t="e">
        <f>VLOOKUP($D557,'Component List'!E$2:F$30,2,FALSE)</f>
        <v>#N/A</v>
      </c>
      <c r="T557" s="77" t="e">
        <f>VLOOKUP($E557,'Component List'!G$2:H$30,2,FALSE)</f>
        <v>#N/A</v>
      </c>
      <c r="U557" s="77" t="e">
        <f>VLOOKUP($F557,'Component List'!I$2:J$30,2,FALSE)</f>
        <v>#N/A</v>
      </c>
      <c r="V557" s="77" t="e">
        <f>VLOOKUP(G557,'Component List'!K$2:L$30,2,FALSE)</f>
        <v>#N/A</v>
      </c>
      <c r="W557" s="77" t="e">
        <f>VLOOKUP(H557,'Component List'!M$2:N$31,2,FALSE)</f>
        <v>#N/A</v>
      </c>
      <c r="X557" s="77" t="e">
        <f>VLOOKUP(I557,'Component List'!O$2:P$30,2,FALSE)</f>
        <v>#N/A</v>
      </c>
      <c r="Y557" s="77" t="e">
        <f>VLOOKUP(J557,'Component List'!Q$2:R$30,2,FALSE)</f>
        <v>#N/A</v>
      </c>
      <c r="Z557" s="77" t="e">
        <f>VLOOKUP(K557,'Component List'!S$2:T$30,2,FALSE)</f>
        <v>#N/A</v>
      </c>
      <c r="AA557" s="77" t="e">
        <f>VLOOKUP(L557,'Component List'!U$2:V$30,2,FALSE)</f>
        <v>#N/A</v>
      </c>
      <c r="AB557" s="77" t="e">
        <f>VLOOKUP(M557,'Component List'!AA$2:AB$30,2,FALSE)</f>
        <v>#N/A</v>
      </c>
      <c r="AC557" s="77" t="e">
        <f>VLOOKUP(N557,'Component List'!Y$2:Z$30,2,FALSE)</f>
        <v>#N/A</v>
      </c>
      <c r="AD557" s="159" t="e">
        <f>VLOOKUP(O557,'Component List'!W$3:X$30,2,FALSE)</f>
        <v>#N/A</v>
      </c>
    </row>
    <row r="558" spans="1:30" ht="30" customHeight="1" x14ac:dyDescent="0.3">
      <c r="A558" s="231"/>
      <c r="B558" s="173"/>
      <c r="C558" s="78"/>
      <c r="D558" s="78"/>
      <c r="E558" s="79"/>
      <c r="F558" s="78"/>
      <c r="G558" s="78"/>
      <c r="H558" s="78"/>
      <c r="I558" s="78"/>
      <c r="J558" s="78"/>
      <c r="K558" s="110"/>
      <c r="L558" s="110"/>
      <c r="M558" s="78"/>
      <c r="N558" s="78"/>
      <c r="O558" s="117"/>
      <c r="P558" s="114" t="e">
        <f t="shared" si="7"/>
        <v>#N/A</v>
      </c>
      <c r="Q558" s="77" t="e">
        <f>VLOOKUP($B558,'Component List'!$A$2:$B$30,2,FALSE)</f>
        <v>#N/A</v>
      </c>
      <c r="R558" s="77" t="e">
        <f>VLOOKUP($C558,'Component List'!C$2:D$28,2,FALSE)</f>
        <v>#N/A</v>
      </c>
      <c r="S558" s="77" t="e">
        <f>VLOOKUP($D558,'Component List'!E$2:F$30,2,FALSE)</f>
        <v>#N/A</v>
      </c>
      <c r="T558" s="77" t="e">
        <f>VLOOKUP($E558,'Component List'!G$2:H$30,2,FALSE)</f>
        <v>#N/A</v>
      </c>
      <c r="U558" s="77" t="e">
        <f>VLOOKUP($F558,'Component List'!I$2:J$30,2,FALSE)</f>
        <v>#N/A</v>
      </c>
      <c r="V558" s="77" t="e">
        <f>VLOOKUP(G558,'Component List'!K$2:L$30,2,FALSE)</f>
        <v>#N/A</v>
      </c>
      <c r="W558" s="77" t="e">
        <f>VLOOKUP(H558,'Component List'!M$2:N$31,2,FALSE)</f>
        <v>#N/A</v>
      </c>
      <c r="X558" s="77" t="e">
        <f>VLOOKUP(I558,'Component List'!O$2:P$30,2,FALSE)</f>
        <v>#N/A</v>
      </c>
      <c r="Y558" s="77" t="e">
        <f>VLOOKUP(J558,'Component List'!Q$2:R$30,2,FALSE)</f>
        <v>#N/A</v>
      </c>
      <c r="Z558" s="77" t="e">
        <f>VLOOKUP(K558,'Component List'!S$2:T$30,2,FALSE)</f>
        <v>#N/A</v>
      </c>
      <c r="AA558" s="77" t="e">
        <f>VLOOKUP(L558,'Component List'!U$2:V$30,2,FALSE)</f>
        <v>#N/A</v>
      </c>
      <c r="AB558" s="77" t="e">
        <f>VLOOKUP(M558,'Component List'!AA$2:AB$30,2,FALSE)</f>
        <v>#N/A</v>
      </c>
      <c r="AC558" s="77" t="e">
        <f>VLOOKUP(N558,'Component List'!Y$2:Z$30,2,FALSE)</f>
        <v>#N/A</v>
      </c>
      <c r="AD558" s="159" t="e">
        <f>VLOOKUP(O558,'Component List'!W$3:X$30,2,FALSE)</f>
        <v>#N/A</v>
      </c>
    </row>
    <row r="559" spans="1:30" ht="30" customHeight="1" x14ac:dyDescent="0.3">
      <c r="A559" s="231"/>
      <c r="B559" s="173"/>
      <c r="C559" s="78"/>
      <c r="D559" s="78"/>
      <c r="E559" s="79"/>
      <c r="F559" s="78"/>
      <c r="G559" s="78"/>
      <c r="H559" s="78"/>
      <c r="I559" s="78"/>
      <c r="J559" s="78"/>
      <c r="K559" s="110"/>
      <c r="L559" s="110"/>
      <c r="M559" s="78"/>
      <c r="N559" s="78"/>
      <c r="O559" s="117"/>
      <c r="P559" s="114" t="e">
        <f t="shared" si="7"/>
        <v>#N/A</v>
      </c>
      <c r="Q559" s="77" t="e">
        <f>VLOOKUP($B559,'Component List'!$A$2:$B$30,2,FALSE)</f>
        <v>#N/A</v>
      </c>
      <c r="R559" s="77" t="e">
        <f>VLOOKUP($C559,'Component List'!C$2:D$28,2,FALSE)</f>
        <v>#N/A</v>
      </c>
      <c r="S559" s="77" t="e">
        <f>VLOOKUP($D559,'Component List'!E$2:F$30,2,FALSE)</f>
        <v>#N/A</v>
      </c>
      <c r="T559" s="77" t="e">
        <f>VLOOKUP($E559,'Component List'!G$2:H$30,2,FALSE)</f>
        <v>#N/A</v>
      </c>
      <c r="U559" s="77" t="e">
        <f>VLOOKUP($F559,'Component List'!I$2:J$30,2,FALSE)</f>
        <v>#N/A</v>
      </c>
      <c r="V559" s="77" t="e">
        <f>VLOOKUP(G559,'Component List'!K$2:L$30,2,FALSE)</f>
        <v>#N/A</v>
      </c>
      <c r="W559" s="77" t="e">
        <f>VLOOKUP(H559,'Component List'!M$2:N$31,2,FALSE)</f>
        <v>#N/A</v>
      </c>
      <c r="X559" s="77" t="e">
        <f>VLOOKUP(I559,'Component List'!O$2:P$30,2,FALSE)</f>
        <v>#N/A</v>
      </c>
      <c r="Y559" s="77" t="e">
        <f>VLOOKUP(J559,'Component List'!Q$2:R$30,2,FALSE)</f>
        <v>#N/A</v>
      </c>
      <c r="Z559" s="77" t="e">
        <f>VLOOKUP(K559,'Component List'!S$2:T$30,2,FALSE)</f>
        <v>#N/A</v>
      </c>
      <c r="AA559" s="77" t="e">
        <f>VLOOKUP(L559,'Component List'!U$2:V$30,2,FALSE)</f>
        <v>#N/A</v>
      </c>
      <c r="AB559" s="77" t="e">
        <f>VLOOKUP(M559,'Component List'!AA$2:AB$30,2,FALSE)</f>
        <v>#N/A</v>
      </c>
      <c r="AC559" s="77" t="e">
        <f>VLOOKUP(N559,'Component List'!Y$2:Z$30,2,FALSE)</f>
        <v>#N/A</v>
      </c>
      <c r="AD559" s="159" t="e">
        <f>VLOOKUP(O559,'Component List'!W$3:X$30,2,FALSE)</f>
        <v>#N/A</v>
      </c>
    </row>
    <row r="560" spans="1:30" ht="30" customHeight="1" x14ac:dyDescent="0.3">
      <c r="A560" s="231"/>
      <c r="B560" s="173"/>
      <c r="C560" s="78"/>
      <c r="D560" s="78"/>
      <c r="E560" s="79"/>
      <c r="F560" s="78"/>
      <c r="G560" s="78"/>
      <c r="H560" s="78"/>
      <c r="I560" s="78"/>
      <c r="J560" s="78"/>
      <c r="K560" s="110"/>
      <c r="L560" s="110"/>
      <c r="M560" s="78"/>
      <c r="N560" s="78"/>
      <c r="O560" s="117"/>
      <c r="P560" s="114" t="e">
        <f t="shared" si="7"/>
        <v>#N/A</v>
      </c>
      <c r="Q560" s="77" t="e">
        <f>VLOOKUP($B560,'Component List'!$A$2:$B$30,2,FALSE)</f>
        <v>#N/A</v>
      </c>
      <c r="R560" s="77" t="e">
        <f>VLOOKUP($C560,'Component List'!C$2:D$28,2,FALSE)</f>
        <v>#N/A</v>
      </c>
      <c r="S560" s="77" t="e">
        <f>VLOOKUP($D560,'Component List'!E$2:F$30,2,FALSE)</f>
        <v>#N/A</v>
      </c>
      <c r="T560" s="77" t="e">
        <f>VLOOKUP($E560,'Component List'!G$2:H$30,2,FALSE)</f>
        <v>#N/A</v>
      </c>
      <c r="U560" s="77" t="e">
        <f>VLOOKUP($F560,'Component List'!I$2:J$30,2,FALSE)</f>
        <v>#N/A</v>
      </c>
      <c r="V560" s="77" t="e">
        <f>VLOOKUP(G560,'Component List'!K$2:L$30,2,FALSE)</f>
        <v>#N/A</v>
      </c>
      <c r="W560" s="77" t="e">
        <f>VLOOKUP(H560,'Component List'!M$2:N$31,2,FALSE)</f>
        <v>#N/A</v>
      </c>
      <c r="X560" s="77" t="e">
        <f>VLOOKUP(I560,'Component List'!O$2:P$30,2,FALSE)</f>
        <v>#N/A</v>
      </c>
      <c r="Y560" s="77" t="e">
        <f>VLOOKUP(J560,'Component List'!Q$2:R$30,2,FALSE)</f>
        <v>#N/A</v>
      </c>
      <c r="Z560" s="77" t="e">
        <f>VLOOKUP(K560,'Component List'!S$2:T$30,2,FALSE)</f>
        <v>#N/A</v>
      </c>
      <c r="AA560" s="77" t="e">
        <f>VLOOKUP(L560,'Component List'!U$2:V$30,2,FALSE)</f>
        <v>#N/A</v>
      </c>
      <c r="AB560" s="77" t="e">
        <f>VLOOKUP(M560,'Component List'!AA$2:AB$30,2,FALSE)</f>
        <v>#N/A</v>
      </c>
      <c r="AC560" s="77" t="e">
        <f>VLOOKUP(N560,'Component List'!Y$2:Z$30,2,FALSE)</f>
        <v>#N/A</v>
      </c>
      <c r="AD560" s="159" t="e">
        <f>VLOOKUP(O560,'Component List'!W$3:X$30,2,FALSE)</f>
        <v>#N/A</v>
      </c>
    </row>
    <row r="561" spans="1:30" ht="30" customHeight="1" x14ac:dyDescent="0.3">
      <c r="A561" s="231"/>
      <c r="B561" s="173"/>
      <c r="C561" s="78"/>
      <c r="D561" s="78"/>
      <c r="E561" s="79"/>
      <c r="F561" s="78"/>
      <c r="G561" s="78"/>
      <c r="H561" s="78"/>
      <c r="I561" s="78"/>
      <c r="J561" s="78"/>
      <c r="K561" s="110"/>
      <c r="L561" s="110"/>
      <c r="M561" s="78"/>
      <c r="N561" s="78"/>
      <c r="O561" s="117"/>
      <c r="P561" s="114" t="e">
        <f t="shared" si="7"/>
        <v>#N/A</v>
      </c>
      <c r="Q561" s="77" t="e">
        <f>VLOOKUP($B561,'Component List'!$A$2:$B$30,2,FALSE)</f>
        <v>#N/A</v>
      </c>
      <c r="R561" s="77" t="e">
        <f>VLOOKUP($C561,'Component List'!C$2:D$28,2,FALSE)</f>
        <v>#N/A</v>
      </c>
      <c r="S561" s="77" t="e">
        <f>VLOOKUP($D561,'Component List'!E$2:F$30,2,FALSE)</f>
        <v>#N/A</v>
      </c>
      <c r="T561" s="77" t="e">
        <f>VLOOKUP($E561,'Component List'!G$2:H$30,2,FALSE)</f>
        <v>#N/A</v>
      </c>
      <c r="U561" s="77" t="e">
        <f>VLOOKUP($F561,'Component List'!I$2:J$30,2,FALSE)</f>
        <v>#N/A</v>
      </c>
      <c r="V561" s="77" t="e">
        <f>VLOOKUP(G561,'Component List'!K$2:L$30,2,FALSE)</f>
        <v>#N/A</v>
      </c>
      <c r="W561" s="77" t="e">
        <f>VLOOKUP(H561,'Component List'!M$2:N$31,2,FALSE)</f>
        <v>#N/A</v>
      </c>
      <c r="X561" s="77" t="e">
        <f>VLOOKUP(I561,'Component List'!O$2:P$30,2,FALSE)</f>
        <v>#N/A</v>
      </c>
      <c r="Y561" s="77" t="e">
        <f>VLOOKUP(J561,'Component List'!Q$2:R$30,2,FALSE)</f>
        <v>#N/A</v>
      </c>
      <c r="Z561" s="77" t="e">
        <f>VLOOKUP(K561,'Component List'!S$2:T$30,2,FALSE)</f>
        <v>#N/A</v>
      </c>
      <c r="AA561" s="77" t="e">
        <f>VLOOKUP(L561,'Component List'!U$2:V$30,2,FALSE)</f>
        <v>#N/A</v>
      </c>
      <c r="AB561" s="77" t="e">
        <f>VLOOKUP(M561,'Component List'!AA$2:AB$30,2,FALSE)</f>
        <v>#N/A</v>
      </c>
      <c r="AC561" s="77" t="e">
        <f>VLOOKUP(N561,'Component List'!Y$2:Z$30,2,FALSE)</f>
        <v>#N/A</v>
      </c>
      <c r="AD561" s="159" t="e">
        <f>VLOOKUP(O561,'Component List'!W$3:X$30,2,FALSE)</f>
        <v>#N/A</v>
      </c>
    </row>
    <row r="562" spans="1:30" ht="30" customHeight="1" x14ac:dyDescent="0.3">
      <c r="A562" s="231"/>
      <c r="B562" s="173"/>
      <c r="C562" s="78"/>
      <c r="D562" s="78"/>
      <c r="E562" s="79"/>
      <c r="F562" s="78"/>
      <c r="G562" s="78"/>
      <c r="H562" s="78"/>
      <c r="I562" s="78"/>
      <c r="J562" s="78"/>
      <c r="K562" s="110"/>
      <c r="L562" s="110"/>
      <c r="M562" s="78"/>
      <c r="N562" s="78"/>
      <c r="O562" s="117"/>
      <c r="P562" s="114" t="e">
        <f t="shared" si="7"/>
        <v>#N/A</v>
      </c>
      <c r="Q562" s="77" t="e">
        <f>VLOOKUP($B562,'Component List'!$A$2:$B$30,2,FALSE)</f>
        <v>#N/A</v>
      </c>
      <c r="R562" s="77" t="e">
        <f>VLOOKUP($C562,'Component List'!C$2:D$28,2,FALSE)</f>
        <v>#N/A</v>
      </c>
      <c r="S562" s="77" t="e">
        <f>VLOOKUP($D562,'Component List'!E$2:F$30,2,FALSE)</f>
        <v>#N/A</v>
      </c>
      <c r="T562" s="77" t="e">
        <f>VLOOKUP($E562,'Component List'!G$2:H$30,2,FALSE)</f>
        <v>#N/A</v>
      </c>
      <c r="U562" s="77" t="e">
        <f>VLOOKUP($F562,'Component List'!I$2:J$30,2,FALSE)</f>
        <v>#N/A</v>
      </c>
      <c r="V562" s="77" t="e">
        <f>VLOOKUP(G562,'Component List'!K$2:L$30,2,FALSE)</f>
        <v>#N/A</v>
      </c>
      <c r="W562" s="77" t="e">
        <f>VLOOKUP(H562,'Component List'!M$2:N$31,2,FALSE)</f>
        <v>#N/A</v>
      </c>
      <c r="X562" s="77" t="e">
        <f>VLOOKUP(I562,'Component List'!O$2:P$30,2,FALSE)</f>
        <v>#N/A</v>
      </c>
      <c r="Y562" s="77" t="e">
        <f>VLOOKUP(J562,'Component List'!Q$2:R$30,2,FALSE)</f>
        <v>#N/A</v>
      </c>
      <c r="Z562" s="77" t="e">
        <f>VLOOKUP(K562,'Component List'!S$2:T$30,2,FALSE)</f>
        <v>#N/A</v>
      </c>
      <c r="AA562" s="77" t="e">
        <f>VLOOKUP(L562,'Component List'!U$2:V$30,2,FALSE)</f>
        <v>#N/A</v>
      </c>
      <c r="AB562" s="77" t="e">
        <f>VLOOKUP(M562,'Component List'!AA$2:AB$30,2,FALSE)</f>
        <v>#N/A</v>
      </c>
      <c r="AC562" s="77" t="e">
        <f>VLOOKUP(N562,'Component List'!Y$2:Z$30,2,FALSE)</f>
        <v>#N/A</v>
      </c>
      <c r="AD562" s="159" t="e">
        <f>VLOOKUP(O562,'Component List'!W$3:X$30,2,FALSE)</f>
        <v>#N/A</v>
      </c>
    </row>
    <row r="563" spans="1:30" ht="30" customHeight="1" x14ac:dyDescent="0.3">
      <c r="A563" s="231"/>
      <c r="B563" s="173"/>
      <c r="C563" s="78"/>
      <c r="D563" s="78"/>
      <c r="E563" s="79"/>
      <c r="F563" s="78"/>
      <c r="G563" s="78"/>
      <c r="H563" s="78"/>
      <c r="I563" s="78"/>
      <c r="J563" s="78"/>
      <c r="K563" s="110"/>
      <c r="L563" s="110"/>
      <c r="M563" s="78"/>
      <c r="N563" s="78"/>
      <c r="O563" s="117"/>
      <c r="P563" s="114" t="e">
        <f t="shared" si="7"/>
        <v>#N/A</v>
      </c>
      <c r="Q563" s="77" t="e">
        <f>VLOOKUP($B563,'Component List'!$A$2:$B$30,2,FALSE)</f>
        <v>#N/A</v>
      </c>
      <c r="R563" s="77" t="e">
        <f>VLOOKUP($C563,'Component List'!C$2:D$28,2,FALSE)</f>
        <v>#N/A</v>
      </c>
      <c r="S563" s="77" t="e">
        <f>VLOOKUP($D563,'Component List'!E$2:F$30,2,FALSE)</f>
        <v>#N/A</v>
      </c>
      <c r="T563" s="77" t="e">
        <f>VLOOKUP($E563,'Component List'!G$2:H$30,2,FALSE)</f>
        <v>#N/A</v>
      </c>
      <c r="U563" s="77" t="e">
        <f>VLOOKUP($F563,'Component List'!I$2:J$30,2,FALSE)</f>
        <v>#N/A</v>
      </c>
      <c r="V563" s="77" t="e">
        <f>VLOOKUP(G563,'Component List'!K$2:L$30,2,FALSE)</f>
        <v>#N/A</v>
      </c>
      <c r="W563" s="77" t="e">
        <f>VLOOKUP(H563,'Component List'!M$2:N$31,2,FALSE)</f>
        <v>#N/A</v>
      </c>
      <c r="X563" s="77" t="e">
        <f>VLOOKUP(I563,'Component List'!O$2:P$30,2,FALSE)</f>
        <v>#N/A</v>
      </c>
      <c r="Y563" s="77" t="e">
        <f>VLOOKUP(J563,'Component List'!Q$2:R$30,2,FALSE)</f>
        <v>#N/A</v>
      </c>
      <c r="Z563" s="77" t="e">
        <f>VLOOKUP(K563,'Component List'!S$2:T$30,2,FALSE)</f>
        <v>#N/A</v>
      </c>
      <c r="AA563" s="77" t="e">
        <f>VLOOKUP(L563,'Component List'!U$2:V$30,2,FALSE)</f>
        <v>#N/A</v>
      </c>
      <c r="AB563" s="77" t="e">
        <f>VLOOKUP(M563,'Component List'!AA$2:AB$30,2,FALSE)</f>
        <v>#N/A</v>
      </c>
      <c r="AC563" s="77" t="e">
        <f>VLOOKUP(N563,'Component List'!Y$2:Z$30,2,FALSE)</f>
        <v>#N/A</v>
      </c>
      <c r="AD563" s="159" t="e">
        <f>VLOOKUP(O563,'Component List'!W$3:X$30,2,FALSE)</f>
        <v>#N/A</v>
      </c>
    </row>
    <row r="564" spans="1:30" ht="30" customHeight="1" x14ac:dyDescent="0.3">
      <c r="A564" s="231"/>
      <c r="B564" s="173"/>
      <c r="C564" s="78"/>
      <c r="D564" s="78"/>
      <c r="E564" s="79"/>
      <c r="F564" s="78"/>
      <c r="G564" s="78"/>
      <c r="H564" s="78"/>
      <c r="I564" s="78"/>
      <c r="J564" s="78"/>
      <c r="K564" s="110"/>
      <c r="L564" s="110"/>
      <c r="M564" s="78"/>
      <c r="N564" s="78"/>
      <c r="O564" s="117"/>
      <c r="P564" s="114" t="e">
        <f t="shared" si="7"/>
        <v>#N/A</v>
      </c>
      <c r="Q564" s="77" t="e">
        <f>VLOOKUP($B564,'Component List'!$A$2:$B$30,2,FALSE)</f>
        <v>#N/A</v>
      </c>
      <c r="R564" s="77" t="e">
        <f>VLOOKUP($C564,'Component List'!C$2:D$28,2,FALSE)</f>
        <v>#N/A</v>
      </c>
      <c r="S564" s="77" t="e">
        <f>VLOOKUP($D564,'Component List'!E$2:F$30,2,FALSE)</f>
        <v>#N/A</v>
      </c>
      <c r="T564" s="77" t="e">
        <f>VLOOKUP($E564,'Component List'!G$2:H$30,2,FALSE)</f>
        <v>#N/A</v>
      </c>
      <c r="U564" s="77" t="e">
        <f>VLOOKUP($F564,'Component List'!I$2:J$30,2,FALSE)</f>
        <v>#N/A</v>
      </c>
      <c r="V564" s="77" t="e">
        <f>VLOOKUP(G564,'Component List'!K$2:L$30,2,FALSE)</f>
        <v>#N/A</v>
      </c>
      <c r="W564" s="77" t="e">
        <f>VLOOKUP(H564,'Component List'!M$2:N$31,2,FALSE)</f>
        <v>#N/A</v>
      </c>
      <c r="X564" s="77" t="e">
        <f>VLOOKUP(I564,'Component List'!O$2:P$30,2,FALSE)</f>
        <v>#N/A</v>
      </c>
      <c r="Y564" s="77" t="e">
        <f>VLOOKUP(J564,'Component List'!Q$2:R$30,2,FALSE)</f>
        <v>#N/A</v>
      </c>
      <c r="Z564" s="77" t="e">
        <f>VLOOKUP(K564,'Component List'!S$2:T$30,2,FALSE)</f>
        <v>#N/A</v>
      </c>
      <c r="AA564" s="77" t="e">
        <f>VLOOKUP(L564,'Component List'!U$2:V$30,2,FALSE)</f>
        <v>#N/A</v>
      </c>
      <c r="AB564" s="77" t="e">
        <f>VLOOKUP(M564,'Component List'!AA$2:AB$30,2,FALSE)</f>
        <v>#N/A</v>
      </c>
      <c r="AC564" s="77" t="e">
        <f>VLOOKUP(N564,'Component List'!Y$2:Z$30,2,FALSE)</f>
        <v>#N/A</v>
      </c>
      <c r="AD564" s="159" t="e">
        <f>VLOOKUP(O564,'Component List'!W$3:X$30,2,FALSE)</f>
        <v>#N/A</v>
      </c>
    </row>
    <row r="565" spans="1:30" ht="30" customHeight="1" x14ac:dyDescent="0.3">
      <c r="A565" s="231"/>
      <c r="B565" s="173"/>
      <c r="C565" s="78"/>
      <c r="D565" s="78"/>
      <c r="E565" s="79"/>
      <c r="F565" s="78"/>
      <c r="G565" s="78"/>
      <c r="H565" s="78"/>
      <c r="I565" s="78"/>
      <c r="J565" s="78"/>
      <c r="K565" s="110"/>
      <c r="L565" s="110"/>
      <c r="M565" s="78"/>
      <c r="N565" s="78"/>
      <c r="O565" s="117"/>
      <c r="P565" s="114" t="e">
        <f t="shared" si="7"/>
        <v>#N/A</v>
      </c>
      <c r="Q565" s="77" t="e">
        <f>VLOOKUP($B565,'Component List'!$A$2:$B$30,2,FALSE)</f>
        <v>#N/A</v>
      </c>
      <c r="R565" s="77" t="e">
        <f>VLOOKUP($C565,'Component List'!C$2:D$28,2,FALSE)</f>
        <v>#N/A</v>
      </c>
      <c r="S565" s="77" t="e">
        <f>VLOOKUP($D565,'Component List'!E$2:F$30,2,FALSE)</f>
        <v>#N/A</v>
      </c>
      <c r="T565" s="77" t="e">
        <f>VLOOKUP($E565,'Component List'!G$2:H$30,2,FALSE)</f>
        <v>#N/A</v>
      </c>
      <c r="U565" s="77" t="e">
        <f>VLOOKUP($F565,'Component List'!I$2:J$30,2,FALSE)</f>
        <v>#N/A</v>
      </c>
      <c r="V565" s="77" t="e">
        <f>VLOOKUP(G565,'Component List'!K$2:L$30,2,FALSE)</f>
        <v>#N/A</v>
      </c>
      <c r="W565" s="77" t="e">
        <f>VLOOKUP(H565,'Component List'!M$2:N$31,2,FALSE)</f>
        <v>#N/A</v>
      </c>
      <c r="X565" s="77" t="e">
        <f>VLOOKUP(I565,'Component List'!O$2:P$30,2,FALSE)</f>
        <v>#N/A</v>
      </c>
      <c r="Y565" s="77" t="e">
        <f>VLOOKUP(J565,'Component List'!Q$2:R$30,2,FALSE)</f>
        <v>#N/A</v>
      </c>
      <c r="Z565" s="77" t="e">
        <f>VLOOKUP(K565,'Component List'!S$2:T$30,2,FALSE)</f>
        <v>#N/A</v>
      </c>
      <c r="AA565" s="77" t="e">
        <f>VLOOKUP(L565,'Component List'!U$2:V$30,2,FALSE)</f>
        <v>#N/A</v>
      </c>
      <c r="AB565" s="77" t="e">
        <f>VLOOKUP(M565,'Component List'!AA$2:AB$30,2,FALSE)</f>
        <v>#N/A</v>
      </c>
      <c r="AC565" s="77" t="e">
        <f>VLOOKUP(N565,'Component List'!Y$2:Z$30,2,FALSE)</f>
        <v>#N/A</v>
      </c>
      <c r="AD565" s="159" t="e">
        <f>VLOOKUP(O565,'Component List'!W$3:X$30,2,FALSE)</f>
        <v>#N/A</v>
      </c>
    </row>
    <row r="566" spans="1:30" ht="30" customHeight="1" x14ac:dyDescent="0.3">
      <c r="A566" s="231"/>
      <c r="B566" s="173"/>
      <c r="C566" s="78"/>
      <c r="D566" s="78"/>
      <c r="E566" s="79"/>
      <c r="F566" s="78"/>
      <c r="G566" s="78"/>
      <c r="H566" s="78"/>
      <c r="I566" s="78"/>
      <c r="J566" s="78"/>
      <c r="K566" s="110"/>
      <c r="L566" s="110"/>
      <c r="M566" s="78"/>
      <c r="N566" s="78"/>
      <c r="O566" s="117"/>
      <c r="P566" s="114" t="e">
        <f t="shared" si="7"/>
        <v>#N/A</v>
      </c>
      <c r="Q566" s="77" t="e">
        <f>VLOOKUP($B566,'Component List'!$A$2:$B$30,2,FALSE)</f>
        <v>#N/A</v>
      </c>
      <c r="R566" s="77" t="e">
        <f>VLOOKUP($C566,'Component List'!C$2:D$28,2,FALSE)</f>
        <v>#N/A</v>
      </c>
      <c r="S566" s="77" t="e">
        <f>VLOOKUP($D566,'Component List'!E$2:F$30,2,FALSE)</f>
        <v>#N/A</v>
      </c>
      <c r="T566" s="77" t="e">
        <f>VLOOKUP($E566,'Component List'!G$2:H$30,2,FALSE)</f>
        <v>#N/A</v>
      </c>
      <c r="U566" s="77" t="e">
        <f>VLOOKUP($F566,'Component List'!I$2:J$30,2,FALSE)</f>
        <v>#N/A</v>
      </c>
      <c r="V566" s="77" t="e">
        <f>VLOOKUP(G566,'Component List'!K$2:L$30,2,FALSE)</f>
        <v>#N/A</v>
      </c>
      <c r="W566" s="77" t="e">
        <f>VLOOKUP(H566,'Component List'!M$2:N$31,2,FALSE)</f>
        <v>#N/A</v>
      </c>
      <c r="X566" s="77" t="e">
        <f>VLOOKUP(I566,'Component List'!O$2:P$30,2,FALSE)</f>
        <v>#N/A</v>
      </c>
      <c r="Y566" s="77" t="e">
        <f>VLOOKUP(J566,'Component List'!Q$2:R$30,2,FALSE)</f>
        <v>#N/A</v>
      </c>
      <c r="Z566" s="77" t="e">
        <f>VLOOKUP(K566,'Component List'!S$2:T$30,2,FALSE)</f>
        <v>#N/A</v>
      </c>
      <c r="AA566" s="77" t="e">
        <f>VLOOKUP(L566,'Component List'!U$2:V$30,2,FALSE)</f>
        <v>#N/A</v>
      </c>
      <c r="AB566" s="77" t="e">
        <f>VLOOKUP(M566,'Component List'!AA$2:AB$30,2,FALSE)</f>
        <v>#N/A</v>
      </c>
      <c r="AC566" s="77" t="e">
        <f>VLOOKUP(N566,'Component List'!Y$2:Z$30,2,FALSE)</f>
        <v>#N/A</v>
      </c>
      <c r="AD566" s="159" t="e">
        <f>VLOOKUP(O566,'Component List'!W$3:X$30,2,FALSE)</f>
        <v>#N/A</v>
      </c>
    </row>
    <row r="567" spans="1:30" ht="30" customHeight="1" x14ac:dyDescent="0.3">
      <c r="A567" s="231"/>
      <c r="B567" s="173"/>
      <c r="C567" s="78"/>
      <c r="D567" s="78"/>
      <c r="E567" s="79"/>
      <c r="F567" s="78"/>
      <c r="G567" s="78"/>
      <c r="H567" s="78"/>
      <c r="I567" s="78"/>
      <c r="J567" s="78"/>
      <c r="K567" s="110"/>
      <c r="L567" s="110"/>
      <c r="M567" s="78"/>
      <c r="N567" s="78"/>
      <c r="O567" s="117"/>
      <c r="P567" s="114" t="e">
        <f t="shared" si="7"/>
        <v>#N/A</v>
      </c>
      <c r="Q567" s="77" t="e">
        <f>VLOOKUP($B567,'Component List'!$A$2:$B$30,2,FALSE)</f>
        <v>#N/A</v>
      </c>
      <c r="R567" s="77" t="e">
        <f>VLOOKUP($C567,'Component List'!C$2:D$28,2,FALSE)</f>
        <v>#N/A</v>
      </c>
      <c r="S567" s="77" t="e">
        <f>VLOOKUP($D567,'Component List'!E$2:F$30,2,FALSE)</f>
        <v>#N/A</v>
      </c>
      <c r="T567" s="77" t="e">
        <f>VLOOKUP($E567,'Component List'!G$2:H$30,2,FALSE)</f>
        <v>#N/A</v>
      </c>
      <c r="U567" s="77" t="e">
        <f>VLOOKUP($F567,'Component List'!I$2:J$30,2,FALSE)</f>
        <v>#N/A</v>
      </c>
      <c r="V567" s="77" t="e">
        <f>VLOOKUP(G567,'Component List'!K$2:L$30,2,FALSE)</f>
        <v>#N/A</v>
      </c>
      <c r="W567" s="77" t="e">
        <f>VLOOKUP(H567,'Component List'!M$2:N$31,2,FALSE)</f>
        <v>#N/A</v>
      </c>
      <c r="X567" s="77" t="e">
        <f>VLOOKUP(I567,'Component List'!O$2:P$30,2,FALSE)</f>
        <v>#N/A</v>
      </c>
      <c r="Y567" s="77" t="e">
        <f>VLOOKUP(J567,'Component List'!Q$2:R$30,2,FALSE)</f>
        <v>#N/A</v>
      </c>
      <c r="Z567" s="77" t="e">
        <f>VLOOKUP(K567,'Component List'!S$2:T$30,2,FALSE)</f>
        <v>#N/A</v>
      </c>
      <c r="AA567" s="77" t="e">
        <f>VLOOKUP(L567,'Component List'!U$2:V$30,2,FALSE)</f>
        <v>#N/A</v>
      </c>
      <c r="AB567" s="77" t="e">
        <f>VLOOKUP(M567,'Component List'!AA$2:AB$30,2,FALSE)</f>
        <v>#N/A</v>
      </c>
      <c r="AC567" s="77" t="e">
        <f>VLOOKUP(N567,'Component List'!Y$2:Z$30,2,FALSE)</f>
        <v>#N/A</v>
      </c>
      <c r="AD567" s="159" t="e">
        <f>VLOOKUP(O567,'Component List'!W$3:X$30,2,FALSE)</f>
        <v>#N/A</v>
      </c>
    </row>
    <row r="568" spans="1:30" ht="30" customHeight="1" x14ac:dyDescent="0.3">
      <c r="A568" s="231"/>
      <c r="B568" s="173"/>
      <c r="C568" s="78"/>
      <c r="D568" s="78"/>
      <c r="E568" s="79"/>
      <c r="F568" s="78"/>
      <c r="G568" s="78"/>
      <c r="H568" s="78"/>
      <c r="I568" s="78"/>
      <c r="J568" s="78"/>
      <c r="K568" s="110"/>
      <c r="L568" s="110"/>
      <c r="M568" s="78"/>
      <c r="N568" s="78"/>
      <c r="O568" s="117"/>
      <c r="P568" s="114" t="e">
        <f t="shared" si="7"/>
        <v>#N/A</v>
      </c>
      <c r="Q568" s="77" t="e">
        <f>VLOOKUP($B568,'Component List'!$A$2:$B$30,2,FALSE)</f>
        <v>#N/A</v>
      </c>
      <c r="R568" s="77" t="e">
        <f>VLOOKUP($C568,'Component List'!C$2:D$28,2,FALSE)</f>
        <v>#N/A</v>
      </c>
      <c r="S568" s="77" t="e">
        <f>VLOOKUP($D568,'Component List'!E$2:F$30,2,FALSE)</f>
        <v>#N/A</v>
      </c>
      <c r="T568" s="77" t="e">
        <f>VLOOKUP($E568,'Component List'!G$2:H$30,2,FALSE)</f>
        <v>#N/A</v>
      </c>
      <c r="U568" s="77" t="e">
        <f>VLOOKUP($F568,'Component List'!I$2:J$30,2,FALSE)</f>
        <v>#N/A</v>
      </c>
      <c r="V568" s="77" t="e">
        <f>VLOOKUP(G568,'Component List'!K$2:L$30,2,FALSE)</f>
        <v>#N/A</v>
      </c>
      <c r="W568" s="77" t="e">
        <f>VLOOKUP(H568,'Component List'!M$2:N$31,2,FALSE)</f>
        <v>#N/A</v>
      </c>
      <c r="X568" s="77" t="e">
        <f>VLOOKUP(I568,'Component List'!O$2:P$30,2,FALSE)</f>
        <v>#N/A</v>
      </c>
      <c r="Y568" s="77" t="e">
        <f>VLOOKUP(J568,'Component List'!Q$2:R$30,2,FALSE)</f>
        <v>#N/A</v>
      </c>
      <c r="Z568" s="77" t="e">
        <f>VLOOKUP(K568,'Component List'!S$2:T$30,2,FALSE)</f>
        <v>#N/A</v>
      </c>
      <c r="AA568" s="77" t="e">
        <f>VLOOKUP(L568,'Component List'!U$2:V$30,2,FALSE)</f>
        <v>#N/A</v>
      </c>
      <c r="AB568" s="77" t="e">
        <f>VLOOKUP(M568,'Component List'!AA$2:AB$30,2,FALSE)</f>
        <v>#N/A</v>
      </c>
      <c r="AC568" s="77" t="e">
        <f>VLOOKUP(N568,'Component List'!Y$2:Z$30,2,FALSE)</f>
        <v>#N/A</v>
      </c>
      <c r="AD568" s="159" t="e">
        <f>VLOOKUP(O568,'Component List'!W$3:X$30,2,FALSE)</f>
        <v>#N/A</v>
      </c>
    </row>
    <row r="569" spans="1:30" ht="30" customHeight="1" x14ac:dyDescent="0.3">
      <c r="A569" s="231"/>
      <c r="B569" s="173"/>
      <c r="C569" s="78"/>
      <c r="D569" s="78"/>
      <c r="E569" s="79"/>
      <c r="F569" s="78"/>
      <c r="G569" s="78"/>
      <c r="H569" s="78"/>
      <c r="I569" s="78"/>
      <c r="J569" s="78"/>
      <c r="K569" s="110"/>
      <c r="L569" s="110"/>
      <c r="M569" s="78"/>
      <c r="N569" s="78"/>
      <c r="O569" s="117"/>
      <c r="P569" s="114" t="e">
        <f t="shared" si="7"/>
        <v>#N/A</v>
      </c>
      <c r="Q569" s="77" t="e">
        <f>VLOOKUP($B569,'Component List'!$A$2:$B$30,2,FALSE)</f>
        <v>#N/A</v>
      </c>
      <c r="R569" s="77" t="e">
        <f>VLOOKUP($C569,'Component List'!C$2:D$28,2,FALSE)</f>
        <v>#N/A</v>
      </c>
      <c r="S569" s="77" t="e">
        <f>VLOOKUP($D569,'Component List'!E$2:F$30,2,FALSE)</f>
        <v>#N/A</v>
      </c>
      <c r="T569" s="77" t="e">
        <f>VLOOKUP($E569,'Component List'!G$2:H$30,2,FALSE)</f>
        <v>#N/A</v>
      </c>
      <c r="U569" s="77" t="e">
        <f>VLOOKUP($F569,'Component List'!I$2:J$30,2,FALSE)</f>
        <v>#N/A</v>
      </c>
      <c r="V569" s="77" t="e">
        <f>VLOOKUP(G569,'Component List'!K$2:L$30,2,FALSE)</f>
        <v>#N/A</v>
      </c>
      <c r="W569" s="77" t="e">
        <f>VLOOKUP(H569,'Component List'!M$2:N$31,2,FALSE)</f>
        <v>#N/A</v>
      </c>
      <c r="X569" s="77" t="e">
        <f>VLOOKUP(I569,'Component List'!O$2:P$30,2,FALSE)</f>
        <v>#N/A</v>
      </c>
      <c r="Y569" s="77" t="e">
        <f>VLOOKUP(J569,'Component List'!Q$2:R$30,2,FALSE)</f>
        <v>#N/A</v>
      </c>
      <c r="Z569" s="77" t="e">
        <f>VLOOKUP(K569,'Component List'!S$2:T$30,2,FALSE)</f>
        <v>#N/A</v>
      </c>
      <c r="AA569" s="77" t="e">
        <f>VLOOKUP(L569,'Component List'!U$2:V$30,2,FALSE)</f>
        <v>#N/A</v>
      </c>
      <c r="AB569" s="77" t="e">
        <f>VLOOKUP(M569,'Component List'!AA$2:AB$30,2,FALSE)</f>
        <v>#N/A</v>
      </c>
      <c r="AC569" s="77" t="e">
        <f>VLOOKUP(N569,'Component List'!Y$2:Z$30,2,FALSE)</f>
        <v>#N/A</v>
      </c>
      <c r="AD569" s="159" t="e">
        <f>VLOOKUP(O569,'Component List'!W$3:X$30,2,FALSE)</f>
        <v>#N/A</v>
      </c>
    </row>
    <row r="570" spans="1:30" ht="30" customHeight="1" x14ac:dyDescent="0.3">
      <c r="A570" s="231"/>
      <c r="B570" s="173"/>
      <c r="C570" s="78"/>
      <c r="D570" s="78"/>
      <c r="E570" s="79"/>
      <c r="F570" s="78"/>
      <c r="G570" s="78"/>
      <c r="H570" s="78"/>
      <c r="I570" s="78"/>
      <c r="J570" s="78"/>
      <c r="K570" s="110"/>
      <c r="L570" s="110"/>
      <c r="M570" s="78"/>
      <c r="N570" s="78"/>
      <c r="O570" s="117"/>
      <c r="P570" s="114" t="e">
        <f t="shared" si="7"/>
        <v>#N/A</v>
      </c>
      <c r="Q570" s="77" t="e">
        <f>VLOOKUP($B570,'Component List'!$A$2:$B$30,2,FALSE)</f>
        <v>#N/A</v>
      </c>
      <c r="R570" s="77" t="e">
        <f>VLOOKUP($C570,'Component List'!C$2:D$28,2,FALSE)</f>
        <v>#N/A</v>
      </c>
      <c r="S570" s="77" t="e">
        <f>VLOOKUP($D570,'Component List'!E$2:F$30,2,FALSE)</f>
        <v>#N/A</v>
      </c>
      <c r="T570" s="77" t="e">
        <f>VLOOKUP($E570,'Component List'!G$2:H$30,2,FALSE)</f>
        <v>#N/A</v>
      </c>
      <c r="U570" s="77" t="e">
        <f>VLOOKUP($F570,'Component List'!I$2:J$30,2,FALSE)</f>
        <v>#N/A</v>
      </c>
      <c r="V570" s="77" t="e">
        <f>VLOOKUP(G570,'Component List'!K$2:L$30,2,FALSE)</f>
        <v>#N/A</v>
      </c>
      <c r="W570" s="77" t="e">
        <f>VLOOKUP(H570,'Component List'!M$2:N$31,2,FALSE)</f>
        <v>#N/A</v>
      </c>
      <c r="X570" s="77" t="e">
        <f>VLOOKUP(I570,'Component List'!O$2:P$30,2,FALSE)</f>
        <v>#N/A</v>
      </c>
      <c r="Y570" s="77" t="e">
        <f>VLOOKUP(J570,'Component List'!Q$2:R$30,2,FALSE)</f>
        <v>#N/A</v>
      </c>
      <c r="Z570" s="77" t="e">
        <f>VLOOKUP(K570,'Component List'!S$2:T$30,2,FALSE)</f>
        <v>#N/A</v>
      </c>
      <c r="AA570" s="77" t="e">
        <f>VLOOKUP(L570,'Component List'!U$2:V$30,2,FALSE)</f>
        <v>#N/A</v>
      </c>
      <c r="AB570" s="77" t="e">
        <f>VLOOKUP(M570,'Component List'!AA$2:AB$30,2,FALSE)</f>
        <v>#N/A</v>
      </c>
      <c r="AC570" s="77" t="e">
        <f>VLOOKUP(N570,'Component List'!Y$2:Z$30,2,FALSE)</f>
        <v>#N/A</v>
      </c>
      <c r="AD570" s="159" t="e">
        <f>VLOOKUP(O570,'Component List'!W$3:X$30,2,FALSE)</f>
        <v>#N/A</v>
      </c>
    </row>
    <row r="571" spans="1:30" ht="30" customHeight="1" x14ac:dyDescent="0.3">
      <c r="A571" s="231"/>
      <c r="B571" s="173"/>
      <c r="C571" s="78"/>
      <c r="D571" s="78"/>
      <c r="E571" s="79"/>
      <c r="F571" s="78"/>
      <c r="G571" s="78"/>
      <c r="H571" s="78"/>
      <c r="I571" s="78"/>
      <c r="J571" s="78"/>
      <c r="K571" s="110"/>
      <c r="L571" s="110"/>
      <c r="M571" s="78"/>
      <c r="N571" s="78"/>
      <c r="O571" s="117"/>
      <c r="P571" s="114" t="e">
        <f t="shared" si="7"/>
        <v>#N/A</v>
      </c>
      <c r="Q571" s="77" t="e">
        <f>VLOOKUP($B571,'Component List'!$A$2:$B$30,2,FALSE)</f>
        <v>#N/A</v>
      </c>
      <c r="R571" s="77" t="e">
        <f>VLOOKUP($C571,'Component List'!C$2:D$28,2,FALSE)</f>
        <v>#N/A</v>
      </c>
      <c r="S571" s="77" t="e">
        <f>VLOOKUP($D571,'Component List'!E$2:F$30,2,FALSE)</f>
        <v>#N/A</v>
      </c>
      <c r="T571" s="77" t="e">
        <f>VLOOKUP($E571,'Component List'!G$2:H$30,2,FALSE)</f>
        <v>#N/A</v>
      </c>
      <c r="U571" s="77" t="e">
        <f>VLOOKUP($F571,'Component List'!I$2:J$30,2,FALSE)</f>
        <v>#N/A</v>
      </c>
      <c r="V571" s="77" t="e">
        <f>VLOOKUP(G571,'Component List'!K$2:L$30,2,FALSE)</f>
        <v>#N/A</v>
      </c>
      <c r="W571" s="77" t="e">
        <f>VLOOKUP(H571,'Component List'!M$2:N$31,2,FALSE)</f>
        <v>#N/A</v>
      </c>
      <c r="X571" s="77" t="e">
        <f>VLOOKUP(I571,'Component List'!O$2:P$30,2,FALSE)</f>
        <v>#N/A</v>
      </c>
      <c r="Y571" s="77" t="e">
        <f>VLOOKUP(J571,'Component List'!Q$2:R$30,2,FALSE)</f>
        <v>#N/A</v>
      </c>
      <c r="Z571" s="77" t="e">
        <f>VLOOKUP(K571,'Component List'!S$2:T$30,2,FALSE)</f>
        <v>#N/A</v>
      </c>
      <c r="AA571" s="77" t="e">
        <f>VLOOKUP(L571,'Component List'!U$2:V$30,2,FALSE)</f>
        <v>#N/A</v>
      </c>
      <c r="AB571" s="77" t="e">
        <f>VLOOKUP(M571,'Component List'!AA$2:AB$30,2,FALSE)</f>
        <v>#N/A</v>
      </c>
      <c r="AC571" s="77" t="e">
        <f>VLOOKUP(N571,'Component List'!Y$2:Z$30,2,FALSE)</f>
        <v>#N/A</v>
      </c>
      <c r="AD571" s="159" t="e">
        <f>VLOOKUP(O571,'Component List'!W$3:X$30,2,FALSE)</f>
        <v>#N/A</v>
      </c>
    </row>
    <row r="572" spans="1:30" ht="30" customHeight="1" x14ac:dyDescent="0.3">
      <c r="A572" s="231"/>
      <c r="B572" s="173"/>
      <c r="C572" s="78"/>
      <c r="D572" s="78"/>
      <c r="E572" s="79"/>
      <c r="F572" s="78"/>
      <c r="G572" s="78"/>
      <c r="H572" s="78"/>
      <c r="I572" s="78"/>
      <c r="J572" s="78"/>
      <c r="K572" s="110"/>
      <c r="L572" s="110"/>
      <c r="M572" s="78"/>
      <c r="N572" s="78"/>
      <c r="O572" s="117"/>
      <c r="P572" s="114" t="e">
        <f t="shared" si="7"/>
        <v>#N/A</v>
      </c>
      <c r="Q572" s="77" t="e">
        <f>VLOOKUP($B572,'Component List'!$A$2:$B$30,2,FALSE)</f>
        <v>#N/A</v>
      </c>
      <c r="R572" s="77" t="e">
        <f>VLOOKUP($C572,'Component List'!C$2:D$28,2,FALSE)</f>
        <v>#N/A</v>
      </c>
      <c r="S572" s="77" t="e">
        <f>VLOOKUP($D572,'Component List'!E$2:F$30,2,FALSE)</f>
        <v>#N/A</v>
      </c>
      <c r="T572" s="77" t="e">
        <f>VLOOKUP($E572,'Component List'!G$2:H$30,2,FALSE)</f>
        <v>#N/A</v>
      </c>
      <c r="U572" s="77" t="e">
        <f>VLOOKUP($F572,'Component List'!I$2:J$30,2,FALSE)</f>
        <v>#N/A</v>
      </c>
      <c r="V572" s="77" t="e">
        <f>VLOOKUP(G572,'Component List'!K$2:L$30,2,FALSE)</f>
        <v>#N/A</v>
      </c>
      <c r="W572" s="77" t="e">
        <f>VLOOKUP(H572,'Component List'!M$2:N$31,2,FALSE)</f>
        <v>#N/A</v>
      </c>
      <c r="X572" s="77" t="e">
        <f>VLOOKUP(I572,'Component List'!O$2:P$30,2,FALSE)</f>
        <v>#N/A</v>
      </c>
      <c r="Y572" s="77" t="e">
        <f>VLOOKUP(J572,'Component List'!Q$2:R$30,2,FALSE)</f>
        <v>#N/A</v>
      </c>
      <c r="Z572" s="77" t="e">
        <f>VLOOKUP(K572,'Component List'!S$2:T$30,2,FALSE)</f>
        <v>#N/A</v>
      </c>
      <c r="AA572" s="77" t="e">
        <f>VLOOKUP(L572,'Component List'!U$2:V$30,2,FALSE)</f>
        <v>#N/A</v>
      </c>
      <c r="AB572" s="77" t="e">
        <f>VLOOKUP(M572,'Component List'!AA$2:AB$30,2,FALSE)</f>
        <v>#N/A</v>
      </c>
      <c r="AC572" s="77" t="e">
        <f>VLOOKUP(N572,'Component List'!Y$2:Z$30,2,FALSE)</f>
        <v>#N/A</v>
      </c>
      <c r="AD572" s="159" t="e">
        <f>VLOOKUP(O572,'Component List'!W$3:X$30,2,FALSE)</f>
        <v>#N/A</v>
      </c>
    </row>
    <row r="573" spans="1:30" ht="30" customHeight="1" x14ac:dyDescent="0.3">
      <c r="A573" s="231"/>
      <c r="B573" s="173"/>
      <c r="C573" s="78"/>
      <c r="D573" s="78"/>
      <c r="E573" s="79"/>
      <c r="F573" s="78"/>
      <c r="G573" s="78"/>
      <c r="H573" s="78"/>
      <c r="I573" s="78"/>
      <c r="J573" s="78"/>
      <c r="K573" s="110"/>
      <c r="L573" s="110"/>
      <c r="M573" s="78"/>
      <c r="N573" s="78"/>
      <c r="O573" s="117"/>
      <c r="P573" s="114" t="e">
        <f t="shared" si="7"/>
        <v>#N/A</v>
      </c>
      <c r="Q573" s="77" t="e">
        <f>VLOOKUP($B573,'Component List'!$A$2:$B$30,2,FALSE)</f>
        <v>#N/A</v>
      </c>
      <c r="R573" s="77" t="e">
        <f>VLOOKUP($C573,'Component List'!C$2:D$28,2,FALSE)</f>
        <v>#N/A</v>
      </c>
      <c r="S573" s="77" t="e">
        <f>VLOOKUP($D573,'Component List'!E$2:F$30,2,FALSE)</f>
        <v>#N/A</v>
      </c>
      <c r="T573" s="77" t="e">
        <f>VLOOKUP($E573,'Component List'!G$2:H$30,2,FALSE)</f>
        <v>#N/A</v>
      </c>
      <c r="U573" s="77" t="e">
        <f>VLOOKUP($F573,'Component List'!I$2:J$30,2,FALSE)</f>
        <v>#N/A</v>
      </c>
      <c r="V573" s="77" t="e">
        <f>VLOOKUP(G573,'Component List'!K$2:L$30,2,FALSE)</f>
        <v>#N/A</v>
      </c>
      <c r="W573" s="77" t="e">
        <f>VLOOKUP(H573,'Component List'!M$2:N$31,2,FALSE)</f>
        <v>#N/A</v>
      </c>
      <c r="X573" s="77" t="e">
        <f>VLOOKUP(I573,'Component List'!O$2:P$30,2,FALSE)</f>
        <v>#N/A</v>
      </c>
      <c r="Y573" s="77" t="e">
        <f>VLOOKUP(J573,'Component List'!Q$2:R$30,2,FALSE)</f>
        <v>#N/A</v>
      </c>
      <c r="Z573" s="77" t="e">
        <f>VLOOKUP(K573,'Component List'!S$2:T$30,2,FALSE)</f>
        <v>#N/A</v>
      </c>
      <c r="AA573" s="77" t="e">
        <f>VLOOKUP(L573,'Component List'!U$2:V$30,2,FALSE)</f>
        <v>#N/A</v>
      </c>
      <c r="AB573" s="77" t="e">
        <f>VLOOKUP(M573,'Component List'!AA$2:AB$30,2,FALSE)</f>
        <v>#N/A</v>
      </c>
      <c r="AC573" s="77" t="e">
        <f>VLOOKUP(N573,'Component List'!Y$2:Z$30,2,FALSE)</f>
        <v>#N/A</v>
      </c>
      <c r="AD573" s="159" t="e">
        <f>VLOOKUP(O573,'Component List'!W$3:X$30,2,FALSE)</f>
        <v>#N/A</v>
      </c>
    </row>
    <row r="574" spans="1:30" ht="30" customHeight="1" x14ac:dyDescent="0.3">
      <c r="A574" s="231"/>
      <c r="B574" s="173"/>
      <c r="C574" s="78"/>
      <c r="D574" s="78"/>
      <c r="E574" s="79"/>
      <c r="F574" s="78"/>
      <c r="G574" s="78"/>
      <c r="H574" s="78"/>
      <c r="I574" s="78"/>
      <c r="J574" s="78"/>
      <c r="K574" s="110"/>
      <c r="L574" s="110"/>
      <c r="M574" s="78"/>
      <c r="N574" s="78"/>
      <c r="O574" s="117"/>
      <c r="P574" s="114" t="e">
        <f t="shared" si="7"/>
        <v>#N/A</v>
      </c>
      <c r="Q574" s="77" t="e">
        <f>VLOOKUP($B574,'Component List'!$A$2:$B$30,2,FALSE)</f>
        <v>#N/A</v>
      </c>
      <c r="R574" s="77" t="e">
        <f>VLOOKUP($C574,'Component List'!C$2:D$28,2,FALSE)</f>
        <v>#N/A</v>
      </c>
      <c r="S574" s="77" t="e">
        <f>VLOOKUP($D574,'Component List'!E$2:F$30,2,FALSE)</f>
        <v>#N/A</v>
      </c>
      <c r="T574" s="77" t="e">
        <f>VLOOKUP($E574,'Component List'!G$2:H$30,2,FALSE)</f>
        <v>#N/A</v>
      </c>
      <c r="U574" s="77" t="e">
        <f>VLOOKUP($F574,'Component List'!I$2:J$30,2,FALSE)</f>
        <v>#N/A</v>
      </c>
      <c r="V574" s="77" t="e">
        <f>VLOOKUP(G574,'Component List'!K$2:L$30,2,FALSE)</f>
        <v>#N/A</v>
      </c>
      <c r="W574" s="77" t="e">
        <f>VLOOKUP(H574,'Component List'!M$2:N$31,2,FALSE)</f>
        <v>#N/A</v>
      </c>
      <c r="X574" s="77" t="e">
        <f>VLOOKUP(I574,'Component List'!O$2:P$30,2,FALSE)</f>
        <v>#N/A</v>
      </c>
      <c r="Y574" s="77" t="e">
        <f>VLOOKUP(J574,'Component List'!Q$2:R$30,2,FALSE)</f>
        <v>#N/A</v>
      </c>
      <c r="Z574" s="77" t="e">
        <f>VLOOKUP(K574,'Component List'!S$2:T$30,2,FALSE)</f>
        <v>#N/A</v>
      </c>
      <c r="AA574" s="77" t="e">
        <f>VLOOKUP(L574,'Component List'!U$2:V$30,2,FALSE)</f>
        <v>#N/A</v>
      </c>
      <c r="AB574" s="77" t="e">
        <f>VLOOKUP(M574,'Component List'!AA$2:AB$30,2,FALSE)</f>
        <v>#N/A</v>
      </c>
      <c r="AC574" s="77" t="e">
        <f>VLOOKUP(N574,'Component List'!Y$2:Z$30,2,FALSE)</f>
        <v>#N/A</v>
      </c>
      <c r="AD574" s="159" t="e">
        <f>VLOOKUP(O574,'Component List'!W$3:X$30,2,FALSE)</f>
        <v>#N/A</v>
      </c>
    </row>
    <row r="575" spans="1:30" ht="30" customHeight="1" x14ac:dyDescent="0.3">
      <c r="A575" s="231"/>
      <c r="B575" s="173"/>
      <c r="C575" s="78"/>
      <c r="D575" s="78"/>
      <c r="E575" s="79"/>
      <c r="F575" s="78"/>
      <c r="G575" s="78"/>
      <c r="H575" s="78"/>
      <c r="I575" s="78"/>
      <c r="J575" s="78"/>
      <c r="K575" s="110"/>
      <c r="L575" s="110"/>
      <c r="M575" s="78"/>
      <c r="N575" s="78"/>
      <c r="O575" s="117"/>
      <c r="P575" s="114" t="e">
        <f t="shared" si="7"/>
        <v>#N/A</v>
      </c>
      <c r="Q575" s="77" t="e">
        <f>VLOOKUP($B575,'Component List'!$A$2:$B$30,2,FALSE)</f>
        <v>#N/A</v>
      </c>
      <c r="R575" s="77" t="e">
        <f>VLOOKUP($C575,'Component List'!C$2:D$28,2,FALSE)</f>
        <v>#N/A</v>
      </c>
      <c r="S575" s="77" t="e">
        <f>VLOOKUP($D575,'Component List'!E$2:F$30,2,FALSE)</f>
        <v>#N/A</v>
      </c>
      <c r="T575" s="77" t="e">
        <f>VLOOKUP($E575,'Component List'!G$2:H$30,2,FALSE)</f>
        <v>#N/A</v>
      </c>
      <c r="U575" s="77" t="e">
        <f>VLOOKUP($F575,'Component List'!I$2:J$30,2,FALSE)</f>
        <v>#N/A</v>
      </c>
      <c r="V575" s="77" t="e">
        <f>VLOOKUP(G575,'Component List'!K$2:L$30,2,FALSE)</f>
        <v>#N/A</v>
      </c>
      <c r="W575" s="77" t="e">
        <f>VLOOKUP(H575,'Component List'!M$2:N$31,2,FALSE)</f>
        <v>#N/A</v>
      </c>
      <c r="X575" s="77" t="e">
        <f>VLOOKUP(I575,'Component List'!O$2:P$30,2,FALSE)</f>
        <v>#N/A</v>
      </c>
      <c r="Y575" s="77" t="e">
        <f>VLOOKUP(J575,'Component List'!Q$2:R$30,2,FALSE)</f>
        <v>#N/A</v>
      </c>
      <c r="Z575" s="77" t="e">
        <f>VLOOKUP(K575,'Component List'!S$2:T$30,2,FALSE)</f>
        <v>#N/A</v>
      </c>
      <c r="AA575" s="77" t="e">
        <f>VLOOKUP(L575,'Component List'!U$2:V$30,2,FALSE)</f>
        <v>#N/A</v>
      </c>
      <c r="AB575" s="77" t="e">
        <f>VLOOKUP(M575,'Component List'!AA$2:AB$30,2,FALSE)</f>
        <v>#N/A</v>
      </c>
      <c r="AC575" s="77" t="e">
        <f>VLOOKUP(N575,'Component List'!Y$2:Z$30,2,FALSE)</f>
        <v>#N/A</v>
      </c>
      <c r="AD575" s="159" t="e">
        <f>VLOOKUP(O575,'Component List'!W$3:X$30,2,FALSE)</f>
        <v>#N/A</v>
      </c>
    </row>
    <row r="576" spans="1:30" ht="30" customHeight="1" x14ac:dyDescent="0.3">
      <c r="A576" s="231"/>
      <c r="B576" s="173"/>
      <c r="C576" s="78"/>
      <c r="D576" s="78"/>
      <c r="E576" s="79"/>
      <c r="F576" s="78"/>
      <c r="G576" s="78"/>
      <c r="H576" s="78"/>
      <c r="I576" s="78"/>
      <c r="J576" s="78"/>
      <c r="K576" s="110"/>
      <c r="L576" s="110"/>
      <c r="M576" s="78"/>
      <c r="N576" s="78"/>
      <c r="O576" s="117"/>
      <c r="P576" s="114" t="e">
        <f t="shared" si="7"/>
        <v>#N/A</v>
      </c>
      <c r="Q576" s="77" t="e">
        <f>VLOOKUP($B576,'Component List'!$A$2:$B$30,2,FALSE)</f>
        <v>#N/A</v>
      </c>
      <c r="R576" s="77" t="e">
        <f>VLOOKUP($C576,'Component List'!C$2:D$28,2,FALSE)</f>
        <v>#N/A</v>
      </c>
      <c r="S576" s="77" t="e">
        <f>VLOOKUP($D576,'Component List'!E$2:F$30,2,FALSE)</f>
        <v>#N/A</v>
      </c>
      <c r="T576" s="77" t="e">
        <f>VLOOKUP($E576,'Component List'!G$2:H$30,2,FALSE)</f>
        <v>#N/A</v>
      </c>
      <c r="U576" s="77" t="e">
        <f>VLOOKUP($F576,'Component List'!I$2:J$30,2,FALSE)</f>
        <v>#N/A</v>
      </c>
      <c r="V576" s="77" t="e">
        <f>VLOOKUP(G576,'Component List'!K$2:L$30,2,FALSE)</f>
        <v>#N/A</v>
      </c>
      <c r="W576" s="77" t="e">
        <f>VLOOKUP(H576,'Component List'!M$2:N$31,2,FALSE)</f>
        <v>#N/A</v>
      </c>
      <c r="X576" s="77" t="e">
        <f>VLOOKUP(I576,'Component List'!O$2:P$30,2,FALSE)</f>
        <v>#N/A</v>
      </c>
      <c r="Y576" s="77" t="e">
        <f>VLOOKUP(J576,'Component List'!Q$2:R$30,2,FALSE)</f>
        <v>#N/A</v>
      </c>
      <c r="Z576" s="77" t="e">
        <f>VLOOKUP(K576,'Component List'!S$2:T$30,2,FALSE)</f>
        <v>#N/A</v>
      </c>
      <c r="AA576" s="77" t="e">
        <f>VLOOKUP(L576,'Component List'!U$2:V$30,2,FALSE)</f>
        <v>#N/A</v>
      </c>
      <c r="AB576" s="77" t="e">
        <f>VLOOKUP(M576,'Component List'!AA$2:AB$30,2,FALSE)</f>
        <v>#N/A</v>
      </c>
      <c r="AC576" s="77" t="e">
        <f>VLOOKUP(N576,'Component List'!Y$2:Z$30,2,FALSE)</f>
        <v>#N/A</v>
      </c>
      <c r="AD576" s="159" t="e">
        <f>VLOOKUP(O576,'Component List'!W$3:X$30,2,FALSE)</f>
        <v>#N/A</v>
      </c>
    </row>
    <row r="577" spans="1:30" ht="30" customHeight="1" x14ac:dyDescent="0.3">
      <c r="A577" s="231"/>
      <c r="B577" s="173"/>
      <c r="C577" s="78"/>
      <c r="D577" s="78"/>
      <c r="E577" s="79"/>
      <c r="F577" s="78"/>
      <c r="G577" s="78"/>
      <c r="H577" s="78"/>
      <c r="I577" s="78"/>
      <c r="J577" s="78"/>
      <c r="K577" s="110"/>
      <c r="L577" s="110"/>
      <c r="M577" s="78"/>
      <c r="N577" s="78"/>
      <c r="O577" s="117"/>
      <c r="P577" s="114" t="e">
        <f t="shared" si="7"/>
        <v>#N/A</v>
      </c>
      <c r="Q577" s="77" t="e">
        <f>VLOOKUP($B577,'Component List'!$A$2:$B$30,2,FALSE)</f>
        <v>#N/A</v>
      </c>
      <c r="R577" s="77" t="e">
        <f>VLOOKUP($C577,'Component List'!C$2:D$28,2,FALSE)</f>
        <v>#N/A</v>
      </c>
      <c r="S577" s="77" t="e">
        <f>VLOOKUP($D577,'Component List'!E$2:F$30,2,FALSE)</f>
        <v>#N/A</v>
      </c>
      <c r="T577" s="77" t="e">
        <f>VLOOKUP($E577,'Component List'!G$2:H$30,2,FALSE)</f>
        <v>#N/A</v>
      </c>
      <c r="U577" s="77" t="e">
        <f>VLOOKUP($F577,'Component List'!I$2:J$30,2,FALSE)</f>
        <v>#N/A</v>
      </c>
      <c r="V577" s="77" t="e">
        <f>VLOOKUP(G577,'Component List'!K$2:L$30,2,FALSE)</f>
        <v>#N/A</v>
      </c>
      <c r="W577" s="77" t="e">
        <f>VLOOKUP(H577,'Component List'!M$2:N$31,2,FALSE)</f>
        <v>#N/A</v>
      </c>
      <c r="X577" s="77" t="e">
        <f>VLOOKUP(I577,'Component List'!O$2:P$30,2,FALSE)</f>
        <v>#N/A</v>
      </c>
      <c r="Y577" s="77" t="e">
        <f>VLOOKUP(J577,'Component List'!Q$2:R$30,2,FALSE)</f>
        <v>#N/A</v>
      </c>
      <c r="Z577" s="77" t="e">
        <f>VLOOKUP(K577,'Component List'!S$2:T$30,2,FALSE)</f>
        <v>#N/A</v>
      </c>
      <c r="AA577" s="77" t="e">
        <f>VLOOKUP(L577,'Component List'!U$2:V$30,2,FALSE)</f>
        <v>#N/A</v>
      </c>
      <c r="AB577" s="77" t="e">
        <f>VLOOKUP(M577,'Component List'!AA$2:AB$30,2,FALSE)</f>
        <v>#N/A</v>
      </c>
      <c r="AC577" s="77" t="e">
        <f>VLOOKUP(N577,'Component List'!Y$2:Z$30,2,FALSE)</f>
        <v>#N/A</v>
      </c>
      <c r="AD577" s="159" t="e">
        <f>VLOOKUP(O577,'Component List'!W$3:X$30,2,FALSE)</f>
        <v>#N/A</v>
      </c>
    </row>
    <row r="578" spans="1:30" ht="30" customHeight="1" x14ac:dyDescent="0.3">
      <c r="A578" s="231"/>
      <c r="B578" s="173"/>
      <c r="C578" s="78"/>
      <c r="D578" s="78"/>
      <c r="E578" s="79"/>
      <c r="F578" s="78"/>
      <c r="G578" s="78"/>
      <c r="H578" s="78"/>
      <c r="I578" s="78"/>
      <c r="J578" s="78"/>
      <c r="K578" s="110"/>
      <c r="L578" s="110"/>
      <c r="M578" s="78"/>
      <c r="N578" s="78"/>
      <c r="O578" s="117"/>
      <c r="P578" s="114" t="e">
        <f t="shared" si="7"/>
        <v>#N/A</v>
      </c>
      <c r="Q578" s="77" t="e">
        <f>VLOOKUP($B578,'Component List'!$A$2:$B$30,2,FALSE)</f>
        <v>#N/A</v>
      </c>
      <c r="R578" s="77" t="e">
        <f>VLOOKUP($C578,'Component List'!C$2:D$28,2,FALSE)</f>
        <v>#N/A</v>
      </c>
      <c r="S578" s="77" t="e">
        <f>VLOOKUP($D578,'Component List'!E$2:F$30,2,FALSE)</f>
        <v>#N/A</v>
      </c>
      <c r="T578" s="77" t="e">
        <f>VLOOKUP($E578,'Component List'!G$2:H$30,2,FALSE)</f>
        <v>#N/A</v>
      </c>
      <c r="U578" s="77" t="e">
        <f>VLOOKUP($F578,'Component List'!I$2:J$30,2,FALSE)</f>
        <v>#N/A</v>
      </c>
      <c r="V578" s="77" t="e">
        <f>VLOOKUP(G578,'Component List'!K$2:L$30,2,FALSE)</f>
        <v>#N/A</v>
      </c>
      <c r="W578" s="77" t="e">
        <f>VLOOKUP(H578,'Component List'!M$2:N$31,2,FALSE)</f>
        <v>#N/A</v>
      </c>
      <c r="X578" s="77" t="e">
        <f>VLOOKUP(I578,'Component List'!O$2:P$30,2,FALSE)</f>
        <v>#N/A</v>
      </c>
      <c r="Y578" s="77" t="e">
        <f>VLOOKUP(J578,'Component List'!Q$2:R$30,2,FALSE)</f>
        <v>#N/A</v>
      </c>
      <c r="Z578" s="77" t="e">
        <f>VLOOKUP(K578,'Component List'!S$2:T$30,2,FALSE)</f>
        <v>#N/A</v>
      </c>
      <c r="AA578" s="77" t="e">
        <f>VLOOKUP(L578,'Component List'!U$2:V$30,2,FALSE)</f>
        <v>#N/A</v>
      </c>
      <c r="AB578" s="77" t="e">
        <f>VLOOKUP(M578,'Component List'!AA$2:AB$30,2,FALSE)</f>
        <v>#N/A</v>
      </c>
      <c r="AC578" s="77" t="e">
        <f>VLOOKUP(N578,'Component List'!Y$2:Z$30,2,FALSE)</f>
        <v>#N/A</v>
      </c>
      <c r="AD578" s="159" t="e">
        <f>VLOOKUP(O578,'Component List'!W$3:X$30,2,FALSE)</f>
        <v>#N/A</v>
      </c>
    </row>
    <row r="579" spans="1:30" ht="30" customHeight="1" x14ac:dyDescent="0.3">
      <c r="A579" s="231"/>
      <c r="B579" s="173"/>
      <c r="C579" s="78"/>
      <c r="D579" s="78"/>
      <c r="E579" s="79"/>
      <c r="F579" s="78"/>
      <c r="G579" s="78"/>
      <c r="H579" s="78"/>
      <c r="I579" s="78"/>
      <c r="J579" s="78"/>
      <c r="K579" s="110"/>
      <c r="L579" s="110"/>
      <c r="M579" s="78"/>
      <c r="N579" s="78"/>
      <c r="O579" s="117"/>
      <c r="P579" s="114" t="e">
        <f t="shared" si="7"/>
        <v>#N/A</v>
      </c>
      <c r="Q579" s="77" t="e">
        <f>VLOOKUP($B579,'Component List'!$A$2:$B$30,2,FALSE)</f>
        <v>#N/A</v>
      </c>
      <c r="R579" s="77" t="e">
        <f>VLOOKUP($C579,'Component List'!C$2:D$28,2,FALSE)</f>
        <v>#N/A</v>
      </c>
      <c r="S579" s="77" t="e">
        <f>VLOOKUP($D579,'Component List'!E$2:F$30,2,FALSE)</f>
        <v>#N/A</v>
      </c>
      <c r="T579" s="77" t="e">
        <f>VLOOKUP($E579,'Component List'!G$2:H$30,2,FALSE)</f>
        <v>#N/A</v>
      </c>
      <c r="U579" s="77" t="e">
        <f>VLOOKUP($F579,'Component List'!I$2:J$30,2,FALSE)</f>
        <v>#N/A</v>
      </c>
      <c r="V579" s="77" t="e">
        <f>VLOOKUP(G579,'Component List'!K$2:L$30,2,FALSE)</f>
        <v>#N/A</v>
      </c>
      <c r="W579" s="77" t="e">
        <f>VLOOKUP(H579,'Component List'!M$2:N$31,2,FALSE)</f>
        <v>#N/A</v>
      </c>
      <c r="X579" s="77" t="e">
        <f>VLOOKUP(I579,'Component List'!O$2:P$30,2,FALSE)</f>
        <v>#N/A</v>
      </c>
      <c r="Y579" s="77" t="e">
        <f>VLOOKUP(J579,'Component List'!Q$2:R$30,2,FALSE)</f>
        <v>#N/A</v>
      </c>
      <c r="Z579" s="77" t="e">
        <f>VLOOKUP(K579,'Component List'!S$2:T$30,2,FALSE)</f>
        <v>#N/A</v>
      </c>
      <c r="AA579" s="77" t="e">
        <f>VLOOKUP(L579,'Component List'!U$2:V$30,2,FALSE)</f>
        <v>#N/A</v>
      </c>
      <c r="AB579" s="77" t="e">
        <f>VLOOKUP(M579,'Component List'!AA$2:AB$30,2,FALSE)</f>
        <v>#N/A</v>
      </c>
      <c r="AC579" s="77" t="e">
        <f>VLOOKUP(N579,'Component List'!Y$2:Z$30,2,FALSE)</f>
        <v>#N/A</v>
      </c>
      <c r="AD579" s="159" t="e">
        <f>VLOOKUP(O579,'Component List'!W$3:X$30,2,FALSE)</f>
        <v>#N/A</v>
      </c>
    </row>
    <row r="580" spans="1:30" ht="30" customHeight="1" x14ac:dyDescent="0.3">
      <c r="A580" s="231"/>
      <c r="B580" s="173"/>
      <c r="C580" s="78"/>
      <c r="D580" s="78"/>
      <c r="E580" s="79"/>
      <c r="F580" s="78"/>
      <c r="G580" s="78"/>
      <c r="H580" s="78"/>
      <c r="I580" s="78"/>
      <c r="J580" s="78"/>
      <c r="K580" s="110"/>
      <c r="L580" s="110"/>
      <c r="M580" s="78"/>
      <c r="N580" s="78"/>
      <c r="O580" s="117"/>
      <c r="P580" s="114" t="e">
        <f t="shared" si="7"/>
        <v>#N/A</v>
      </c>
      <c r="Q580" s="77" t="e">
        <f>VLOOKUP($B580,'Component List'!$A$2:$B$30,2,FALSE)</f>
        <v>#N/A</v>
      </c>
      <c r="R580" s="77" t="e">
        <f>VLOOKUP($C580,'Component List'!C$2:D$28,2,FALSE)</f>
        <v>#N/A</v>
      </c>
      <c r="S580" s="77" t="e">
        <f>VLOOKUP($D580,'Component List'!E$2:F$30,2,FALSE)</f>
        <v>#N/A</v>
      </c>
      <c r="T580" s="77" t="e">
        <f>VLOOKUP($E580,'Component List'!G$2:H$30,2,FALSE)</f>
        <v>#N/A</v>
      </c>
      <c r="U580" s="77" t="e">
        <f>VLOOKUP($F580,'Component List'!I$2:J$30,2,FALSE)</f>
        <v>#N/A</v>
      </c>
      <c r="V580" s="77" t="e">
        <f>VLOOKUP(G580,'Component List'!K$2:L$30,2,FALSE)</f>
        <v>#N/A</v>
      </c>
      <c r="W580" s="77" t="e">
        <f>VLOOKUP(H580,'Component List'!M$2:N$31,2,FALSE)</f>
        <v>#N/A</v>
      </c>
      <c r="X580" s="77" t="e">
        <f>VLOOKUP(I580,'Component List'!O$2:P$30,2,FALSE)</f>
        <v>#N/A</v>
      </c>
      <c r="Y580" s="77" t="e">
        <f>VLOOKUP(J580,'Component List'!Q$2:R$30,2,FALSE)</f>
        <v>#N/A</v>
      </c>
      <c r="Z580" s="77" t="e">
        <f>VLOOKUP(K580,'Component List'!S$2:T$30,2,FALSE)</f>
        <v>#N/A</v>
      </c>
      <c r="AA580" s="77" t="e">
        <f>VLOOKUP(L580,'Component List'!U$2:V$30,2,FALSE)</f>
        <v>#N/A</v>
      </c>
      <c r="AB580" s="77" t="e">
        <f>VLOOKUP(M580,'Component List'!AA$2:AB$30,2,FALSE)</f>
        <v>#N/A</v>
      </c>
      <c r="AC580" s="77" t="e">
        <f>VLOOKUP(N580,'Component List'!Y$2:Z$30,2,FALSE)</f>
        <v>#N/A</v>
      </c>
      <c r="AD580" s="159" t="e">
        <f>VLOOKUP(O580,'Component List'!W$3:X$30,2,FALSE)</f>
        <v>#N/A</v>
      </c>
    </row>
    <row r="581" spans="1:30" ht="30" customHeight="1" x14ac:dyDescent="0.3">
      <c r="A581" s="231"/>
      <c r="B581" s="173"/>
      <c r="C581" s="78"/>
      <c r="D581" s="78"/>
      <c r="E581" s="79"/>
      <c r="F581" s="78"/>
      <c r="G581" s="78"/>
      <c r="H581" s="78"/>
      <c r="I581" s="78"/>
      <c r="J581" s="78"/>
      <c r="K581" s="110"/>
      <c r="L581" s="110"/>
      <c r="M581" s="78"/>
      <c r="N581" s="78"/>
      <c r="O581" s="117"/>
      <c r="P581" s="114" t="e">
        <f t="shared" si="7"/>
        <v>#N/A</v>
      </c>
      <c r="Q581" s="77" t="e">
        <f>VLOOKUP($B581,'Component List'!$A$2:$B$30,2,FALSE)</f>
        <v>#N/A</v>
      </c>
      <c r="R581" s="77" t="e">
        <f>VLOOKUP($C581,'Component List'!C$2:D$28,2,FALSE)</f>
        <v>#N/A</v>
      </c>
      <c r="S581" s="77" t="e">
        <f>VLOOKUP($D581,'Component List'!E$2:F$30,2,FALSE)</f>
        <v>#N/A</v>
      </c>
      <c r="T581" s="77" t="e">
        <f>VLOOKUP($E581,'Component List'!G$2:H$30,2,FALSE)</f>
        <v>#N/A</v>
      </c>
      <c r="U581" s="77" t="e">
        <f>VLOOKUP($F581,'Component List'!I$2:J$30,2,FALSE)</f>
        <v>#N/A</v>
      </c>
      <c r="V581" s="77" t="e">
        <f>VLOOKUP(G581,'Component List'!K$2:L$30,2,FALSE)</f>
        <v>#N/A</v>
      </c>
      <c r="W581" s="77" t="e">
        <f>VLOOKUP(H581,'Component List'!M$2:N$31,2,FALSE)</f>
        <v>#N/A</v>
      </c>
      <c r="X581" s="77" t="e">
        <f>VLOOKUP(I581,'Component List'!O$2:P$30,2,FALSE)</f>
        <v>#N/A</v>
      </c>
      <c r="Y581" s="77" t="e">
        <f>VLOOKUP(J581,'Component List'!Q$2:R$30,2,FALSE)</f>
        <v>#N/A</v>
      </c>
      <c r="Z581" s="77" t="e">
        <f>VLOOKUP(K581,'Component List'!S$2:T$30,2,FALSE)</f>
        <v>#N/A</v>
      </c>
      <c r="AA581" s="77" t="e">
        <f>VLOOKUP(L581,'Component List'!U$2:V$30,2,FALSE)</f>
        <v>#N/A</v>
      </c>
      <c r="AB581" s="77" t="e">
        <f>VLOOKUP(M581,'Component List'!AA$2:AB$30,2,FALSE)</f>
        <v>#N/A</v>
      </c>
      <c r="AC581" s="77" t="e">
        <f>VLOOKUP(N581,'Component List'!Y$2:Z$30,2,FALSE)</f>
        <v>#N/A</v>
      </c>
      <c r="AD581" s="159" t="e">
        <f>VLOOKUP(O581,'Component List'!W$3:X$30,2,FALSE)</f>
        <v>#N/A</v>
      </c>
    </row>
    <row r="582" spans="1:30" ht="30" customHeight="1" x14ac:dyDescent="0.3">
      <c r="A582" s="231"/>
      <c r="B582" s="173"/>
      <c r="C582" s="78"/>
      <c r="D582" s="78"/>
      <c r="E582" s="79"/>
      <c r="F582" s="78"/>
      <c r="G582" s="78"/>
      <c r="H582" s="78"/>
      <c r="I582" s="78"/>
      <c r="J582" s="78"/>
      <c r="K582" s="110"/>
      <c r="L582" s="110"/>
      <c r="M582" s="78"/>
      <c r="N582" s="78"/>
      <c r="O582" s="117"/>
      <c r="P582" s="114" t="e">
        <f t="shared" si="7"/>
        <v>#N/A</v>
      </c>
      <c r="Q582" s="77" t="e">
        <f>VLOOKUP($B582,'Component List'!$A$2:$B$30,2,FALSE)</f>
        <v>#N/A</v>
      </c>
      <c r="R582" s="77" t="e">
        <f>VLOOKUP($C582,'Component List'!C$2:D$28,2,FALSE)</f>
        <v>#N/A</v>
      </c>
      <c r="S582" s="77" t="e">
        <f>VLOOKUP($D582,'Component List'!E$2:F$30,2,FALSE)</f>
        <v>#N/A</v>
      </c>
      <c r="T582" s="77" t="e">
        <f>VLOOKUP($E582,'Component List'!G$2:H$30,2,FALSE)</f>
        <v>#N/A</v>
      </c>
      <c r="U582" s="77" t="e">
        <f>VLOOKUP($F582,'Component List'!I$2:J$30,2,FALSE)</f>
        <v>#N/A</v>
      </c>
      <c r="V582" s="77" t="e">
        <f>VLOOKUP(G582,'Component List'!K$2:L$30,2,FALSE)</f>
        <v>#N/A</v>
      </c>
      <c r="W582" s="77" t="e">
        <f>VLOOKUP(H582,'Component List'!M$2:N$31,2,FALSE)</f>
        <v>#N/A</v>
      </c>
      <c r="X582" s="77" t="e">
        <f>VLOOKUP(I582,'Component List'!O$2:P$30,2,FALSE)</f>
        <v>#N/A</v>
      </c>
      <c r="Y582" s="77" t="e">
        <f>VLOOKUP(J582,'Component List'!Q$2:R$30,2,FALSE)</f>
        <v>#N/A</v>
      </c>
      <c r="Z582" s="77" t="e">
        <f>VLOOKUP(K582,'Component List'!S$2:T$30,2,FALSE)</f>
        <v>#N/A</v>
      </c>
      <c r="AA582" s="77" t="e">
        <f>VLOOKUP(L582,'Component List'!U$2:V$30,2,FALSE)</f>
        <v>#N/A</v>
      </c>
      <c r="AB582" s="77" t="e">
        <f>VLOOKUP(M582,'Component List'!AA$2:AB$30,2,FALSE)</f>
        <v>#N/A</v>
      </c>
      <c r="AC582" s="77" t="e">
        <f>VLOOKUP(N582,'Component List'!Y$2:Z$30,2,FALSE)</f>
        <v>#N/A</v>
      </c>
      <c r="AD582" s="159" t="e">
        <f>VLOOKUP(O582,'Component List'!W$3:X$30,2,FALSE)</f>
        <v>#N/A</v>
      </c>
    </row>
    <row r="583" spans="1:30" ht="30" customHeight="1" x14ac:dyDescent="0.3">
      <c r="A583" s="231"/>
      <c r="B583" s="173"/>
      <c r="C583" s="78"/>
      <c r="D583" s="78"/>
      <c r="E583" s="79"/>
      <c r="F583" s="78"/>
      <c r="G583" s="78"/>
      <c r="H583" s="78"/>
      <c r="I583" s="78"/>
      <c r="J583" s="78"/>
      <c r="K583" s="110"/>
      <c r="L583" s="110"/>
      <c r="M583" s="78"/>
      <c r="N583" s="78"/>
      <c r="O583" s="117"/>
      <c r="P583" s="114" t="e">
        <f t="shared" si="7"/>
        <v>#N/A</v>
      </c>
      <c r="Q583" s="77" t="e">
        <f>VLOOKUP($B583,'Component List'!$A$2:$B$30,2,FALSE)</f>
        <v>#N/A</v>
      </c>
      <c r="R583" s="77" t="e">
        <f>VLOOKUP($C583,'Component List'!C$2:D$28,2,FALSE)</f>
        <v>#N/A</v>
      </c>
      <c r="S583" s="77" t="e">
        <f>VLOOKUP($D583,'Component List'!E$2:F$30,2,FALSE)</f>
        <v>#N/A</v>
      </c>
      <c r="T583" s="77" t="e">
        <f>VLOOKUP($E583,'Component List'!G$2:H$30,2,FALSE)</f>
        <v>#N/A</v>
      </c>
      <c r="U583" s="77" t="e">
        <f>VLOOKUP($F583,'Component List'!I$2:J$30,2,FALSE)</f>
        <v>#N/A</v>
      </c>
      <c r="V583" s="77" t="e">
        <f>VLOOKUP(G583,'Component List'!K$2:L$30,2,FALSE)</f>
        <v>#N/A</v>
      </c>
      <c r="W583" s="77" t="e">
        <f>VLOOKUP(H583,'Component List'!M$2:N$31,2,FALSE)</f>
        <v>#N/A</v>
      </c>
      <c r="X583" s="77" t="e">
        <f>VLOOKUP(I583,'Component List'!O$2:P$30,2,FALSE)</f>
        <v>#N/A</v>
      </c>
      <c r="Y583" s="77" t="e">
        <f>VLOOKUP(J583,'Component List'!Q$2:R$30,2,FALSE)</f>
        <v>#N/A</v>
      </c>
      <c r="Z583" s="77" t="e">
        <f>VLOOKUP(K583,'Component List'!S$2:T$30,2,FALSE)</f>
        <v>#N/A</v>
      </c>
      <c r="AA583" s="77" t="e">
        <f>VLOOKUP(L583,'Component List'!U$2:V$30,2,FALSE)</f>
        <v>#N/A</v>
      </c>
      <c r="AB583" s="77" t="e">
        <f>VLOOKUP(M583,'Component List'!AA$2:AB$30,2,FALSE)</f>
        <v>#N/A</v>
      </c>
      <c r="AC583" s="77" t="e">
        <f>VLOOKUP(N583,'Component List'!Y$2:Z$30,2,FALSE)</f>
        <v>#N/A</v>
      </c>
      <c r="AD583" s="159" t="e">
        <f>VLOOKUP(O583,'Component List'!W$3:X$30,2,FALSE)</f>
        <v>#N/A</v>
      </c>
    </row>
    <row r="584" spans="1:30" ht="30" customHeight="1" x14ac:dyDescent="0.3">
      <c r="A584" s="231"/>
      <c r="B584" s="173"/>
      <c r="C584" s="78"/>
      <c r="D584" s="78"/>
      <c r="E584" s="79"/>
      <c r="F584" s="78"/>
      <c r="G584" s="78"/>
      <c r="H584" s="78"/>
      <c r="I584" s="78"/>
      <c r="J584" s="78"/>
      <c r="K584" s="110"/>
      <c r="L584" s="110"/>
      <c r="M584" s="78"/>
      <c r="N584" s="78"/>
      <c r="O584" s="117"/>
      <c r="P584" s="114" t="e">
        <f t="shared" si="7"/>
        <v>#N/A</v>
      </c>
      <c r="Q584" s="77" t="e">
        <f>VLOOKUP($B584,'Component List'!$A$2:$B$30,2,FALSE)</f>
        <v>#N/A</v>
      </c>
      <c r="R584" s="77" t="e">
        <f>VLOOKUP($C584,'Component List'!C$2:D$28,2,FALSE)</f>
        <v>#N/A</v>
      </c>
      <c r="S584" s="77" t="e">
        <f>VLOOKUP($D584,'Component List'!E$2:F$30,2,FALSE)</f>
        <v>#N/A</v>
      </c>
      <c r="T584" s="77" t="e">
        <f>VLOOKUP($E584,'Component List'!G$2:H$30,2,FALSE)</f>
        <v>#N/A</v>
      </c>
      <c r="U584" s="77" t="e">
        <f>VLOOKUP($F584,'Component List'!I$2:J$30,2,FALSE)</f>
        <v>#N/A</v>
      </c>
      <c r="V584" s="77" t="e">
        <f>VLOOKUP(G584,'Component List'!K$2:L$30,2,FALSE)</f>
        <v>#N/A</v>
      </c>
      <c r="W584" s="77" t="e">
        <f>VLOOKUP(H584,'Component List'!M$2:N$31,2,FALSE)</f>
        <v>#N/A</v>
      </c>
      <c r="X584" s="77" t="e">
        <f>VLOOKUP(I584,'Component List'!O$2:P$30,2,FALSE)</f>
        <v>#N/A</v>
      </c>
      <c r="Y584" s="77" t="e">
        <f>VLOOKUP(J584,'Component List'!Q$2:R$30,2,FALSE)</f>
        <v>#N/A</v>
      </c>
      <c r="Z584" s="77" t="e">
        <f>VLOOKUP(K584,'Component List'!S$2:T$30,2,FALSE)</f>
        <v>#N/A</v>
      </c>
      <c r="AA584" s="77" t="e">
        <f>VLOOKUP(L584,'Component List'!U$2:V$30,2,FALSE)</f>
        <v>#N/A</v>
      </c>
      <c r="AB584" s="77" t="e">
        <f>VLOOKUP(M584,'Component List'!AA$2:AB$30,2,FALSE)</f>
        <v>#N/A</v>
      </c>
      <c r="AC584" s="77" t="e">
        <f>VLOOKUP(N584,'Component List'!Y$2:Z$30,2,FALSE)</f>
        <v>#N/A</v>
      </c>
      <c r="AD584" s="159" t="e">
        <f>VLOOKUP(O584,'Component List'!W$3:X$30,2,FALSE)</f>
        <v>#N/A</v>
      </c>
    </row>
    <row r="585" spans="1:30" ht="30" customHeight="1" x14ac:dyDescent="0.3">
      <c r="A585" s="231"/>
      <c r="B585" s="173"/>
      <c r="C585" s="78"/>
      <c r="D585" s="78"/>
      <c r="E585" s="79"/>
      <c r="F585" s="78"/>
      <c r="G585" s="78"/>
      <c r="H585" s="78"/>
      <c r="I585" s="78"/>
      <c r="J585" s="78"/>
      <c r="K585" s="110"/>
      <c r="L585" s="110"/>
      <c r="M585" s="78"/>
      <c r="N585" s="78"/>
      <c r="O585" s="117"/>
      <c r="P585" s="114" t="e">
        <f t="shared" si="7"/>
        <v>#N/A</v>
      </c>
      <c r="Q585" s="77" t="e">
        <f>VLOOKUP($B585,'Component List'!$A$2:$B$30,2,FALSE)</f>
        <v>#N/A</v>
      </c>
      <c r="R585" s="77" t="e">
        <f>VLOOKUP($C585,'Component List'!C$2:D$28,2,FALSE)</f>
        <v>#N/A</v>
      </c>
      <c r="S585" s="77" t="e">
        <f>VLOOKUP($D585,'Component List'!E$2:F$30,2,FALSE)</f>
        <v>#N/A</v>
      </c>
      <c r="T585" s="77" t="e">
        <f>VLOOKUP($E585,'Component List'!G$2:H$30,2,FALSE)</f>
        <v>#N/A</v>
      </c>
      <c r="U585" s="77" t="e">
        <f>VLOOKUP($F585,'Component List'!I$2:J$30,2,FALSE)</f>
        <v>#N/A</v>
      </c>
      <c r="V585" s="77" t="e">
        <f>VLOOKUP(G585,'Component List'!K$2:L$30,2,FALSE)</f>
        <v>#N/A</v>
      </c>
      <c r="W585" s="77" t="e">
        <f>VLOOKUP(H585,'Component List'!M$2:N$31,2,FALSE)</f>
        <v>#N/A</v>
      </c>
      <c r="X585" s="77" t="e">
        <f>VLOOKUP(I585,'Component List'!O$2:P$30,2,FALSE)</f>
        <v>#N/A</v>
      </c>
      <c r="Y585" s="77" t="e">
        <f>VLOOKUP(J585,'Component List'!Q$2:R$30,2,FALSE)</f>
        <v>#N/A</v>
      </c>
      <c r="Z585" s="77" t="e">
        <f>VLOOKUP(K585,'Component List'!S$2:T$30,2,FALSE)</f>
        <v>#N/A</v>
      </c>
      <c r="AA585" s="77" t="e">
        <f>VLOOKUP(L585,'Component List'!U$2:V$30,2,FALSE)</f>
        <v>#N/A</v>
      </c>
      <c r="AB585" s="77" t="e">
        <f>VLOOKUP(M585,'Component List'!AA$2:AB$30,2,FALSE)</f>
        <v>#N/A</v>
      </c>
      <c r="AC585" s="77" t="e">
        <f>VLOOKUP(N585,'Component List'!Y$2:Z$30,2,FALSE)</f>
        <v>#N/A</v>
      </c>
      <c r="AD585" s="159" t="e">
        <f>VLOOKUP(O585,'Component List'!W$3:X$30,2,FALSE)</f>
        <v>#N/A</v>
      </c>
    </row>
    <row r="586" spans="1:30" ht="30" customHeight="1" x14ac:dyDescent="0.3">
      <c r="A586" s="231"/>
      <c r="B586" s="173"/>
      <c r="C586" s="78"/>
      <c r="D586" s="78"/>
      <c r="E586" s="79"/>
      <c r="F586" s="78"/>
      <c r="G586" s="78"/>
      <c r="H586" s="78"/>
      <c r="I586" s="78"/>
      <c r="J586" s="78"/>
      <c r="K586" s="110"/>
      <c r="L586" s="110"/>
      <c r="M586" s="78"/>
      <c r="N586" s="78"/>
      <c r="O586" s="117"/>
      <c r="P586" s="114" t="e">
        <f t="shared" si="7"/>
        <v>#N/A</v>
      </c>
      <c r="Q586" s="77" t="e">
        <f>VLOOKUP($B586,'Component List'!$A$2:$B$30,2,FALSE)</f>
        <v>#N/A</v>
      </c>
      <c r="R586" s="77" t="e">
        <f>VLOOKUP($C586,'Component List'!C$2:D$28,2,FALSE)</f>
        <v>#N/A</v>
      </c>
      <c r="S586" s="77" t="e">
        <f>VLOOKUP($D586,'Component List'!E$2:F$30,2,FALSE)</f>
        <v>#N/A</v>
      </c>
      <c r="T586" s="77" t="e">
        <f>VLOOKUP($E586,'Component List'!G$2:H$30,2,FALSE)</f>
        <v>#N/A</v>
      </c>
      <c r="U586" s="77" t="e">
        <f>VLOOKUP($F586,'Component List'!I$2:J$30,2,FALSE)</f>
        <v>#N/A</v>
      </c>
      <c r="V586" s="77" t="e">
        <f>VLOOKUP(G586,'Component List'!K$2:L$30,2,FALSE)</f>
        <v>#N/A</v>
      </c>
      <c r="W586" s="77" t="e">
        <f>VLOOKUP(H586,'Component List'!M$2:N$31,2,FALSE)</f>
        <v>#N/A</v>
      </c>
      <c r="X586" s="77" t="e">
        <f>VLOOKUP(I586,'Component List'!O$2:P$30,2,FALSE)</f>
        <v>#N/A</v>
      </c>
      <c r="Y586" s="77" t="e">
        <f>VLOOKUP(J586,'Component List'!Q$2:R$30,2,FALSE)</f>
        <v>#N/A</v>
      </c>
      <c r="Z586" s="77" t="e">
        <f>VLOOKUP(K586,'Component List'!S$2:T$30,2,FALSE)</f>
        <v>#N/A</v>
      </c>
      <c r="AA586" s="77" t="e">
        <f>VLOOKUP(L586,'Component List'!U$2:V$30,2,FALSE)</f>
        <v>#N/A</v>
      </c>
      <c r="AB586" s="77" t="e">
        <f>VLOOKUP(M586,'Component List'!AA$2:AB$30,2,FALSE)</f>
        <v>#N/A</v>
      </c>
      <c r="AC586" s="77" t="e">
        <f>VLOOKUP(N586,'Component List'!Y$2:Z$30,2,FALSE)</f>
        <v>#N/A</v>
      </c>
      <c r="AD586" s="159" t="e">
        <f>VLOOKUP(O586,'Component List'!W$3:X$30,2,FALSE)</f>
        <v>#N/A</v>
      </c>
    </row>
    <row r="587" spans="1:30" ht="30" customHeight="1" x14ac:dyDescent="0.3">
      <c r="A587" s="231"/>
      <c r="B587" s="173"/>
      <c r="C587" s="78"/>
      <c r="D587" s="78"/>
      <c r="E587" s="79"/>
      <c r="F587" s="78"/>
      <c r="G587" s="78"/>
      <c r="H587" s="78"/>
      <c r="I587" s="78"/>
      <c r="J587" s="78"/>
      <c r="K587" s="110"/>
      <c r="L587" s="110"/>
      <c r="M587" s="78"/>
      <c r="N587" s="78"/>
      <c r="O587" s="117"/>
      <c r="P587" s="114" t="e">
        <f t="shared" si="7"/>
        <v>#N/A</v>
      </c>
      <c r="Q587" s="77" t="e">
        <f>VLOOKUP($B587,'Component List'!$A$2:$B$30,2,FALSE)</f>
        <v>#N/A</v>
      </c>
      <c r="R587" s="77" t="e">
        <f>VLOOKUP($C587,'Component List'!C$2:D$28,2,FALSE)</f>
        <v>#N/A</v>
      </c>
      <c r="S587" s="77" t="e">
        <f>VLOOKUP($D587,'Component List'!E$2:F$30,2,FALSE)</f>
        <v>#N/A</v>
      </c>
      <c r="T587" s="77" t="e">
        <f>VLOOKUP($E587,'Component List'!G$2:H$30,2,FALSE)</f>
        <v>#N/A</v>
      </c>
      <c r="U587" s="77" t="e">
        <f>VLOOKUP($F587,'Component List'!I$2:J$30,2,FALSE)</f>
        <v>#N/A</v>
      </c>
      <c r="V587" s="77" t="e">
        <f>VLOOKUP(G587,'Component List'!K$2:L$30,2,FALSE)</f>
        <v>#N/A</v>
      </c>
      <c r="W587" s="77" t="e">
        <f>VLOOKUP(H587,'Component List'!M$2:N$31,2,FALSE)</f>
        <v>#N/A</v>
      </c>
      <c r="X587" s="77" t="e">
        <f>VLOOKUP(I587,'Component List'!O$2:P$30,2,FALSE)</f>
        <v>#N/A</v>
      </c>
      <c r="Y587" s="77" t="e">
        <f>VLOOKUP(J587,'Component List'!Q$2:R$30,2,FALSE)</f>
        <v>#N/A</v>
      </c>
      <c r="Z587" s="77" t="e">
        <f>VLOOKUP(K587,'Component List'!S$2:T$30,2,FALSE)</f>
        <v>#N/A</v>
      </c>
      <c r="AA587" s="77" t="e">
        <f>VLOOKUP(L587,'Component List'!U$2:V$30,2,FALSE)</f>
        <v>#N/A</v>
      </c>
      <c r="AB587" s="77" t="e">
        <f>VLOOKUP(M587,'Component List'!AA$2:AB$30,2,FALSE)</f>
        <v>#N/A</v>
      </c>
      <c r="AC587" s="77" t="e">
        <f>VLOOKUP(N587,'Component List'!Y$2:Z$30,2,FALSE)</f>
        <v>#N/A</v>
      </c>
      <c r="AD587" s="159" t="e">
        <f>VLOOKUP(O587,'Component List'!W$3:X$30,2,FALSE)</f>
        <v>#N/A</v>
      </c>
    </row>
    <row r="588" spans="1:30" ht="30" customHeight="1" x14ac:dyDescent="0.3">
      <c r="A588" s="231"/>
      <c r="B588" s="173"/>
      <c r="C588" s="78"/>
      <c r="D588" s="78"/>
      <c r="E588" s="79"/>
      <c r="F588" s="78"/>
      <c r="G588" s="78"/>
      <c r="H588" s="78"/>
      <c r="I588" s="78"/>
      <c r="J588" s="78"/>
      <c r="K588" s="110"/>
      <c r="L588" s="110"/>
      <c r="M588" s="78"/>
      <c r="N588" s="78"/>
      <c r="O588" s="117"/>
      <c r="P588" s="114" t="e">
        <f t="shared" si="7"/>
        <v>#N/A</v>
      </c>
      <c r="Q588" s="77" t="e">
        <f>VLOOKUP($B588,'Component List'!$A$2:$B$30,2,FALSE)</f>
        <v>#N/A</v>
      </c>
      <c r="R588" s="77" t="e">
        <f>VLOOKUP($C588,'Component List'!C$2:D$28,2,FALSE)</f>
        <v>#N/A</v>
      </c>
      <c r="S588" s="77" t="e">
        <f>VLOOKUP($D588,'Component List'!E$2:F$30,2,FALSE)</f>
        <v>#N/A</v>
      </c>
      <c r="T588" s="77" t="e">
        <f>VLOOKUP($E588,'Component List'!G$2:H$30,2,FALSE)</f>
        <v>#N/A</v>
      </c>
      <c r="U588" s="77" t="e">
        <f>VLOOKUP($F588,'Component List'!I$2:J$30,2,FALSE)</f>
        <v>#N/A</v>
      </c>
      <c r="V588" s="77" t="e">
        <f>VLOOKUP(G588,'Component List'!K$2:L$30,2,FALSE)</f>
        <v>#N/A</v>
      </c>
      <c r="W588" s="77" t="e">
        <f>VLOOKUP(H588,'Component List'!M$2:N$31,2,FALSE)</f>
        <v>#N/A</v>
      </c>
      <c r="X588" s="77" t="e">
        <f>VLOOKUP(I588,'Component List'!O$2:P$30,2,FALSE)</f>
        <v>#N/A</v>
      </c>
      <c r="Y588" s="77" t="e">
        <f>VLOOKUP(J588,'Component List'!Q$2:R$30,2,FALSE)</f>
        <v>#N/A</v>
      </c>
      <c r="Z588" s="77" t="e">
        <f>VLOOKUP(K588,'Component List'!S$2:T$30,2,FALSE)</f>
        <v>#N/A</v>
      </c>
      <c r="AA588" s="77" t="e">
        <f>VLOOKUP(L588,'Component List'!U$2:V$30,2,FALSE)</f>
        <v>#N/A</v>
      </c>
      <c r="AB588" s="77" t="e">
        <f>VLOOKUP(M588,'Component List'!AA$2:AB$30,2,FALSE)</f>
        <v>#N/A</v>
      </c>
      <c r="AC588" s="77" t="e">
        <f>VLOOKUP(N588,'Component List'!Y$2:Z$30,2,FALSE)</f>
        <v>#N/A</v>
      </c>
      <c r="AD588" s="159" t="e">
        <f>VLOOKUP(O588,'Component List'!W$3:X$30,2,FALSE)</f>
        <v>#N/A</v>
      </c>
    </row>
    <row r="589" spans="1:30" ht="30" customHeight="1" x14ac:dyDescent="0.3">
      <c r="A589" s="231"/>
      <c r="B589" s="173"/>
      <c r="C589" s="78"/>
      <c r="D589" s="78"/>
      <c r="E589" s="79"/>
      <c r="F589" s="78"/>
      <c r="G589" s="78"/>
      <c r="H589" s="78"/>
      <c r="I589" s="78"/>
      <c r="J589" s="78"/>
      <c r="K589" s="110"/>
      <c r="L589" s="110"/>
      <c r="M589" s="78"/>
      <c r="N589" s="78"/>
      <c r="O589" s="117"/>
      <c r="P589" s="114" t="e">
        <f t="shared" ref="P589:P652" si="8">Q589&amp;R589&amp;S589&amp;T589&amp;U589&amp;V589&amp;W589&amp;X589&amp;Y589&amp;Z589&amp;AA589&amp;AD589&amp;AC589&amp;AB589</f>
        <v>#N/A</v>
      </c>
      <c r="Q589" s="77" t="e">
        <f>VLOOKUP($B589,'Component List'!$A$2:$B$30,2,FALSE)</f>
        <v>#N/A</v>
      </c>
      <c r="R589" s="77" t="e">
        <f>VLOOKUP($C589,'Component List'!C$2:D$28,2,FALSE)</f>
        <v>#N/A</v>
      </c>
      <c r="S589" s="77" t="e">
        <f>VLOOKUP($D589,'Component List'!E$2:F$30,2,FALSE)</f>
        <v>#N/A</v>
      </c>
      <c r="T589" s="77" t="e">
        <f>VLOOKUP($E589,'Component List'!G$2:H$30,2,FALSE)</f>
        <v>#N/A</v>
      </c>
      <c r="U589" s="77" t="e">
        <f>VLOOKUP($F589,'Component List'!I$2:J$30,2,FALSE)</f>
        <v>#N/A</v>
      </c>
      <c r="V589" s="77" t="e">
        <f>VLOOKUP(G589,'Component List'!K$2:L$30,2,FALSE)</f>
        <v>#N/A</v>
      </c>
      <c r="W589" s="77" t="e">
        <f>VLOOKUP(H589,'Component List'!M$2:N$31,2,FALSE)</f>
        <v>#N/A</v>
      </c>
      <c r="X589" s="77" t="e">
        <f>VLOOKUP(I589,'Component List'!O$2:P$30,2,FALSE)</f>
        <v>#N/A</v>
      </c>
      <c r="Y589" s="77" t="e">
        <f>VLOOKUP(J589,'Component List'!Q$2:R$30,2,FALSE)</f>
        <v>#N/A</v>
      </c>
      <c r="Z589" s="77" t="e">
        <f>VLOOKUP(K589,'Component List'!S$2:T$30,2,FALSE)</f>
        <v>#N/A</v>
      </c>
      <c r="AA589" s="77" t="e">
        <f>VLOOKUP(L589,'Component List'!U$2:V$30,2,FALSE)</f>
        <v>#N/A</v>
      </c>
      <c r="AB589" s="77" t="e">
        <f>VLOOKUP(M589,'Component List'!AA$2:AB$30,2,FALSE)</f>
        <v>#N/A</v>
      </c>
      <c r="AC589" s="77" t="e">
        <f>VLOOKUP(N589,'Component List'!Y$2:Z$30,2,FALSE)</f>
        <v>#N/A</v>
      </c>
      <c r="AD589" s="159" t="e">
        <f>VLOOKUP(O589,'Component List'!W$3:X$30,2,FALSE)</f>
        <v>#N/A</v>
      </c>
    </row>
    <row r="590" spans="1:30" ht="30" customHeight="1" x14ac:dyDescent="0.3">
      <c r="A590" s="231"/>
      <c r="B590" s="173"/>
      <c r="C590" s="78"/>
      <c r="D590" s="78"/>
      <c r="E590" s="79"/>
      <c r="F590" s="78"/>
      <c r="G590" s="78"/>
      <c r="H590" s="78"/>
      <c r="I590" s="78"/>
      <c r="J590" s="78"/>
      <c r="K590" s="110"/>
      <c r="L590" s="110"/>
      <c r="M590" s="78"/>
      <c r="N590" s="78"/>
      <c r="O590" s="117"/>
      <c r="P590" s="114" t="e">
        <f t="shared" si="8"/>
        <v>#N/A</v>
      </c>
      <c r="Q590" s="77" t="e">
        <f>VLOOKUP($B590,'Component List'!$A$2:$B$30,2,FALSE)</f>
        <v>#N/A</v>
      </c>
      <c r="R590" s="77" t="e">
        <f>VLOOKUP($C590,'Component List'!C$2:D$28,2,FALSE)</f>
        <v>#N/A</v>
      </c>
      <c r="S590" s="77" t="e">
        <f>VLOOKUP($D590,'Component List'!E$2:F$30,2,FALSE)</f>
        <v>#N/A</v>
      </c>
      <c r="T590" s="77" t="e">
        <f>VLOOKUP($E590,'Component List'!G$2:H$30,2,FALSE)</f>
        <v>#N/A</v>
      </c>
      <c r="U590" s="77" t="e">
        <f>VLOOKUP($F590,'Component List'!I$2:J$30,2,FALSE)</f>
        <v>#N/A</v>
      </c>
      <c r="V590" s="77" t="e">
        <f>VLOOKUP(G590,'Component List'!K$2:L$30,2,FALSE)</f>
        <v>#N/A</v>
      </c>
      <c r="W590" s="77" t="e">
        <f>VLOOKUP(H590,'Component List'!M$2:N$31,2,FALSE)</f>
        <v>#N/A</v>
      </c>
      <c r="X590" s="77" t="e">
        <f>VLOOKUP(I590,'Component List'!O$2:P$30,2,FALSE)</f>
        <v>#N/A</v>
      </c>
      <c r="Y590" s="77" t="e">
        <f>VLOOKUP(J590,'Component List'!Q$2:R$30,2,FALSE)</f>
        <v>#N/A</v>
      </c>
      <c r="Z590" s="77" t="e">
        <f>VLOOKUP(K590,'Component List'!S$2:T$30,2,FALSE)</f>
        <v>#N/A</v>
      </c>
      <c r="AA590" s="77" t="e">
        <f>VLOOKUP(L590,'Component List'!U$2:V$30,2,FALSE)</f>
        <v>#N/A</v>
      </c>
      <c r="AB590" s="77" t="e">
        <f>VLOOKUP(M590,'Component List'!AA$2:AB$30,2,FALSE)</f>
        <v>#N/A</v>
      </c>
      <c r="AC590" s="77" t="e">
        <f>VLOOKUP(N590,'Component List'!Y$2:Z$30,2,FALSE)</f>
        <v>#N/A</v>
      </c>
      <c r="AD590" s="159" t="e">
        <f>VLOOKUP(O590,'Component List'!W$3:X$30,2,FALSE)</f>
        <v>#N/A</v>
      </c>
    </row>
    <row r="591" spans="1:30" ht="30" customHeight="1" x14ac:dyDescent="0.3">
      <c r="A591" s="231"/>
      <c r="B591" s="173"/>
      <c r="C591" s="78"/>
      <c r="D591" s="78"/>
      <c r="E591" s="79"/>
      <c r="F591" s="78"/>
      <c r="G591" s="78"/>
      <c r="H591" s="78"/>
      <c r="I591" s="78"/>
      <c r="J591" s="78"/>
      <c r="K591" s="110"/>
      <c r="L591" s="110"/>
      <c r="M591" s="78"/>
      <c r="N591" s="78"/>
      <c r="O591" s="117"/>
      <c r="P591" s="114" t="e">
        <f t="shared" si="8"/>
        <v>#N/A</v>
      </c>
      <c r="Q591" s="77" t="e">
        <f>VLOOKUP($B591,'Component List'!$A$2:$B$30,2,FALSE)</f>
        <v>#N/A</v>
      </c>
      <c r="R591" s="77" t="e">
        <f>VLOOKUP($C591,'Component List'!C$2:D$28,2,FALSE)</f>
        <v>#N/A</v>
      </c>
      <c r="S591" s="77" t="e">
        <f>VLOOKUP($D591,'Component List'!E$2:F$30,2,FALSE)</f>
        <v>#N/A</v>
      </c>
      <c r="T591" s="77" t="e">
        <f>VLOOKUP($E591,'Component List'!G$2:H$30,2,FALSE)</f>
        <v>#N/A</v>
      </c>
      <c r="U591" s="77" t="e">
        <f>VLOOKUP($F591,'Component List'!I$2:J$30,2,FALSE)</f>
        <v>#N/A</v>
      </c>
      <c r="V591" s="77" t="e">
        <f>VLOOKUP(G591,'Component List'!K$2:L$30,2,FALSE)</f>
        <v>#N/A</v>
      </c>
      <c r="W591" s="77" t="e">
        <f>VLOOKUP(H591,'Component List'!M$2:N$31,2,FALSE)</f>
        <v>#N/A</v>
      </c>
      <c r="X591" s="77" t="e">
        <f>VLOOKUP(I591,'Component List'!O$2:P$30,2,FALSE)</f>
        <v>#N/A</v>
      </c>
      <c r="Y591" s="77" t="e">
        <f>VLOOKUP(J591,'Component List'!Q$2:R$30,2,FALSE)</f>
        <v>#N/A</v>
      </c>
      <c r="Z591" s="77" t="e">
        <f>VLOOKUP(K591,'Component List'!S$2:T$30,2,FALSE)</f>
        <v>#N/A</v>
      </c>
      <c r="AA591" s="77" t="e">
        <f>VLOOKUP(L591,'Component List'!U$2:V$30,2,FALSE)</f>
        <v>#N/A</v>
      </c>
      <c r="AB591" s="77" t="e">
        <f>VLOOKUP(M591,'Component List'!AA$2:AB$30,2,FALSE)</f>
        <v>#N/A</v>
      </c>
      <c r="AC591" s="77" t="e">
        <f>VLOOKUP(N591,'Component List'!Y$2:Z$30,2,FALSE)</f>
        <v>#N/A</v>
      </c>
      <c r="AD591" s="159" t="e">
        <f>VLOOKUP(O591,'Component List'!W$3:X$30,2,FALSE)</f>
        <v>#N/A</v>
      </c>
    </row>
    <row r="592" spans="1:30" ht="30" customHeight="1" x14ac:dyDescent="0.3">
      <c r="A592" s="231"/>
      <c r="B592" s="173"/>
      <c r="C592" s="78"/>
      <c r="D592" s="78"/>
      <c r="E592" s="79"/>
      <c r="F592" s="78"/>
      <c r="G592" s="78"/>
      <c r="H592" s="78"/>
      <c r="I592" s="78"/>
      <c r="J592" s="78"/>
      <c r="K592" s="110"/>
      <c r="L592" s="110"/>
      <c r="M592" s="78"/>
      <c r="N592" s="78"/>
      <c r="O592" s="117"/>
      <c r="P592" s="114" t="e">
        <f t="shared" si="8"/>
        <v>#N/A</v>
      </c>
      <c r="Q592" s="77" t="e">
        <f>VLOOKUP($B592,'Component List'!$A$2:$B$30,2,FALSE)</f>
        <v>#N/A</v>
      </c>
      <c r="R592" s="77" t="e">
        <f>VLOOKUP($C592,'Component List'!C$2:D$28,2,FALSE)</f>
        <v>#N/A</v>
      </c>
      <c r="S592" s="77" t="e">
        <f>VLOOKUP($D592,'Component List'!E$2:F$30,2,FALSE)</f>
        <v>#N/A</v>
      </c>
      <c r="T592" s="77" t="e">
        <f>VLOOKUP($E592,'Component List'!G$2:H$30,2,FALSE)</f>
        <v>#N/A</v>
      </c>
      <c r="U592" s="77" t="e">
        <f>VLOOKUP($F592,'Component List'!I$2:J$30,2,FALSE)</f>
        <v>#N/A</v>
      </c>
      <c r="V592" s="77" t="e">
        <f>VLOOKUP(G592,'Component List'!K$2:L$30,2,FALSE)</f>
        <v>#N/A</v>
      </c>
      <c r="W592" s="77" t="e">
        <f>VLOOKUP(H592,'Component List'!M$2:N$31,2,FALSE)</f>
        <v>#N/A</v>
      </c>
      <c r="X592" s="77" t="e">
        <f>VLOOKUP(I592,'Component List'!O$2:P$30,2,FALSE)</f>
        <v>#N/A</v>
      </c>
      <c r="Y592" s="77" t="e">
        <f>VLOOKUP(J592,'Component List'!Q$2:R$30,2,FALSE)</f>
        <v>#N/A</v>
      </c>
      <c r="Z592" s="77" t="e">
        <f>VLOOKUP(K592,'Component List'!S$2:T$30,2,FALSE)</f>
        <v>#N/A</v>
      </c>
      <c r="AA592" s="77" t="e">
        <f>VLOOKUP(L592,'Component List'!U$2:V$30,2,FALSE)</f>
        <v>#N/A</v>
      </c>
      <c r="AB592" s="77" t="e">
        <f>VLOOKUP(M592,'Component List'!AA$2:AB$30,2,FALSE)</f>
        <v>#N/A</v>
      </c>
      <c r="AC592" s="77" t="e">
        <f>VLOOKUP(N592,'Component List'!Y$2:Z$30,2,FALSE)</f>
        <v>#N/A</v>
      </c>
      <c r="AD592" s="159" t="e">
        <f>VLOOKUP(O592,'Component List'!W$3:X$30,2,FALSE)</f>
        <v>#N/A</v>
      </c>
    </row>
    <row r="593" spans="1:30" ht="30" customHeight="1" x14ac:dyDescent="0.3">
      <c r="A593" s="231"/>
      <c r="B593" s="173"/>
      <c r="C593" s="78"/>
      <c r="D593" s="78"/>
      <c r="E593" s="79"/>
      <c r="F593" s="78"/>
      <c r="G593" s="78"/>
      <c r="H593" s="78"/>
      <c r="I593" s="78"/>
      <c r="J593" s="78"/>
      <c r="K593" s="110"/>
      <c r="L593" s="110"/>
      <c r="M593" s="78"/>
      <c r="N593" s="78"/>
      <c r="O593" s="117"/>
      <c r="P593" s="114" t="e">
        <f t="shared" si="8"/>
        <v>#N/A</v>
      </c>
      <c r="Q593" s="77" t="e">
        <f>VLOOKUP($B593,'Component List'!$A$2:$B$30,2,FALSE)</f>
        <v>#N/A</v>
      </c>
      <c r="R593" s="77" t="e">
        <f>VLOOKUP($C593,'Component List'!C$2:D$28,2,FALSE)</f>
        <v>#N/A</v>
      </c>
      <c r="S593" s="77" t="e">
        <f>VLOOKUP($D593,'Component List'!E$2:F$30,2,FALSE)</f>
        <v>#N/A</v>
      </c>
      <c r="T593" s="77" t="e">
        <f>VLOOKUP($E593,'Component List'!G$2:H$30,2,FALSE)</f>
        <v>#N/A</v>
      </c>
      <c r="U593" s="77" t="e">
        <f>VLOOKUP($F593,'Component List'!I$2:J$30,2,FALSE)</f>
        <v>#N/A</v>
      </c>
      <c r="V593" s="77" t="e">
        <f>VLOOKUP(G593,'Component List'!K$2:L$30,2,FALSE)</f>
        <v>#N/A</v>
      </c>
      <c r="W593" s="77" t="e">
        <f>VLOOKUP(H593,'Component List'!M$2:N$31,2,FALSE)</f>
        <v>#N/A</v>
      </c>
      <c r="X593" s="77" t="e">
        <f>VLOOKUP(I593,'Component List'!O$2:P$30,2,FALSE)</f>
        <v>#N/A</v>
      </c>
      <c r="Y593" s="77" t="e">
        <f>VLOOKUP(J593,'Component List'!Q$2:R$30,2,FALSE)</f>
        <v>#N/A</v>
      </c>
      <c r="Z593" s="77" t="e">
        <f>VLOOKUP(K593,'Component List'!S$2:T$30,2,FALSE)</f>
        <v>#N/A</v>
      </c>
      <c r="AA593" s="77" t="e">
        <f>VLOOKUP(L593,'Component List'!U$2:V$30,2,FALSE)</f>
        <v>#N/A</v>
      </c>
      <c r="AB593" s="77" t="e">
        <f>VLOOKUP(M593,'Component List'!AA$2:AB$30,2,FALSE)</f>
        <v>#N/A</v>
      </c>
      <c r="AC593" s="77" t="e">
        <f>VLOOKUP(N593,'Component List'!Y$2:Z$30,2,FALSE)</f>
        <v>#N/A</v>
      </c>
      <c r="AD593" s="159" t="e">
        <f>VLOOKUP(O593,'Component List'!W$3:X$30,2,FALSE)</f>
        <v>#N/A</v>
      </c>
    </row>
    <row r="594" spans="1:30" ht="30" customHeight="1" x14ac:dyDescent="0.3">
      <c r="A594" s="231"/>
      <c r="B594" s="173"/>
      <c r="C594" s="78"/>
      <c r="D594" s="78"/>
      <c r="E594" s="79"/>
      <c r="F594" s="78"/>
      <c r="G594" s="78"/>
      <c r="H594" s="78"/>
      <c r="I594" s="78"/>
      <c r="J594" s="78"/>
      <c r="K594" s="110"/>
      <c r="L594" s="110"/>
      <c r="M594" s="78"/>
      <c r="N594" s="78"/>
      <c r="O594" s="117"/>
      <c r="P594" s="114" t="e">
        <f t="shared" si="8"/>
        <v>#N/A</v>
      </c>
      <c r="Q594" s="77" t="e">
        <f>VLOOKUP($B594,'Component List'!$A$2:$B$30,2,FALSE)</f>
        <v>#N/A</v>
      </c>
      <c r="R594" s="77" t="e">
        <f>VLOOKUP($C594,'Component List'!C$2:D$28,2,FALSE)</f>
        <v>#N/A</v>
      </c>
      <c r="S594" s="77" t="e">
        <f>VLOOKUP($D594,'Component List'!E$2:F$30,2,FALSE)</f>
        <v>#N/A</v>
      </c>
      <c r="T594" s="77" t="e">
        <f>VLOOKUP($E594,'Component List'!G$2:H$30,2,FALSE)</f>
        <v>#N/A</v>
      </c>
      <c r="U594" s="77" t="e">
        <f>VLOOKUP($F594,'Component List'!I$2:J$30,2,FALSE)</f>
        <v>#N/A</v>
      </c>
      <c r="V594" s="77" t="e">
        <f>VLOOKUP(G594,'Component List'!K$2:L$30,2,FALSE)</f>
        <v>#N/A</v>
      </c>
      <c r="W594" s="77" t="e">
        <f>VLOOKUP(H594,'Component List'!M$2:N$31,2,FALSE)</f>
        <v>#N/A</v>
      </c>
      <c r="X594" s="77" t="e">
        <f>VLOOKUP(I594,'Component List'!O$2:P$30,2,FALSE)</f>
        <v>#N/A</v>
      </c>
      <c r="Y594" s="77" t="e">
        <f>VLOOKUP(J594,'Component List'!Q$2:R$30,2,FALSE)</f>
        <v>#N/A</v>
      </c>
      <c r="Z594" s="77" t="e">
        <f>VLOOKUP(K594,'Component List'!S$2:T$30,2,FALSE)</f>
        <v>#N/A</v>
      </c>
      <c r="AA594" s="77" t="e">
        <f>VLOOKUP(L594,'Component List'!U$2:V$30,2,FALSE)</f>
        <v>#N/A</v>
      </c>
      <c r="AB594" s="77" t="e">
        <f>VLOOKUP(M594,'Component List'!AA$2:AB$30,2,FALSE)</f>
        <v>#N/A</v>
      </c>
      <c r="AC594" s="77" t="e">
        <f>VLOOKUP(N594,'Component List'!Y$2:Z$30,2,FALSE)</f>
        <v>#N/A</v>
      </c>
      <c r="AD594" s="159" t="e">
        <f>VLOOKUP(O594,'Component List'!W$3:X$30,2,FALSE)</f>
        <v>#N/A</v>
      </c>
    </row>
    <row r="595" spans="1:30" ht="30" customHeight="1" x14ac:dyDescent="0.3">
      <c r="A595" s="231"/>
      <c r="B595" s="173"/>
      <c r="C595" s="78"/>
      <c r="D595" s="78"/>
      <c r="E595" s="79"/>
      <c r="F595" s="78"/>
      <c r="G595" s="78"/>
      <c r="H595" s="78"/>
      <c r="I595" s="78"/>
      <c r="J595" s="78"/>
      <c r="K595" s="110"/>
      <c r="L595" s="110"/>
      <c r="M595" s="78"/>
      <c r="N595" s="78"/>
      <c r="O595" s="117"/>
      <c r="P595" s="114" t="e">
        <f t="shared" si="8"/>
        <v>#N/A</v>
      </c>
      <c r="Q595" s="77" t="e">
        <f>VLOOKUP($B595,'Component List'!$A$2:$B$30,2,FALSE)</f>
        <v>#N/A</v>
      </c>
      <c r="R595" s="77" t="e">
        <f>VLOOKUP($C595,'Component List'!C$2:D$28,2,FALSE)</f>
        <v>#N/A</v>
      </c>
      <c r="S595" s="77" t="e">
        <f>VLOOKUP($D595,'Component List'!E$2:F$30,2,FALSE)</f>
        <v>#N/A</v>
      </c>
      <c r="T595" s="77" t="e">
        <f>VLOOKUP($E595,'Component List'!G$2:H$30,2,FALSE)</f>
        <v>#N/A</v>
      </c>
      <c r="U595" s="77" t="e">
        <f>VLOOKUP($F595,'Component List'!I$2:J$30,2,FALSE)</f>
        <v>#N/A</v>
      </c>
      <c r="V595" s="77" t="e">
        <f>VLOOKUP(G595,'Component List'!K$2:L$30,2,FALSE)</f>
        <v>#N/A</v>
      </c>
      <c r="W595" s="77" t="e">
        <f>VLOOKUP(H595,'Component List'!M$2:N$31,2,FALSE)</f>
        <v>#N/A</v>
      </c>
      <c r="X595" s="77" t="e">
        <f>VLOOKUP(I595,'Component List'!O$2:P$30,2,FALSE)</f>
        <v>#N/A</v>
      </c>
      <c r="Y595" s="77" t="e">
        <f>VLOOKUP(J595,'Component List'!Q$2:R$30,2,FALSE)</f>
        <v>#N/A</v>
      </c>
      <c r="Z595" s="77" t="e">
        <f>VLOOKUP(K595,'Component List'!S$2:T$30,2,FALSE)</f>
        <v>#N/A</v>
      </c>
      <c r="AA595" s="77" t="e">
        <f>VLOOKUP(L595,'Component List'!U$2:V$30,2,FALSE)</f>
        <v>#N/A</v>
      </c>
      <c r="AB595" s="77" t="e">
        <f>VLOOKUP(M595,'Component List'!AA$2:AB$30,2,FALSE)</f>
        <v>#N/A</v>
      </c>
      <c r="AC595" s="77" t="e">
        <f>VLOOKUP(N595,'Component List'!Y$2:Z$30,2,FALSE)</f>
        <v>#N/A</v>
      </c>
      <c r="AD595" s="159" t="e">
        <f>VLOOKUP(O595,'Component List'!W$3:X$30,2,FALSE)</f>
        <v>#N/A</v>
      </c>
    </row>
    <row r="596" spans="1:30" ht="30" customHeight="1" x14ac:dyDescent="0.3">
      <c r="A596" s="231"/>
      <c r="B596" s="173"/>
      <c r="C596" s="78"/>
      <c r="D596" s="78"/>
      <c r="E596" s="79"/>
      <c r="F596" s="78"/>
      <c r="G596" s="78"/>
      <c r="H596" s="78"/>
      <c r="I596" s="78"/>
      <c r="J596" s="78"/>
      <c r="K596" s="110"/>
      <c r="L596" s="110"/>
      <c r="M596" s="78"/>
      <c r="N596" s="78"/>
      <c r="O596" s="117"/>
      <c r="P596" s="114" t="e">
        <f t="shared" si="8"/>
        <v>#N/A</v>
      </c>
      <c r="Q596" s="77" t="e">
        <f>VLOOKUP($B596,'Component List'!$A$2:$B$30,2,FALSE)</f>
        <v>#N/A</v>
      </c>
      <c r="R596" s="77" t="e">
        <f>VLOOKUP($C596,'Component List'!C$2:D$28,2,FALSE)</f>
        <v>#N/A</v>
      </c>
      <c r="S596" s="77" t="e">
        <f>VLOOKUP($D596,'Component List'!E$2:F$30,2,FALSE)</f>
        <v>#N/A</v>
      </c>
      <c r="T596" s="77" t="e">
        <f>VLOOKUP($E596,'Component List'!G$2:H$30,2,FALSE)</f>
        <v>#N/A</v>
      </c>
      <c r="U596" s="77" t="e">
        <f>VLOOKUP($F596,'Component List'!I$2:J$30,2,FALSE)</f>
        <v>#N/A</v>
      </c>
      <c r="V596" s="77" t="e">
        <f>VLOOKUP(G596,'Component List'!K$2:L$30,2,FALSE)</f>
        <v>#N/A</v>
      </c>
      <c r="W596" s="77" t="e">
        <f>VLOOKUP(H596,'Component List'!M$2:N$31,2,FALSE)</f>
        <v>#N/A</v>
      </c>
      <c r="X596" s="77" t="e">
        <f>VLOOKUP(I596,'Component List'!O$2:P$30,2,FALSE)</f>
        <v>#N/A</v>
      </c>
      <c r="Y596" s="77" t="e">
        <f>VLOOKUP(J596,'Component List'!Q$2:R$30,2,FALSE)</f>
        <v>#N/A</v>
      </c>
      <c r="Z596" s="77" t="e">
        <f>VLOOKUP(K596,'Component List'!S$2:T$30,2,FALSE)</f>
        <v>#N/A</v>
      </c>
      <c r="AA596" s="77" t="e">
        <f>VLOOKUP(L596,'Component List'!U$2:V$30,2,FALSE)</f>
        <v>#N/A</v>
      </c>
      <c r="AB596" s="77" t="e">
        <f>VLOOKUP(M596,'Component List'!AA$2:AB$30,2,FALSE)</f>
        <v>#N/A</v>
      </c>
      <c r="AC596" s="77" t="e">
        <f>VLOOKUP(N596,'Component List'!Y$2:Z$30,2,FALSE)</f>
        <v>#N/A</v>
      </c>
      <c r="AD596" s="159" t="e">
        <f>VLOOKUP(O596,'Component List'!W$3:X$30,2,FALSE)</f>
        <v>#N/A</v>
      </c>
    </row>
    <row r="597" spans="1:30" ht="30" customHeight="1" x14ac:dyDescent="0.3">
      <c r="A597" s="231"/>
      <c r="B597" s="173"/>
      <c r="C597" s="78"/>
      <c r="D597" s="78"/>
      <c r="E597" s="79"/>
      <c r="F597" s="78"/>
      <c r="G597" s="78"/>
      <c r="H597" s="78"/>
      <c r="I597" s="78"/>
      <c r="J597" s="78"/>
      <c r="K597" s="110"/>
      <c r="L597" s="110"/>
      <c r="M597" s="78"/>
      <c r="N597" s="78"/>
      <c r="O597" s="117"/>
      <c r="P597" s="114" t="e">
        <f t="shared" si="8"/>
        <v>#N/A</v>
      </c>
      <c r="Q597" s="77" t="e">
        <f>VLOOKUP($B597,'Component List'!$A$2:$B$30,2,FALSE)</f>
        <v>#N/A</v>
      </c>
      <c r="R597" s="77" t="e">
        <f>VLOOKUP($C597,'Component List'!C$2:D$28,2,FALSE)</f>
        <v>#N/A</v>
      </c>
      <c r="S597" s="77" t="e">
        <f>VLOOKUP($D597,'Component List'!E$2:F$30,2,FALSE)</f>
        <v>#N/A</v>
      </c>
      <c r="T597" s="77" t="e">
        <f>VLOOKUP($E597,'Component List'!G$2:H$30,2,FALSE)</f>
        <v>#N/A</v>
      </c>
      <c r="U597" s="77" t="e">
        <f>VLOOKUP($F597,'Component List'!I$2:J$30,2,FALSE)</f>
        <v>#N/A</v>
      </c>
      <c r="V597" s="77" t="e">
        <f>VLOOKUP(G597,'Component List'!K$2:L$30,2,FALSE)</f>
        <v>#N/A</v>
      </c>
      <c r="W597" s="77" t="e">
        <f>VLOOKUP(H597,'Component List'!M$2:N$31,2,FALSE)</f>
        <v>#N/A</v>
      </c>
      <c r="X597" s="77" t="e">
        <f>VLOOKUP(I597,'Component List'!O$2:P$30,2,FALSE)</f>
        <v>#N/A</v>
      </c>
      <c r="Y597" s="77" t="e">
        <f>VLOOKUP(J597,'Component List'!Q$2:R$30,2,FALSE)</f>
        <v>#N/A</v>
      </c>
      <c r="Z597" s="77" t="e">
        <f>VLOOKUP(K597,'Component List'!S$2:T$30,2,FALSE)</f>
        <v>#N/A</v>
      </c>
      <c r="AA597" s="77" t="e">
        <f>VLOOKUP(L597,'Component List'!U$2:V$30,2,FALSE)</f>
        <v>#N/A</v>
      </c>
      <c r="AB597" s="77" t="e">
        <f>VLOOKUP(M597,'Component List'!AA$2:AB$30,2,FALSE)</f>
        <v>#N/A</v>
      </c>
      <c r="AC597" s="77" t="e">
        <f>VLOOKUP(N597,'Component List'!Y$2:Z$30,2,FALSE)</f>
        <v>#N/A</v>
      </c>
      <c r="AD597" s="159" t="e">
        <f>VLOOKUP(O597,'Component List'!W$3:X$30,2,FALSE)</f>
        <v>#N/A</v>
      </c>
    </row>
    <row r="598" spans="1:30" ht="30" customHeight="1" x14ac:dyDescent="0.3">
      <c r="A598" s="231"/>
      <c r="B598" s="173"/>
      <c r="C598" s="78"/>
      <c r="D598" s="78"/>
      <c r="E598" s="79"/>
      <c r="F598" s="78"/>
      <c r="G598" s="78"/>
      <c r="H598" s="78"/>
      <c r="I598" s="78"/>
      <c r="J598" s="78"/>
      <c r="K598" s="110"/>
      <c r="L598" s="110"/>
      <c r="M598" s="78"/>
      <c r="N598" s="78"/>
      <c r="O598" s="117"/>
      <c r="P598" s="114" t="e">
        <f t="shared" si="8"/>
        <v>#N/A</v>
      </c>
      <c r="Q598" s="77" t="e">
        <f>VLOOKUP($B598,'Component List'!$A$2:$B$30,2,FALSE)</f>
        <v>#N/A</v>
      </c>
      <c r="R598" s="77" t="e">
        <f>VLOOKUP($C598,'Component List'!C$2:D$28,2,FALSE)</f>
        <v>#N/A</v>
      </c>
      <c r="S598" s="77" t="e">
        <f>VLOOKUP($D598,'Component List'!E$2:F$30,2,FALSE)</f>
        <v>#N/A</v>
      </c>
      <c r="T598" s="77" t="e">
        <f>VLOOKUP($E598,'Component List'!G$2:H$30,2,FALSE)</f>
        <v>#N/A</v>
      </c>
      <c r="U598" s="77" t="e">
        <f>VLOOKUP($F598,'Component List'!I$2:J$30,2,FALSE)</f>
        <v>#N/A</v>
      </c>
      <c r="V598" s="77" t="e">
        <f>VLOOKUP(G598,'Component List'!K$2:L$30,2,FALSE)</f>
        <v>#N/A</v>
      </c>
      <c r="W598" s="77" t="e">
        <f>VLOOKUP(H598,'Component List'!M$2:N$31,2,FALSE)</f>
        <v>#N/A</v>
      </c>
      <c r="X598" s="77" t="e">
        <f>VLOOKUP(I598,'Component List'!O$2:P$30,2,FALSE)</f>
        <v>#N/A</v>
      </c>
      <c r="Y598" s="77" t="e">
        <f>VLOOKUP(J598,'Component List'!Q$2:R$30,2,FALSE)</f>
        <v>#N/A</v>
      </c>
      <c r="Z598" s="77" t="e">
        <f>VLOOKUP(K598,'Component List'!S$2:T$30,2,FALSE)</f>
        <v>#N/A</v>
      </c>
      <c r="AA598" s="77" t="e">
        <f>VLOOKUP(L598,'Component List'!U$2:V$30,2,FALSE)</f>
        <v>#N/A</v>
      </c>
      <c r="AB598" s="77" t="e">
        <f>VLOOKUP(M598,'Component List'!AA$2:AB$30,2,FALSE)</f>
        <v>#N/A</v>
      </c>
      <c r="AC598" s="77" t="e">
        <f>VLOOKUP(N598,'Component List'!Y$2:Z$30,2,FALSE)</f>
        <v>#N/A</v>
      </c>
      <c r="AD598" s="159" t="e">
        <f>VLOOKUP(O598,'Component List'!W$3:X$30,2,FALSE)</f>
        <v>#N/A</v>
      </c>
    </row>
    <row r="599" spans="1:30" ht="30" customHeight="1" x14ac:dyDescent="0.3">
      <c r="A599" s="231"/>
      <c r="B599" s="173"/>
      <c r="C599" s="78"/>
      <c r="D599" s="78"/>
      <c r="E599" s="79"/>
      <c r="F599" s="78"/>
      <c r="G599" s="78"/>
      <c r="H599" s="78"/>
      <c r="I599" s="78"/>
      <c r="J599" s="78"/>
      <c r="K599" s="110"/>
      <c r="L599" s="110"/>
      <c r="M599" s="78"/>
      <c r="N599" s="78"/>
      <c r="O599" s="117"/>
      <c r="P599" s="114" t="e">
        <f t="shared" si="8"/>
        <v>#N/A</v>
      </c>
      <c r="Q599" s="77" t="e">
        <f>VLOOKUP($B599,'Component List'!$A$2:$B$30,2,FALSE)</f>
        <v>#N/A</v>
      </c>
      <c r="R599" s="77" t="e">
        <f>VLOOKUP($C599,'Component List'!C$2:D$28,2,FALSE)</f>
        <v>#N/A</v>
      </c>
      <c r="S599" s="77" t="e">
        <f>VLOOKUP($D599,'Component List'!E$2:F$30,2,FALSE)</f>
        <v>#N/A</v>
      </c>
      <c r="T599" s="77" t="e">
        <f>VLOOKUP($E599,'Component List'!G$2:H$30,2,FALSE)</f>
        <v>#N/A</v>
      </c>
      <c r="U599" s="77" t="e">
        <f>VLOOKUP($F599,'Component List'!I$2:J$30,2,FALSE)</f>
        <v>#N/A</v>
      </c>
      <c r="V599" s="77" t="e">
        <f>VLOOKUP(G599,'Component List'!K$2:L$30,2,FALSE)</f>
        <v>#N/A</v>
      </c>
      <c r="W599" s="77" t="e">
        <f>VLOOKUP(H599,'Component List'!M$2:N$31,2,FALSE)</f>
        <v>#N/A</v>
      </c>
      <c r="X599" s="77" t="e">
        <f>VLOOKUP(I599,'Component List'!O$2:P$30,2,FALSE)</f>
        <v>#N/A</v>
      </c>
      <c r="Y599" s="77" t="e">
        <f>VLOOKUP(J599,'Component List'!Q$2:R$30,2,FALSE)</f>
        <v>#N/A</v>
      </c>
      <c r="Z599" s="77" t="e">
        <f>VLOOKUP(K599,'Component List'!S$2:T$30,2,FALSE)</f>
        <v>#N/A</v>
      </c>
      <c r="AA599" s="77" t="e">
        <f>VLOOKUP(L599,'Component List'!U$2:V$30,2,FALSE)</f>
        <v>#N/A</v>
      </c>
      <c r="AB599" s="77" t="e">
        <f>VLOOKUP(M599,'Component List'!AA$2:AB$30,2,FALSE)</f>
        <v>#N/A</v>
      </c>
      <c r="AC599" s="77" t="e">
        <f>VLOOKUP(N599,'Component List'!Y$2:Z$30,2,FALSE)</f>
        <v>#N/A</v>
      </c>
      <c r="AD599" s="159" t="e">
        <f>VLOOKUP(O599,'Component List'!W$3:X$30,2,FALSE)</f>
        <v>#N/A</v>
      </c>
    </row>
    <row r="600" spans="1:30" ht="30" customHeight="1" x14ac:dyDescent="0.3">
      <c r="A600" s="231"/>
      <c r="B600" s="173"/>
      <c r="C600" s="78"/>
      <c r="D600" s="78"/>
      <c r="E600" s="79"/>
      <c r="F600" s="78"/>
      <c r="G600" s="78"/>
      <c r="H600" s="78"/>
      <c r="I600" s="78"/>
      <c r="J600" s="78"/>
      <c r="K600" s="110"/>
      <c r="L600" s="110"/>
      <c r="M600" s="78"/>
      <c r="N600" s="78"/>
      <c r="O600" s="117"/>
      <c r="P600" s="114" t="e">
        <f t="shared" si="8"/>
        <v>#N/A</v>
      </c>
      <c r="Q600" s="77" t="e">
        <f>VLOOKUP($B600,'Component List'!$A$2:$B$30,2,FALSE)</f>
        <v>#N/A</v>
      </c>
      <c r="R600" s="77" t="e">
        <f>VLOOKUP($C600,'Component List'!C$2:D$28,2,FALSE)</f>
        <v>#N/A</v>
      </c>
      <c r="S600" s="77" t="e">
        <f>VLOOKUP($D600,'Component List'!E$2:F$30,2,FALSE)</f>
        <v>#N/A</v>
      </c>
      <c r="T600" s="77" t="e">
        <f>VLOOKUP($E600,'Component List'!G$2:H$30,2,FALSE)</f>
        <v>#N/A</v>
      </c>
      <c r="U600" s="77" t="e">
        <f>VLOOKUP($F600,'Component List'!I$2:J$30,2,FALSE)</f>
        <v>#N/A</v>
      </c>
      <c r="V600" s="77" t="e">
        <f>VLOOKUP(G600,'Component List'!K$2:L$30,2,FALSE)</f>
        <v>#N/A</v>
      </c>
      <c r="W600" s="77" t="e">
        <f>VLOOKUP(H600,'Component List'!M$2:N$31,2,FALSE)</f>
        <v>#N/A</v>
      </c>
      <c r="X600" s="77" t="e">
        <f>VLOOKUP(I600,'Component List'!O$2:P$30,2,FALSE)</f>
        <v>#N/A</v>
      </c>
      <c r="Y600" s="77" t="e">
        <f>VLOOKUP(J600,'Component List'!Q$2:R$30,2,FALSE)</f>
        <v>#N/A</v>
      </c>
      <c r="Z600" s="77" t="e">
        <f>VLOOKUP(K600,'Component List'!S$2:T$30,2,FALSE)</f>
        <v>#N/A</v>
      </c>
      <c r="AA600" s="77" t="e">
        <f>VLOOKUP(L600,'Component List'!U$2:V$30,2,FALSE)</f>
        <v>#N/A</v>
      </c>
      <c r="AB600" s="77" t="e">
        <f>VLOOKUP(M600,'Component List'!AA$2:AB$30,2,FALSE)</f>
        <v>#N/A</v>
      </c>
      <c r="AC600" s="77" t="e">
        <f>VLOOKUP(N600,'Component List'!Y$2:Z$30,2,FALSE)</f>
        <v>#N/A</v>
      </c>
      <c r="AD600" s="159" t="e">
        <f>VLOOKUP(O600,'Component List'!W$3:X$30,2,FALSE)</f>
        <v>#N/A</v>
      </c>
    </row>
    <row r="601" spans="1:30" ht="30" customHeight="1" x14ac:dyDescent="0.3">
      <c r="A601" s="231"/>
      <c r="B601" s="173"/>
      <c r="C601" s="78"/>
      <c r="D601" s="78"/>
      <c r="E601" s="79"/>
      <c r="F601" s="78"/>
      <c r="G601" s="78"/>
      <c r="H601" s="78"/>
      <c r="I601" s="78"/>
      <c r="J601" s="78"/>
      <c r="K601" s="110"/>
      <c r="L601" s="110"/>
      <c r="M601" s="78"/>
      <c r="N601" s="78"/>
      <c r="O601" s="117"/>
      <c r="P601" s="114" t="e">
        <f t="shared" si="8"/>
        <v>#N/A</v>
      </c>
      <c r="Q601" s="77" t="e">
        <f>VLOOKUP($B601,'Component List'!$A$2:$B$30,2,FALSE)</f>
        <v>#N/A</v>
      </c>
      <c r="R601" s="77" t="e">
        <f>VLOOKUP($C601,'Component List'!C$2:D$28,2,FALSE)</f>
        <v>#N/A</v>
      </c>
      <c r="S601" s="77" t="e">
        <f>VLOOKUP($D601,'Component List'!E$2:F$30,2,FALSE)</f>
        <v>#N/A</v>
      </c>
      <c r="T601" s="77" t="e">
        <f>VLOOKUP($E601,'Component List'!G$2:H$30,2,FALSE)</f>
        <v>#N/A</v>
      </c>
      <c r="U601" s="77" t="e">
        <f>VLOOKUP($F601,'Component List'!I$2:J$30,2,FALSE)</f>
        <v>#N/A</v>
      </c>
      <c r="V601" s="77" t="e">
        <f>VLOOKUP(G601,'Component List'!K$2:L$30,2,FALSE)</f>
        <v>#N/A</v>
      </c>
      <c r="W601" s="77" t="e">
        <f>VLOOKUP(H601,'Component List'!M$2:N$31,2,FALSE)</f>
        <v>#N/A</v>
      </c>
      <c r="X601" s="77" t="e">
        <f>VLOOKUP(I601,'Component List'!O$2:P$30,2,FALSE)</f>
        <v>#N/A</v>
      </c>
      <c r="Y601" s="77" t="e">
        <f>VLOOKUP(J601,'Component List'!Q$2:R$30,2,FALSE)</f>
        <v>#N/A</v>
      </c>
      <c r="Z601" s="77" t="e">
        <f>VLOOKUP(K601,'Component List'!S$2:T$30,2,FALSE)</f>
        <v>#N/A</v>
      </c>
      <c r="AA601" s="77" t="e">
        <f>VLOOKUP(L601,'Component List'!U$2:V$30,2,FALSE)</f>
        <v>#N/A</v>
      </c>
      <c r="AB601" s="77" t="e">
        <f>VLOOKUP(M601,'Component List'!AA$2:AB$30,2,FALSE)</f>
        <v>#N/A</v>
      </c>
      <c r="AC601" s="77" t="e">
        <f>VLOOKUP(N601,'Component List'!Y$2:Z$30,2,FALSE)</f>
        <v>#N/A</v>
      </c>
      <c r="AD601" s="159" t="e">
        <f>VLOOKUP(O601,'Component List'!W$3:X$30,2,FALSE)</f>
        <v>#N/A</v>
      </c>
    </row>
    <row r="602" spans="1:30" ht="30" customHeight="1" x14ac:dyDescent="0.3">
      <c r="A602" s="231"/>
      <c r="B602" s="173"/>
      <c r="C602" s="78"/>
      <c r="D602" s="78"/>
      <c r="E602" s="79"/>
      <c r="F602" s="78"/>
      <c r="G602" s="78"/>
      <c r="H602" s="78"/>
      <c r="I602" s="78"/>
      <c r="J602" s="78"/>
      <c r="K602" s="110"/>
      <c r="L602" s="110"/>
      <c r="M602" s="78"/>
      <c r="N602" s="78"/>
      <c r="O602" s="117"/>
      <c r="P602" s="114" t="e">
        <f t="shared" si="8"/>
        <v>#N/A</v>
      </c>
      <c r="Q602" s="77" t="e">
        <f>VLOOKUP($B602,'Component List'!$A$2:$B$30,2,FALSE)</f>
        <v>#N/A</v>
      </c>
      <c r="R602" s="77" t="e">
        <f>VLOOKUP($C602,'Component List'!C$2:D$28,2,FALSE)</f>
        <v>#N/A</v>
      </c>
      <c r="S602" s="77" t="e">
        <f>VLOOKUP($D602,'Component List'!E$2:F$30,2,FALSE)</f>
        <v>#N/A</v>
      </c>
      <c r="T602" s="77" t="e">
        <f>VLOOKUP($E602,'Component List'!G$2:H$30,2,FALSE)</f>
        <v>#N/A</v>
      </c>
      <c r="U602" s="77" t="e">
        <f>VLOOKUP($F602,'Component List'!I$2:J$30,2,FALSE)</f>
        <v>#N/A</v>
      </c>
      <c r="V602" s="77" t="e">
        <f>VLOOKUP(G602,'Component List'!K$2:L$30,2,FALSE)</f>
        <v>#N/A</v>
      </c>
      <c r="W602" s="77" t="e">
        <f>VLOOKUP(H602,'Component List'!M$2:N$31,2,FALSE)</f>
        <v>#N/A</v>
      </c>
      <c r="X602" s="77" t="e">
        <f>VLOOKUP(I602,'Component List'!O$2:P$30,2,FALSE)</f>
        <v>#N/A</v>
      </c>
      <c r="Y602" s="77" t="e">
        <f>VLOOKUP(J602,'Component List'!Q$2:R$30,2,FALSE)</f>
        <v>#N/A</v>
      </c>
      <c r="Z602" s="77" t="e">
        <f>VLOOKUP(K602,'Component List'!S$2:T$30,2,FALSE)</f>
        <v>#N/A</v>
      </c>
      <c r="AA602" s="77" t="e">
        <f>VLOOKUP(L602,'Component List'!U$2:V$30,2,FALSE)</f>
        <v>#N/A</v>
      </c>
      <c r="AB602" s="77" t="e">
        <f>VLOOKUP(M602,'Component List'!AA$2:AB$30,2,FALSE)</f>
        <v>#N/A</v>
      </c>
      <c r="AC602" s="77" t="e">
        <f>VLOOKUP(N602,'Component List'!Y$2:Z$30,2,FALSE)</f>
        <v>#N/A</v>
      </c>
      <c r="AD602" s="159" t="e">
        <f>VLOOKUP(O602,'Component List'!W$3:X$30,2,FALSE)</f>
        <v>#N/A</v>
      </c>
    </row>
    <row r="603" spans="1:30" ht="30" customHeight="1" x14ac:dyDescent="0.3">
      <c r="A603" s="231"/>
      <c r="B603" s="173"/>
      <c r="C603" s="78"/>
      <c r="D603" s="78"/>
      <c r="E603" s="79"/>
      <c r="F603" s="78"/>
      <c r="G603" s="78"/>
      <c r="H603" s="78"/>
      <c r="I603" s="78"/>
      <c r="J603" s="78"/>
      <c r="K603" s="110"/>
      <c r="L603" s="110"/>
      <c r="M603" s="78"/>
      <c r="N603" s="78"/>
      <c r="O603" s="117"/>
      <c r="P603" s="114" t="e">
        <f t="shared" si="8"/>
        <v>#N/A</v>
      </c>
      <c r="Q603" s="77" t="e">
        <f>VLOOKUP($B603,'Component List'!$A$2:$B$30,2,FALSE)</f>
        <v>#N/A</v>
      </c>
      <c r="R603" s="77" t="e">
        <f>VLOOKUP($C603,'Component List'!C$2:D$28,2,FALSE)</f>
        <v>#N/A</v>
      </c>
      <c r="S603" s="77" t="e">
        <f>VLOOKUP($D603,'Component List'!E$2:F$30,2,FALSE)</f>
        <v>#N/A</v>
      </c>
      <c r="T603" s="77" t="e">
        <f>VLOOKUP($E603,'Component List'!G$2:H$30,2,FALSE)</f>
        <v>#N/A</v>
      </c>
      <c r="U603" s="77" t="e">
        <f>VLOOKUP($F603,'Component List'!I$2:J$30,2,FALSE)</f>
        <v>#N/A</v>
      </c>
      <c r="V603" s="77" t="e">
        <f>VLOOKUP(G603,'Component List'!K$2:L$30,2,FALSE)</f>
        <v>#N/A</v>
      </c>
      <c r="W603" s="77" t="e">
        <f>VLOOKUP(H603,'Component List'!M$2:N$31,2,FALSE)</f>
        <v>#N/A</v>
      </c>
      <c r="X603" s="77" t="e">
        <f>VLOOKUP(I603,'Component List'!O$2:P$30,2,FALSE)</f>
        <v>#N/A</v>
      </c>
      <c r="Y603" s="77" t="e">
        <f>VLOOKUP(J603,'Component List'!Q$2:R$30,2,FALSE)</f>
        <v>#N/A</v>
      </c>
      <c r="Z603" s="77" t="e">
        <f>VLOOKUP(K603,'Component List'!S$2:T$30,2,FALSE)</f>
        <v>#N/A</v>
      </c>
      <c r="AA603" s="77" t="e">
        <f>VLOOKUP(L603,'Component List'!U$2:V$30,2,FALSE)</f>
        <v>#N/A</v>
      </c>
      <c r="AB603" s="77" t="e">
        <f>VLOOKUP(M603,'Component List'!AA$2:AB$30,2,FALSE)</f>
        <v>#N/A</v>
      </c>
      <c r="AC603" s="77" t="e">
        <f>VLOOKUP(N603,'Component List'!Y$2:Z$30,2,FALSE)</f>
        <v>#N/A</v>
      </c>
      <c r="AD603" s="159" t="e">
        <f>VLOOKUP(O603,'Component List'!W$3:X$30,2,FALSE)</f>
        <v>#N/A</v>
      </c>
    </row>
    <row r="604" spans="1:30" ht="30" customHeight="1" x14ac:dyDescent="0.3">
      <c r="A604" s="231"/>
      <c r="B604" s="173"/>
      <c r="C604" s="78"/>
      <c r="D604" s="78"/>
      <c r="E604" s="79"/>
      <c r="F604" s="78"/>
      <c r="G604" s="78"/>
      <c r="H604" s="78"/>
      <c r="I604" s="78"/>
      <c r="J604" s="78"/>
      <c r="K604" s="110"/>
      <c r="L604" s="110"/>
      <c r="M604" s="78"/>
      <c r="N604" s="78"/>
      <c r="O604" s="117"/>
      <c r="P604" s="114" t="e">
        <f t="shared" si="8"/>
        <v>#N/A</v>
      </c>
      <c r="Q604" s="77" t="e">
        <f>VLOOKUP($B604,'Component List'!$A$2:$B$30,2,FALSE)</f>
        <v>#N/A</v>
      </c>
      <c r="R604" s="77" t="e">
        <f>VLOOKUP($C604,'Component List'!C$2:D$28,2,FALSE)</f>
        <v>#N/A</v>
      </c>
      <c r="S604" s="77" t="e">
        <f>VLOOKUP($D604,'Component List'!E$2:F$30,2,FALSE)</f>
        <v>#N/A</v>
      </c>
      <c r="T604" s="77" t="e">
        <f>VLOOKUP($E604,'Component List'!G$2:H$30,2,FALSE)</f>
        <v>#N/A</v>
      </c>
      <c r="U604" s="77" t="e">
        <f>VLOOKUP($F604,'Component List'!I$2:J$30,2,FALSE)</f>
        <v>#N/A</v>
      </c>
      <c r="V604" s="77" t="e">
        <f>VLOOKUP(G604,'Component List'!K$2:L$30,2,FALSE)</f>
        <v>#N/A</v>
      </c>
      <c r="W604" s="77" t="e">
        <f>VLOOKUP(H604,'Component List'!M$2:N$31,2,FALSE)</f>
        <v>#N/A</v>
      </c>
      <c r="X604" s="77" t="e">
        <f>VLOOKUP(I604,'Component List'!O$2:P$30,2,FALSE)</f>
        <v>#N/A</v>
      </c>
      <c r="Y604" s="77" t="e">
        <f>VLOOKUP(J604,'Component List'!Q$2:R$30,2,FALSE)</f>
        <v>#N/A</v>
      </c>
      <c r="Z604" s="77" t="e">
        <f>VLOOKUP(K604,'Component List'!S$2:T$30,2,FALSE)</f>
        <v>#N/A</v>
      </c>
      <c r="AA604" s="77" t="e">
        <f>VLOOKUP(L604,'Component List'!U$2:V$30,2,FALSE)</f>
        <v>#N/A</v>
      </c>
      <c r="AB604" s="77" t="e">
        <f>VLOOKUP(M604,'Component List'!AA$2:AB$30,2,FALSE)</f>
        <v>#N/A</v>
      </c>
      <c r="AC604" s="77" t="e">
        <f>VLOOKUP(N604,'Component List'!Y$2:Z$30,2,FALSE)</f>
        <v>#N/A</v>
      </c>
      <c r="AD604" s="159" t="e">
        <f>VLOOKUP(O604,'Component List'!W$3:X$30,2,FALSE)</f>
        <v>#N/A</v>
      </c>
    </row>
    <row r="605" spans="1:30" ht="30" customHeight="1" x14ac:dyDescent="0.3">
      <c r="A605" s="231"/>
      <c r="B605" s="173"/>
      <c r="C605" s="78"/>
      <c r="D605" s="78"/>
      <c r="E605" s="79"/>
      <c r="F605" s="78"/>
      <c r="G605" s="78"/>
      <c r="H605" s="78"/>
      <c r="I605" s="78"/>
      <c r="J605" s="78"/>
      <c r="K605" s="110"/>
      <c r="L605" s="110"/>
      <c r="M605" s="78"/>
      <c r="N605" s="78"/>
      <c r="O605" s="117"/>
      <c r="P605" s="114" t="e">
        <f t="shared" si="8"/>
        <v>#N/A</v>
      </c>
      <c r="Q605" s="77" t="e">
        <f>VLOOKUP($B605,'Component List'!$A$2:$B$30,2,FALSE)</f>
        <v>#N/A</v>
      </c>
      <c r="R605" s="77" t="e">
        <f>VLOOKUP($C605,'Component List'!C$2:D$28,2,FALSE)</f>
        <v>#N/A</v>
      </c>
      <c r="S605" s="77" t="e">
        <f>VLOOKUP($D605,'Component List'!E$2:F$30,2,FALSE)</f>
        <v>#N/A</v>
      </c>
      <c r="T605" s="77" t="e">
        <f>VLOOKUP($E605,'Component List'!G$2:H$30,2,FALSE)</f>
        <v>#N/A</v>
      </c>
      <c r="U605" s="77" t="e">
        <f>VLOOKUP($F605,'Component List'!I$2:J$30,2,FALSE)</f>
        <v>#N/A</v>
      </c>
      <c r="V605" s="77" t="e">
        <f>VLOOKUP(G605,'Component List'!K$2:L$30,2,FALSE)</f>
        <v>#N/A</v>
      </c>
      <c r="W605" s="77" t="e">
        <f>VLOOKUP(H605,'Component List'!M$2:N$31,2,FALSE)</f>
        <v>#N/A</v>
      </c>
      <c r="X605" s="77" t="e">
        <f>VLOOKUP(I605,'Component List'!O$2:P$30,2,FALSE)</f>
        <v>#N/A</v>
      </c>
      <c r="Y605" s="77" t="e">
        <f>VLOOKUP(J605,'Component List'!Q$2:R$30,2,FALSE)</f>
        <v>#N/A</v>
      </c>
      <c r="Z605" s="77" t="e">
        <f>VLOOKUP(K605,'Component List'!S$2:T$30,2,FALSE)</f>
        <v>#N/A</v>
      </c>
      <c r="AA605" s="77" t="e">
        <f>VLOOKUP(L605,'Component List'!U$2:V$30,2,FALSE)</f>
        <v>#N/A</v>
      </c>
      <c r="AB605" s="77" t="e">
        <f>VLOOKUP(M605,'Component List'!AA$2:AB$30,2,FALSE)</f>
        <v>#N/A</v>
      </c>
      <c r="AC605" s="77" t="e">
        <f>VLOOKUP(N605,'Component List'!Y$2:Z$30,2,FALSE)</f>
        <v>#N/A</v>
      </c>
      <c r="AD605" s="159" t="e">
        <f>VLOOKUP(O605,'Component List'!W$3:X$30,2,FALSE)</f>
        <v>#N/A</v>
      </c>
    </row>
    <row r="606" spans="1:30" ht="30" customHeight="1" x14ac:dyDescent="0.3">
      <c r="A606" s="231"/>
      <c r="B606" s="173"/>
      <c r="C606" s="78"/>
      <c r="D606" s="78"/>
      <c r="E606" s="79"/>
      <c r="F606" s="78"/>
      <c r="G606" s="78"/>
      <c r="H606" s="78"/>
      <c r="I606" s="78"/>
      <c r="J606" s="78"/>
      <c r="K606" s="110"/>
      <c r="L606" s="110"/>
      <c r="M606" s="78"/>
      <c r="N606" s="78"/>
      <c r="O606" s="117"/>
      <c r="P606" s="114" t="e">
        <f t="shared" si="8"/>
        <v>#N/A</v>
      </c>
      <c r="Q606" s="77" t="e">
        <f>VLOOKUP($B606,'Component List'!$A$2:$B$30,2,FALSE)</f>
        <v>#N/A</v>
      </c>
      <c r="R606" s="77" t="e">
        <f>VLOOKUP($C606,'Component List'!C$2:D$28,2,FALSE)</f>
        <v>#N/A</v>
      </c>
      <c r="S606" s="77" t="e">
        <f>VLOOKUP($D606,'Component List'!E$2:F$30,2,FALSE)</f>
        <v>#N/A</v>
      </c>
      <c r="T606" s="77" t="e">
        <f>VLOOKUP($E606,'Component List'!G$2:H$30,2,FALSE)</f>
        <v>#N/A</v>
      </c>
      <c r="U606" s="77" t="e">
        <f>VLOOKUP($F606,'Component List'!I$2:J$30,2,FALSE)</f>
        <v>#N/A</v>
      </c>
      <c r="V606" s="77" t="e">
        <f>VLOOKUP(G606,'Component List'!K$2:L$30,2,FALSE)</f>
        <v>#N/A</v>
      </c>
      <c r="W606" s="77" t="e">
        <f>VLOOKUP(H606,'Component List'!M$2:N$31,2,FALSE)</f>
        <v>#N/A</v>
      </c>
      <c r="X606" s="77" t="e">
        <f>VLOOKUP(I606,'Component List'!O$2:P$30,2,FALSE)</f>
        <v>#N/A</v>
      </c>
      <c r="Y606" s="77" t="e">
        <f>VLOOKUP(J606,'Component List'!Q$2:R$30,2,FALSE)</f>
        <v>#N/A</v>
      </c>
      <c r="Z606" s="77" t="e">
        <f>VLOOKUP(K606,'Component List'!S$2:T$30,2,FALSE)</f>
        <v>#N/A</v>
      </c>
      <c r="AA606" s="77" t="e">
        <f>VLOOKUP(L606,'Component List'!U$2:V$30,2,FALSE)</f>
        <v>#N/A</v>
      </c>
      <c r="AB606" s="77" t="e">
        <f>VLOOKUP(M606,'Component List'!AA$2:AB$30,2,FALSE)</f>
        <v>#N/A</v>
      </c>
      <c r="AC606" s="77" t="e">
        <f>VLOOKUP(N606,'Component List'!Y$2:Z$30,2,FALSE)</f>
        <v>#N/A</v>
      </c>
      <c r="AD606" s="159" t="e">
        <f>VLOOKUP(O606,'Component List'!W$3:X$30,2,FALSE)</f>
        <v>#N/A</v>
      </c>
    </row>
    <row r="607" spans="1:30" ht="30" customHeight="1" x14ac:dyDescent="0.3">
      <c r="A607" s="231"/>
      <c r="B607" s="173"/>
      <c r="C607" s="78"/>
      <c r="D607" s="78"/>
      <c r="E607" s="79"/>
      <c r="F607" s="78"/>
      <c r="G607" s="78"/>
      <c r="H607" s="78"/>
      <c r="I607" s="78"/>
      <c r="J607" s="78"/>
      <c r="K607" s="110"/>
      <c r="L607" s="110"/>
      <c r="M607" s="78"/>
      <c r="N607" s="78"/>
      <c r="O607" s="117"/>
      <c r="P607" s="114" t="e">
        <f t="shared" si="8"/>
        <v>#N/A</v>
      </c>
      <c r="Q607" s="77" t="e">
        <f>VLOOKUP($B607,'Component List'!$A$2:$B$30,2,FALSE)</f>
        <v>#N/A</v>
      </c>
      <c r="R607" s="77" t="e">
        <f>VLOOKUP($C607,'Component List'!C$2:D$28,2,FALSE)</f>
        <v>#N/A</v>
      </c>
      <c r="S607" s="77" t="e">
        <f>VLOOKUP($D607,'Component List'!E$2:F$30,2,FALSE)</f>
        <v>#N/A</v>
      </c>
      <c r="T607" s="77" t="e">
        <f>VLOOKUP($E607,'Component List'!G$2:H$30,2,FALSE)</f>
        <v>#N/A</v>
      </c>
      <c r="U607" s="77" t="e">
        <f>VLOOKUP($F607,'Component List'!I$2:J$30,2,FALSE)</f>
        <v>#N/A</v>
      </c>
      <c r="V607" s="77" t="e">
        <f>VLOOKUP(G607,'Component List'!K$2:L$30,2,FALSE)</f>
        <v>#N/A</v>
      </c>
      <c r="W607" s="77" t="e">
        <f>VLOOKUP(H607,'Component List'!M$2:N$31,2,FALSE)</f>
        <v>#N/A</v>
      </c>
      <c r="X607" s="77" t="e">
        <f>VLOOKUP(I607,'Component List'!O$2:P$30,2,FALSE)</f>
        <v>#N/A</v>
      </c>
      <c r="Y607" s="77" t="e">
        <f>VLOOKUP(J607,'Component List'!Q$2:R$30,2,FALSE)</f>
        <v>#N/A</v>
      </c>
      <c r="Z607" s="77" t="e">
        <f>VLOOKUP(K607,'Component List'!S$2:T$30,2,FALSE)</f>
        <v>#N/A</v>
      </c>
      <c r="AA607" s="77" t="e">
        <f>VLOOKUP(L607,'Component List'!U$2:V$30,2,FALSE)</f>
        <v>#N/A</v>
      </c>
      <c r="AB607" s="77" t="e">
        <f>VLOOKUP(M607,'Component List'!AA$2:AB$30,2,FALSE)</f>
        <v>#N/A</v>
      </c>
      <c r="AC607" s="77" t="e">
        <f>VLOOKUP(N607,'Component List'!Y$2:Z$30,2,FALSE)</f>
        <v>#N/A</v>
      </c>
      <c r="AD607" s="159" t="e">
        <f>VLOOKUP(O607,'Component List'!W$3:X$30,2,FALSE)</f>
        <v>#N/A</v>
      </c>
    </row>
    <row r="608" spans="1:30" ht="30" customHeight="1" x14ac:dyDescent="0.3">
      <c r="A608" s="231"/>
      <c r="B608" s="173"/>
      <c r="C608" s="78"/>
      <c r="D608" s="78"/>
      <c r="E608" s="79"/>
      <c r="F608" s="78"/>
      <c r="G608" s="78"/>
      <c r="H608" s="78"/>
      <c r="I608" s="78"/>
      <c r="J608" s="78"/>
      <c r="K608" s="110"/>
      <c r="L608" s="110"/>
      <c r="M608" s="78"/>
      <c r="N608" s="78"/>
      <c r="O608" s="117"/>
      <c r="P608" s="114" t="e">
        <f t="shared" si="8"/>
        <v>#N/A</v>
      </c>
      <c r="Q608" s="77" t="e">
        <f>VLOOKUP($B608,'Component List'!$A$2:$B$30,2,FALSE)</f>
        <v>#N/A</v>
      </c>
      <c r="R608" s="77" t="e">
        <f>VLOOKUP($C608,'Component List'!C$2:D$28,2,FALSE)</f>
        <v>#N/A</v>
      </c>
      <c r="S608" s="77" t="e">
        <f>VLOOKUP($D608,'Component List'!E$2:F$30,2,FALSE)</f>
        <v>#N/A</v>
      </c>
      <c r="T608" s="77" t="e">
        <f>VLOOKUP($E608,'Component List'!G$2:H$30,2,FALSE)</f>
        <v>#N/A</v>
      </c>
      <c r="U608" s="77" t="e">
        <f>VLOOKUP($F608,'Component List'!I$2:J$30,2,FALSE)</f>
        <v>#N/A</v>
      </c>
      <c r="V608" s="77" t="e">
        <f>VLOOKUP(G608,'Component List'!K$2:L$30,2,FALSE)</f>
        <v>#N/A</v>
      </c>
      <c r="W608" s="77" t="e">
        <f>VLOOKUP(H608,'Component List'!M$2:N$31,2,FALSE)</f>
        <v>#N/A</v>
      </c>
      <c r="X608" s="77" t="e">
        <f>VLOOKUP(I608,'Component List'!O$2:P$30,2,FALSE)</f>
        <v>#N/A</v>
      </c>
      <c r="Y608" s="77" t="e">
        <f>VLOOKUP(J608,'Component List'!Q$2:R$30,2,FALSE)</f>
        <v>#N/A</v>
      </c>
      <c r="Z608" s="77" t="e">
        <f>VLOOKUP(K608,'Component List'!S$2:T$30,2,FALSE)</f>
        <v>#N/A</v>
      </c>
      <c r="AA608" s="77" t="e">
        <f>VLOOKUP(L608,'Component List'!U$2:V$30,2,FALSE)</f>
        <v>#N/A</v>
      </c>
      <c r="AB608" s="77" t="e">
        <f>VLOOKUP(M608,'Component List'!AA$2:AB$30,2,FALSE)</f>
        <v>#N/A</v>
      </c>
      <c r="AC608" s="77" t="e">
        <f>VLOOKUP(N608,'Component List'!Y$2:Z$30,2,FALSE)</f>
        <v>#N/A</v>
      </c>
      <c r="AD608" s="159" t="e">
        <f>VLOOKUP(O608,'Component List'!W$3:X$30,2,FALSE)</f>
        <v>#N/A</v>
      </c>
    </row>
    <row r="609" spans="1:30" ht="30" customHeight="1" x14ac:dyDescent="0.3">
      <c r="A609" s="231"/>
      <c r="B609" s="173"/>
      <c r="C609" s="78"/>
      <c r="D609" s="78"/>
      <c r="E609" s="79"/>
      <c r="F609" s="78"/>
      <c r="G609" s="78"/>
      <c r="H609" s="78"/>
      <c r="I609" s="78"/>
      <c r="J609" s="78"/>
      <c r="K609" s="110"/>
      <c r="L609" s="110"/>
      <c r="M609" s="78"/>
      <c r="N609" s="78"/>
      <c r="O609" s="117"/>
      <c r="P609" s="114" t="e">
        <f t="shared" si="8"/>
        <v>#N/A</v>
      </c>
      <c r="Q609" s="77" t="e">
        <f>VLOOKUP($B609,'Component List'!$A$2:$B$30,2,FALSE)</f>
        <v>#N/A</v>
      </c>
      <c r="R609" s="77" t="e">
        <f>VLOOKUP($C609,'Component List'!C$2:D$28,2,FALSE)</f>
        <v>#N/A</v>
      </c>
      <c r="S609" s="77" t="e">
        <f>VLOOKUP($D609,'Component List'!E$2:F$30,2,FALSE)</f>
        <v>#N/A</v>
      </c>
      <c r="T609" s="77" t="e">
        <f>VLOOKUP($E609,'Component List'!G$2:H$30,2,FALSE)</f>
        <v>#N/A</v>
      </c>
      <c r="U609" s="77" t="e">
        <f>VLOOKUP($F609,'Component List'!I$2:J$30,2,FALSE)</f>
        <v>#N/A</v>
      </c>
      <c r="V609" s="77" t="e">
        <f>VLOOKUP(G609,'Component List'!K$2:L$30,2,FALSE)</f>
        <v>#N/A</v>
      </c>
      <c r="W609" s="77" t="e">
        <f>VLOOKUP(H609,'Component List'!M$2:N$31,2,FALSE)</f>
        <v>#N/A</v>
      </c>
      <c r="X609" s="77" t="e">
        <f>VLOOKUP(I609,'Component List'!O$2:P$30,2,FALSE)</f>
        <v>#N/A</v>
      </c>
      <c r="Y609" s="77" t="e">
        <f>VLOOKUP(J609,'Component List'!Q$2:R$30,2,FALSE)</f>
        <v>#N/A</v>
      </c>
      <c r="Z609" s="77" t="e">
        <f>VLOOKUP(K609,'Component List'!S$2:T$30,2,FALSE)</f>
        <v>#N/A</v>
      </c>
      <c r="AA609" s="77" t="e">
        <f>VLOOKUP(L609,'Component List'!U$2:V$30,2,FALSE)</f>
        <v>#N/A</v>
      </c>
      <c r="AB609" s="77" t="e">
        <f>VLOOKUP(M609,'Component List'!AA$2:AB$30,2,FALSE)</f>
        <v>#N/A</v>
      </c>
      <c r="AC609" s="77" t="e">
        <f>VLOOKUP(N609,'Component List'!Y$2:Z$30,2,FALSE)</f>
        <v>#N/A</v>
      </c>
      <c r="AD609" s="159" t="e">
        <f>VLOOKUP(O609,'Component List'!W$3:X$30,2,FALSE)</f>
        <v>#N/A</v>
      </c>
    </row>
    <row r="610" spans="1:30" ht="30" customHeight="1" x14ac:dyDescent="0.3">
      <c r="A610" s="231"/>
      <c r="B610" s="173"/>
      <c r="C610" s="78"/>
      <c r="D610" s="78"/>
      <c r="E610" s="79"/>
      <c r="F610" s="78"/>
      <c r="G610" s="78"/>
      <c r="H610" s="78"/>
      <c r="I610" s="78"/>
      <c r="J610" s="78"/>
      <c r="K610" s="110"/>
      <c r="L610" s="110"/>
      <c r="M610" s="78"/>
      <c r="N610" s="78"/>
      <c r="O610" s="117"/>
      <c r="P610" s="114" t="e">
        <f t="shared" si="8"/>
        <v>#N/A</v>
      </c>
      <c r="Q610" s="77" t="e">
        <f>VLOOKUP($B610,'Component List'!$A$2:$B$30,2,FALSE)</f>
        <v>#N/A</v>
      </c>
      <c r="R610" s="77" t="e">
        <f>VLOOKUP($C610,'Component List'!C$2:D$28,2,FALSE)</f>
        <v>#N/A</v>
      </c>
      <c r="S610" s="77" t="e">
        <f>VLOOKUP($D610,'Component List'!E$2:F$30,2,FALSE)</f>
        <v>#N/A</v>
      </c>
      <c r="T610" s="77" t="e">
        <f>VLOOKUP($E610,'Component List'!G$2:H$30,2,FALSE)</f>
        <v>#N/A</v>
      </c>
      <c r="U610" s="77" t="e">
        <f>VLOOKUP($F610,'Component List'!I$2:J$30,2,FALSE)</f>
        <v>#N/A</v>
      </c>
      <c r="V610" s="77" t="e">
        <f>VLOOKUP(G610,'Component List'!K$2:L$30,2,FALSE)</f>
        <v>#N/A</v>
      </c>
      <c r="W610" s="77" t="e">
        <f>VLOOKUP(H610,'Component List'!M$2:N$31,2,FALSE)</f>
        <v>#N/A</v>
      </c>
      <c r="X610" s="77" t="e">
        <f>VLOOKUP(I610,'Component List'!O$2:P$30,2,FALSE)</f>
        <v>#N/A</v>
      </c>
      <c r="Y610" s="77" t="e">
        <f>VLOOKUP(J610,'Component List'!Q$2:R$30,2,FALSE)</f>
        <v>#N/A</v>
      </c>
      <c r="Z610" s="77" t="e">
        <f>VLOOKUP(K610,'Component List'!S$2:T$30,2,FALSE)</f>
        <v>#N/A</v>
      </c>
      <c r="AA610" s="77" t="e">
        <f>VLOOKUP(L610,'Component List'!U$2:V$30,2,FALSE)</f>
        <v>#N/A</v>
      </c>
      <c r="AB610" s="77" t="e">
        <f>VLOOKUP(M610,'Component List'!AA$2:AB$30,2,FALSE)</f>
        <v>#N/A</v>
      </c>
      <c r="AC610" s="77" t="e">
        <f>VLOOKUP(N610,'Component List'!Y$2:Z$30,2,FALSE)</f>
        <v>#N/A</v>
      </c>
      <c r="AD610" s="159" t="e">
        <f>VLOOKUP(O610,'Component List'!W$3:X$30,2,FALSE)</f>
        <v>#N/A</v>
      </c>
    </row>
    <row r="611" spans="1:30" ht="30" customHeight="1" x14ac:dyDescent="0.3">
      <c r="A611" s="231"/>
      <c r="B611" s="173"/>
      <c r="C611" s="78"/>
      <c r="D611" s="78"/>
      <c r="E611" s="79"/>
      <c r="F611" s="78"/>
      <c r="G611" s="78"/>
      <c r="H611" s="78"/>
      <c r="I611" s="78"/>
      <c r="J611" s="78"/>
      <c r="K611" s="110"/>
      <c r="L611" s="110"/>
      <c r="M611" s="78"/>
      <c r="N611" s="78"/>
      <c r="O611" s="117"/>
      <c r="P611" s="114" t="e">
        <f t="shared" si="8"/>
        <v>#N/A</v>
      </c>
      <c r="Q611" s="77" t="e">
        <f>VLOOKUP($B611,'Component List'!$A$2:$B$30,2,FALSE)</f>
        <v>#N/A</v>
      </c>
      <c r="R611" s="77" t="e">
        <f>VLOOKUP($C611,'Component List'!C$2:D$28,2,FALSE)</f>
        <v>#N/A</v>
      </c>
      <c r="S611" s="77" t="e">
        <f>VLOOKUP($D611,'Component List'!E$2:F$30,2,FALSE)</f>
        <v>#N/A</v>
      </c>
      <c r="T611" s="77" t="e">
        <f>VLOOKUP($E611,'Component List'!G$2:H$30,2,FALSE)</f>
        <v>#N/A</v>
      </c>
      <c r="U611" s="77" t="e">
        <f>VLOOKUP($F611,'Component List'!I$2:J$30,2,FALSE)</f>
        <v>#N/A</v>
      </c>
      <c r="V611" s="77" t="e">
        <f>VLOOKUP(G611,'Component List'!K$2:L$30,2,FALSE)</f>
        <v>#N/A</v>
      </c>
      <c r="W611" s="77" t="e">
        <f>VLOOKUP(H611,'Component List'!M$2:N$31,2,FALSE)</f>
        <v>#N/A</v>
      </c>
      <c r="X611" s="77" t="e">
        <f>VLOOKUP(I611,'Component List'!O$2:P$30,2,FALSE)</f>
        <v>#N/A</v>
      </c>
      <c r="Y611" s="77" t="e">
        <f>VLOOKUP(J611,'Component List'!Q$2:R$30,2,FALSE)</f>
        <v>#N/A</v>
      </c>
      <c r="Z611" s="77" t="e">
        <f>VLOOKUP(K611,'Component List'!S$2:T$30,2,FALSE)</f>
        <v>#N/A</v>
      </c>
      <c r="AA611" s="77" t="e">
        <f>VLOOKUP(L611,'Component List'!U$2:V$30,2,FALSE)</f>
        <v>#N/A</v>
      </c>
      <c r="AB611" s="77" t="e">
        <f>VLOOKUP(M611,'Component List'!AA$2:AB$30,2,FALSE)</f>
        <v>#N/A</v>
      </c>
      <c r="AC611" s="77" t="e">
        <f>VLOOKUP(N611,'Component List'!Y$2:Z$30,2,FALSE)</f>
        <v>#N/A</v>
      </c>
      <c r="AD611" s="159" t="e">
        <f>VLOOKUP(O611,'Component List'!W$3:X$30,2,FALSE)</f>
        <v>#N/A</v>
      </c>
    </row>
    <row r="612" spans="1:30" ht="30" customHeight="1" x14ac:dyDescent="0.3">
      <c r="A612" s="231"/>
      <c r="B612" s="173"/>
      <c r="C612" s="78"/>
      <c r="D612" s="78"/>
      <c r="E612" s="79"/>
      <c r="F612" s="78"/>
      <c r="G612" s="78"/>
      <c r="H612" s="78"/>
      <c r="I612" s="78"/>
      <c r="J612" s="78"/>
      <c r="K612" s="110"/>
      <c r="L612" s="110"/>
      <c r="M612" s="78"/>
      <c r="N612" s="78"/>
      <c r="O612" s="117"/>
      <c r="P612" s="114" t="e">
        <f t="shared" si="8"/>
        <v>#N/A</v>
      </c>
      <c r="Q612" s="77" t="e">
        <f>VLOOKUP($B612,'Component List'!$A$2:$B$30,2,FALSE)</f>
        <v>#N/A</v>
      </c>
      <c r="R612" s="77" t="e">
        <f>VLOOKUP($C612,'Component List'!C$2:D$28,2,FALSE)</f>
        <v>#N/A</v>
      </c>
      <c r="S612" s="77" t="e">
        <f>VLOOKUP($D612,'Component List'!E$2:F$30,2,FALSE)</f>
        <v>#N/A</v>
      </c>
      <c r="T612" s="77" t="e">
        <f>VLOOKUP($E612,'Component List'!G$2:H$30,2,FALSE)</f>
        <v>#N/A</v>
      </c>
      <c r="U612" s="77" t="e">
        <f>VLOOKUP($F612,'Component List'!I$2:J$30,2,FALSE)</f>
        <v>#N/A</v>
      </c>
      <c r="V612" s="77" t="e">
        <f>VLOOKUP(G612,'Component List'!K$2:L$30,2,FALSE)</f>
        <v>#N/A</v>
      </c>
      <c r="W612" s="77" t="e">
        <f>VLOOKUP(H612,'Component List'!M$2:N$31,2,FALSE)</f>
        <v>#N/A</v>
      </c>
      <c r="X612" s="77" t="e">
        <f>VLOOKUP(I612,'Component List'!O$2:P$30,2,FALSE)</f>
        <v>#N/A</v>
      </c>
      <c r="Y612" s="77" t="e">
        <f>VLOOKUP(J612,'Component List'!Q$2:R$30,2,FALSE)</f>
        <v>#N/A</v>
      </c>
      <c r="Z612" s="77" t="e">
        <f>VLOOKUP(K612,'Component List'!S$2:T$30,2,FALSE)</f>
        <v>#N/A</v>
      </c>
      <c r="AA612" s="77" t="e">
        <f>VLOOKUP(L612,'Component List'!U$2:V$30,2,FALSE)</f>
        <v>#N/A</v>
      </c>
      <c r="AB612" s="77" t="e">
        <f>VLOOKUP(M612,'Component List'!AA$2:AB$30,2,FALSE)</f>
        <v>#N/A</v>
      </c>
      <c r="AC612" s="77" t="e">
        <f>VLOOKUP(N612,'Component List'!Y$2:Z$30,2,FALSE)</f>
        <v>#N/A</v>
      </c>
      <c r="AD612" s="159" t="e">
        <f>VLOOKUP(O612,'Component List'!W$3:X$30,2,FALSE)</f>
        <v>#N/A</v>
      </c>
    </row>
    <row r="613" spans="1:30" ht="30" customHeight="1" x14ac:dyDescent="0.3">
      <c r="A613" s="231"/>
      <c r="B613" s="173"/>
      <c r="C613" s="78"/>
      <c r="D613" s="78"/>
      <c r="E613" s="79"/>
      <c r="F613" s="78"/>
      <c r="G613" s="78"/>
      <c r="H613" s="78"/>
      <c r="I613" s="78"/>
      <c r="J613" s="78"/>
      <c r="K613" s="110"/>
      <c r="L613" s="110"/>
      <c r="M613" s="78"/>
      <c r="N613" s="78"/>
      <c r="O613" s="117"/>
      <c r="P613" s="114" t="e">
        <f t="shared" si="8"/>
        <v>#N/A</v>
      </c>
      <c r="Q613" s="77" t="e">
        <f>VLOOKUP($B613,'Component List'!$A$2:$B$30,2,FALSE)</f>
        <v>#N/A</v>
      </c>
      <c r="R613" s="77" t="e">
        <f>VLOOKUP($C613,'Component List'!C$2:D$28,2,FALSE)</f>
        <v>#N/A</v>
      </c>
      <c r="S613" s="77" t="e">
        <f>VLOOKUP($D613,'Component List'!E$2:F$30,2,FALSE)</f>
        <v>#N/A</v>
      </c>
      <c r="T613" s="77" t="e">
        <f>VLOOKUP($E613,'Component List'!G$2:H$30,2,FALSE)</f>
        <v>#N/A</v>
      </c>
      <c r="U613" s="77" t="e">
        <f>VLOOKUP($F613,'Component List'!I$2:J$30,2,FALSE)</f>
        <v>#N/A</v>
      </c>
      <c r="V613" s="77" t="e">
        <f>VLOOKUP(G613,'Component List'!K$2:L$30,2,FALSE)</f>
        <v>#N/A</v>
      </c>
      <c r="W613" s="77" t="e">
        <f>VLOOKUP(H613,'Component List'!M$2:N$31,2,FALSE)</f>
        <v>#N/A</v>
      </c>
      <c r="X613" s="77" t="e">
        <f>VLOOKUP(I613,'Component List'!O$2:P$30,2,FALSE)</f>
        <v>#N/A</v>
      </c>
      <c r="Y613" s="77" t="e">
        <f>VLOOKUP(J613,'Component List'!Q$2:R$30,2,FALSE)</f>
        <v>#N/A</v>
      </c>
      <c r="Z613" s="77" t="e">
        <f>VLOOKUP(K613,'Component List'!S$2:T$30,2,FALSE)</f>
        <v>#N/A</v>
      </c>
      <c r="AA613" s="77" t="e">
        <f>VLOOKUP(L613,'Component List'!U$2:V$30,2,FALSE)</f>
        <v>#N/A</v>
      </c>
      <c r="AB613" s="77" t="e">
        <f>VLOOKUP(M613,'Component List'!AA$2:AB$30,2,FALSE)</f>
        <v>#N/A</v>
      </c>
      <c r="AC613" s="77" t="e">
        <f>VLOOKUP(N613,'Component List'!Y$2:Z$30,2,FALSE)</f>
        <v>#N/A</v>
      </c>
      <c r="AD613" s="159" t="e">
        <f>VLOOKUP(O613,'Component List'!W$3:X$30,2,FALSE)</f>
        <v>#N/A</v>
      </c>
    </row>
    <row r="614" spans="1:30" ht="30" customHeight="1" x14ac:dyDescent="0.3">
      <c r="A614" s="231"/>
      <c r="B614" s="173"/>
      <c r="C614" s="78"/>
      <c r="D614" s="78"/>
      <c r="E614" s="79"/>
      <c r="F614" s="78"/>
      <c r="G614" s="78"/>
      <c r="H614" s="78"/>
      <c r="I614" s="78"/>
      <c r="J614" s="78"/>
      <c r="K614" s="110"/>
      <c r="L614" s="110"/>
      <c r="M614" s="78"/>
      <c r="N614" s="78"/>
      <c r="O614" s="117"/>
      <c r="P614" s="114" t="e">
        <f t="shared" si="8"/>
        <v>#N/A</v>
      </c>
      <c r="Q614" s="77" t="e">
        <f>VLOOKUP($B614,'Component List'!$A$2:$B$30,2,FALSE)</f>
        <v>#N/A</v>
      </c>
      <c r="R614" s="77" t="e">
        <f>VLOOKUP($C614,'Component List'!C$2:D$28,2,FALSE)</f>
        <v>#N/A</v>
      </c>
      <c r="S614" s="77" t="e">
        <f>VLOOKUP($D614,'Component List'!E$2:F$30,2,FALSE)</f>
        <v>#N/A</v>
      </c>
      <c r="T614" s="77" t="e">
        <f>VLOOKUP($E614,'Component List'!G$2:H$30,2,FALSE)</f>
        <v>#N/A</v>
      </c>
      <c r="U614" s="77" t="e">
        <f>VLOOKUP($F614,'Component List'!I$2:J$30,2,FALSE)</f>
        <v>#N/A</v>
      </c>
      <c r="V614" s="77" t="e">
        <f>VLOOKUP(G614,'Component List'!K$2:L$30,2,FALSE)</f>
        <v>#N/A</v>
      </c>
      <c r="W614" s="77" t="e">
        <f>VLOOKUP(H614,'Component List'!M$2:N$31,2,FALSE)</f>
        <v>#N/A</v>
      </c>
      <c r="X614" s="77" t="e">
        <f>VLOOKUP(I614,'Component List'!O$2:P$30,2,FALSE)</f>
        <v>#N/A</v>
      </c>
      <c r="Y614" s="77" t="e">
        <f>VLOOKUP(J614,'Component List'!Q$2:R$30,2,FALSE)</f>
        <v>#N/A</v>
      </c>
      <c r="Z614" s="77" t="e">
        <f>VLOOKUP(K614,'Component List'!S$2:T$30,2,FALSE)</f>
        <v>#N/A</v>
      </c>
      <c r="AA614" s="77" t="e">
        <f>VLOOKUP(L614,'Component List'!U$2:V$30,2,FALSE)</f>
        <v>#N/A</v>
      </c>
      <c r="AB614" s="77" t="e">
        <f>VLOOKUP(M614,'Component List'!AA$2:AB$30,2,FALSE)</f>
        <v>#N/A</v>
      </c>
      <c r="AC614" s="77" t="e">
        <f>VLOOKUP(N614,'Component List'!Y$2:Z$30,2,FALSE)</f>
        <v>#N/A</v>
      </c>
      <c r="AD614" s="159" t="e">
        <f>VLOOKUP(O614,'Component List'!W$3:X$30,2,FALSE)</f>
        <v>#N/A</v>
      </c>
    </row>
    <row r="615" spans="1:30" ht="30" customHeight="1" x14ac:dyDescent="0.3">
      <c r="A615" s="231"/>
      <c r="B615" s="173"/>
      <c r="C615" s="78"/>
      <c r="D615" s="78"/>
      <c r="E615" s="79"/>
      <c r="F615" s="78"/>
      <c r="G615" s="78"/>
      <c r="H615" s="78"/>
      <c r="I615" s="78"/>
      <c r="J615" s="78"/>
      <c r="K615" s="110"/>
      <c r="L615" s="110"/>
      <c r="M615" s="78"/>
      <c r="N615" s="78"/>
      <c r="O615" s="117"/>
      <c r="P615" s="114" t="e">
        <f t="shared" si="8"/>
        <v>#N/A</v>
      </c>
      <c r="Q615" s="77" t="e">
        <f>VLOOKUP($B615,'Component List'!$A$2:$B$30,2,FALSE)</f>
        <v>#N/A</v>
      </c>
      <c r="R615" s="77" t="e">
        <f>VLOOKUP($C615,'Component List'!C$2:D$28,2,FALSE)</f>
        <v>#N/A</v>
      </c>
      <c r="S615" s="77" t="e">
        <f>VLOOKUP($D615,'Component List'!E$2:F$30,2,FALSE)</f>
        <v>#N/A</v>
      </c>
      <c r="T615" s="77" t="e">
        <f>VLOOKUP($E615,'Component List'!G$2:H$30,2,FALSE)</f>
        <v>#N/A</v>
      </c>
      <c r="U615" s="77" t="e">
        <f>VLOOKUP($F615,'Component List'!I$2:J$30,2,FALSE)</f>
        <v>#N/A</v>
      </c>
      <c r="V615" s="77" t="e">
        <f>VLOOKUP(G615,'Component List'!K$2:L$30,2,FALSE)</f>
        <v>#N/A</v>
      </c>
      <c r="W615" s="77" t="e">
        <f>VLOOKUP(H615,'Component List'!M$2:N$31,2,FALSE)</f>
        <v>#N/A</v>
      </c>
      <c r="X615" s="77" t="e">
        <f>VLOOKUP(I615,'Component List'!O$2:P$30,2,FALSE)</f>
        <v>#N/A</v>
      </c>
      <c r="Y615" s="77" t="e">
        <f>VLOOKUP(J615,'Component List'!Q$2:R$30,2,FALSE)</f>
        <v>#N/A</v>
      </c>
      <c r="Z615" s="77" t="e">
        <f>VLOOKUP(K615,'Component List'!S$2:T$30,2,FALSE)</f>
        <v>#N/A</v>
      </c>
      <c r="AA615" s="77" t="e">
        <f>VLOOKUP(L615,'Component List'!U$2:V$30,2,FALSE)</f>
        <v>#N/A</v>
      </c>
      <c r="AB615" s="77" t="e">
        <f>VLOOKUP(M615,'Component List'!AA$2:AB$30,2,FALSE)</f>
        <v>#N/A</v>
      </c>
      <c r="AC615" s="77" t="e">
        <f>VLOOKUP(N615,'Component List'!Y$2:Z$30,2,FALSE)</f>
        <v>#N/A</v>
      </c>
      <c r="AD615" s="159" t="e">
        <f>VLOOKUP(O615,'Component List'!W$3:X$30,2,FALSE)</f>
        <v>#N/A</v>
      </c>
    </row>
    <row r="616" spans="1:30" ht="30" customHeight="1" x14ac:dyDescent="0.3">
      <c r="A616" s="231"/>
      <c r="B616" s="173"/>
      <c r="C616" s="78"/>
      <c r="D616" s="78"/>
      <c r="E616" s="79"/>
      <c r="F616" s="78"/>
      <c r="G616" s="78"/>
      <c r="H616" s="78"/>
      <c r="I616" s="78"/>
      <c r="J616" s="78"/>
      <c r="K616" s="110"/>
      <c r="L616" s="110"/>
      <c r="M616" s="78"/>
      <c r="N616" s="78"/>
      <c r="O616" s="117"/>
      <c r="P616" s="114" t="e">
        <f t="shared" si="8"/>
        <v>#N/A</v>
      </c>
      <c r="Q616" s="77" t="e">
        <f>VLOOKUP($B616,'Component List'!$A$2:$B$30,2,FALSE)</f>
        <v>#N/A</v>
      </c>
      <c r="R616" s="77" t="e">
        <f>VLOOKUP($C616,'Component List'!C$2:D$28,2,FALSE)</f>
        <v>#N/A</v>
      </c>
      <c r="S616" s="77" t="e">
        <f>VLOOKUP($D616,'Component List'!E$2:F$30,2,FALSE)</f>
        <v>#N/A</v>
      </c>
      <c r="T616" s="77" t="e">
        <f>VLOOKUP($E616,'Component List'!G$2:H$30,2,FALSE)</f>
        <v>#N/A</v>
      </c>
      <c r="U616" s="77" t="e">
        <f>VLOOKUP($F616,'Component List'!I$2:J$30,2,FALSE)</f>
        <v>#N/A</v>
      </c>
      <c r="V616" s="77" t="e">
        <f>VLOOKUP(G616,'Component List'!K$2:L$30,2,FALSE)</f>
        <v>#N/A</v>
      </c>
      <c r="W616" s="77" t="e">
        <f>VLOOKUP(H616,'Component List'!M$2:N$31,2,FALSE)</f>
        <v>#N/A</v>
      </c>
      <c r="X616" s="77" t="e">
        <f>VLOOKUP(I616,'Component List'!O$2:P$30,2,FALSE)</f>
        <v>#N/A</v>
      </c>
      <c r="Y616" s="77" t="e">
        <f>VLOOKUP(J616,'Component List'!Q$2:R$30,2,FALSE)</f>
        <v>#N/A</v>
      </c>
      <c r="Z616" s="77" t="e">
        <f>VLOOKUP(K616,'Component List'!S$2:T$30,2,FALSE)</f>
        <v>#N/A</v>
      </c>
      <c r="AA616" s="77" t="e">
        <f>VLOOKUP(L616,'Component List'!U$2:V$30,2,FALSE)</f>
        <v>#N/A</v>
      </c>
      <c r="AB616" s="77" t="e">
        <f>VLOOKUP(M616,'Component List'!AA$2:AB$30,2,FALSE)</f>
        <v>#N/A</v>
      </c>
      <c r="AC616" s="77" t="e">
        <f>VLOOKUP(N616,'Component List'!Y$2:Z$30,2,FALSE)</f>
        <v>#N/A</v>
      </c>
      <c r="AD616" s="159" t="e">
        <f>VLOOKUP(O616,'Component List'!W$3:X$30,2,FALSE)</f>
        <v>#N/A</v>
      </c>
    </row>
    <row r="617" spans="1:30" ht="30" customHeight="1" x14ac:dyDescent="0.3">
      <c r="A617" s="231"/>
      <c r="B617" s="173"/>
      <c r="C617" s="78"/>
      <c r="D617" s="78"/>
      <c r="E617" s="79"/>
      <c r="F617" s="78"/>
      <c r="G617" s="78"/>
      <c r="H617" s="78"/>
      <c r="I617" s="78"/>
      <c r="J617" s="78"/>
      <c r="K617" s="110"/>
      <c r="L617" s="110"/>
      <c r="M617" s="78"/>
      <c r="N617" s="78"/>
      <c r="O617" s="117"/>
      <c r="P617" s="114" t="e">
        <f t="shared" si="8"/>
        <v>#N/A</v>
      </c>
      <c r="Q617" s="77" t="e">
        <f>VLOOKUP($B617,'Component List'!$A$2:$B$30,2,FALSE)</f>
        <v>#N/A</v>
      </c>
      <c r="R617" s="77" t="e">
        <f>VLOOKUP($C617,'Component List'!C$2:D$28,2,FALSE)</f>
        <v>#N/A</v>
      </c>
      <c r="S617" s="77" t="e">
        <f>VLOOKUP($D617,'Component List'!E$2:F$30,2,FALSE)</f>
        <v>#N/A</v>
      </c>
      <c r="T617" s="77" t="e">
        <f>VLOOKUP($E617,'Component List'!G$2:H$30,2,FALSE)</f>
        <v>#N/A</v>
      </c>
      <c r="U617" s="77" t="e">
        <f>VLOOKUP($F617,'Component List'!I$2:J$30,2,FALSE)</f>
        <v>#N/A</v>
      </c>
      <c r="V617" s="77" t="e">
        <f>VLOOKUP(G617,'Component List'!K$2:L$30,2,FALSE)</f>
        <v>#N/A</v>
      </c>
      <c r="W617" s="77" t="e">
        <f>VLOOKUP(H617,'Component List'!M$2:N$31,2,FALSE)</f>
        <v>#N/A</v>
      </c>
      <c r="X617" s="77" t="e">
        <f>VLOOKUP(I617,'Component List'!O$2:P$30,2,FALSE)</f>
        <v>#N/A</v>
      </c>
      <c r="Y617" s="77" t="e">
        <f>VLOOKUP(J617,'Component List'!Q$2:R$30,2,FALSE)</f>
        <v>#N/A</v>
      </c>
      <c r="Z617" s="77" t="e">
        <f>VLOOKUP(K617,'Component List'!S$2:T$30,2,FALSE)</f>
        <v>#N/A</v>
      </c>
      <c r="AA617" s="77" t="e">
        <f>VLOOKUP(L617,'Component List'!U$2:V$30,2,FALSE)</f>
        <v>#N/A</v>
      </c>
      <c r="AB617" s="77" t="e">
        <f>VLOOKUP(M617,'Component List'!AA$2:AB$30,2,FALSE)</f>
        <v>#N/A</v>
      </c>
      <c r="AC617" s="77" t="e">
        <f>VLOOKUP(N617,'Component List'!Y$2:Z$30,2,FALSE)</f>
        <v>#N/A</v>
      </c>
      <c r="AD617" s="159" t="e">
        <f>VLOOKUP(O617,'Component List'!W$3:X$30,2,FALSE)</f>
        <v>#N/A</v>
      </c>
    </row>
    <row r="618" spans="1:30" ht="30" customHeight="1" x14ac:dyDescent="0.3">
      <c r="A618" s="231"/>
      <c r="B618" s="173"/>
      <c r="C618" s="78"/>
      <c r="D618" s="78"/>
      <c r="E618" s="79"/>
      <c r="F618" s="78"/>
      <c r="G618" s="78"/>
      <c r="H618" s="78"/>
      <c r="I618" s="78"/>
      <c r="J618" s="78"/>
      <c r="K618" s="110"/>
      <c r="L618" s="110"/>
      <c r="M618" s="78"/>
      <c r="N618" s="78"/>
      <c r="O618" s="117"/>
      <c r="P618" s="114" t="e">
        <f t="shared" si="8"/>
        <v>#N/A</v>
      </c>
      <c r="Q618" s="77" t="e">
        <f>VLOOKUP($B618,'Component List'!$A$2:$B$30,2,FALSE)</f>
        <v>#N/A</v>
      </c>
      <c r="R618" s="77" t="e">
        <f>VLOOKUP($C618,'Component List'!C$2:D$28,2,FALSE)</f>
        <v>#N/A</v>
      </c>
      <c r="S618" s="77" t="e">
        <f>VLOOKUP($D618,'Component List'!E$2:F$30,2,FALSE)</f>
        <v>#N/A</v>
      </c>
      <c r="T618" s="77" t="e">
        <f>VLOOKUP($E618,'Component List'!G$2:H$30,2,FALSE)</f>
        <v>#N/A</v>
      </c>
      <c r="U618" s="77" t="e">
        <f>VLOOKUP($F618,'Component List'!I$2:J$30,2,FALSE)</f>
        <v>#N/A</v>
      </c>
      <c r="V618" s="77" t="e">
        <f>VLOOKUP(G618,'Component List'!K$2:L$30,2,FALSE)</f>
        <v>#N/A</v>
      </c>
      <c r="W618" s="77" t="e">
        <f>VLOOKUP(H618,'Component List'!M$2:N$31,2,FALSE)</f>
        <v>#N/A</v>
      </c>
      <c r="X618" s="77" t="e">
        <f>VLOOKUP(I618,'Component List'!O$2:P$30,2,FALSE)</f>
        <v>#N/A</v>
      </c>
      <c r="Y618" s="77" t="e">
        <f>VLOOKUP(J618,'Component List'!Q$2:R$30,2,FALSE)</f>
        <v>#N/A</v>
      </c>
      <c r="Z618" s="77" t="e">
        <f>VLOOKUP(K618,'Component List'!S$2:T$30,2,FALSE)</f>
        <v>#N/A</v>
      </c>
      <c r="AA618" s="77" t="e">
        <f>VLOOKUP(L618,'Component List'!U$2:V$30,2,FALSE)</f>
        <v>#N/A</v>
      </c>
      <c r="AB618" s="77" t="e">
        <f>VLOOKUP(M618,'Component List'!AA$2:AB$30,2,FALSE)</f>
        <v>#N/A</v>
      </c>
      <c r="AC618" s="77" t="e">
        <f>VLOOKUP(N618,'Component List'!Y$2:Z$30,2,FALSE)</f>
        <v>#N/A</v>
      </c>
      <c r="AD618" s="159" t="e">
        <f>VLOOKUP(O618,'Component List'!W$3:X$30,2,FALSE)</f>
        <v>#N/A</v>
      </c>
    </row>
    <row r="619" spans="1:30" ht="30" customHeight="1" x14ac:dyDescent="0.3">
      <c r="A619" s="231"/>
      <c r="B619" s="173"/>
      <c r="C619" s="78"/>
      <c r="D619" s="78"/>
      <c r="E619" s="79"/>
      <c r="F619" s="78"/>
      <c r="G619" s="78"/>
      <c r="H619" s="78"/>
      <c r="I619" s="78"/>
      <c r="J619" s="78"/>
      <c r="K619" s="110"/>
      <c r="L619" s="110"/>
      <c r="M619" s="78"/>
      <c r="N619" s="78"/>
      <c r="O619" s="117"/>
      <c r="P619" s="114" t="e">
        <f t="shared" si="8"/>
        <v>#N/A</v>
      </c>
      <c r="Q619" s="77" t="e">
        <f>VLOOKUP($B619,'Component List'!$A$2:$B$30,2,FALSE)</f>
        <v>#N/A</v>
      </c>
      <c r="R619" s="77" t="e">
        <f>VLOOKUP($C619,'Component List'!C$2:D$28,2,FALSE)</f>
        <v>#N/A</v>
      </c>
      <c r="S619" s="77" t="e">
        <f>VLOOKUP($D619,'Component List'!E$2:F$30,2,FALSE)</f>
        <v>#N/A</v>
      </c>
      <c r="T619" s="77" t="e">
        <f>VLOOKUP($E619,'Component List'!G$2:H$30,2,FALSE)</f>
        <v>#N/A</v>
      </c>
      <c r="U619" s="77" t="e">
        <f>VLOOKUP($F619,'Component List'!I$2:J$30,2,FALSE)</f>
        <v>#N/A</v>
      </c>
      <c r="V619" s="77" t="e">
        <f>VLOOKUP(G619,'Component List'!K$2:L$30,2,FALSE)</f>
        <v>#N/A</v>
      </c>
      <c r="W619" s="77" t="e">
        <f>VLOOKUP(H619,'Component List'!M$2:N$31,2,FALSE)</f>
        <v>#N/A</v>
      </c>
      <c r="X619" s="77" t="e">
        <f>VLOOKUP(I619,'Component List'!O$2:P$30,2,FALSE)</f>
        <v>#N/A</v>
      </c>
      <c r="Y619" s="77" t="e">
        <f>VLOOKUP(J619,'Component List'!Q$2:R$30,2,FALSE)</f>
        <v>#N/A</v>
      </c>
      <c r="Z619" s="77" t="e">
        <f>VLOOKUP(K619,'Component List'!S$2:T$30,2,FALSE)</f>
        <v>#N/A</v>
      </c>
      <c r="AA619" s="77" t="e">
        <f>VLOOKUP(L619,'Component List'!U$2:V$30,2,FALSE)</f>
        <v>#N/A</v>
      </c>
      <c r="AB619" s="77" t="e">
        <f>VLOOKUP(M619,'Component List'!AA$2:AB$30,2,FALSE)</f>
        <v>#N/A</v>
      </c>
      <c r="AC619" s="77" t="e">
        <f>VLOOKUP(N619,'Component List'!Y$2:Z$30,2,FALSE)</f>
        <v>#N/A</v>
      </c>
      <c r="AD619" s="159" t="e">
        <f>VLOOKUP(O619,'Component List'!W$3:X$30,2,FALSE)</f>
        <v>#N/A</v>
      </c>
    </row>
    <row r="620" spans="1:30" ht="30" customHeight="1" x14ac:dyDescent="0.3">
      <c r="A620" s="231"/>
      <c r="B620" s="173"/>
      <c r="C620" s="78"/>
      <c r="D620" s="78"/>
      <c r="E620" s="79"/>
      <c r="F620" s="78"/>
      <c r="G620" s="78"/>
      <c r="H620" s="78"/>
      <c r="I620" s="78"/>
      <c r="J620" s="78"/>
      <c r="K620" s="110"/>
      <c r="L620" s="110"/>
      <c r="M620" s="78"/>
      <c r="N620" s="78"/>
      <c r="O620" s="117"/>
      <c r="P620" s="114" t="e">
        <f t="shared" si="8"/>
        <v>#N/A</v>
      </c>
      <c r="Q620" s="77" t="e">
        <f>VLOOKUP($B620,'Component List'!$A$2:$B$30,2,FALSE)</f>
        <v>#N/A</v>
      </c>
      <c r="R620" s="77" t="e">
        <f>VLOOKUP($C620,'Component List'!C$2:D$28,2,FALSE)</f>
        <v>#N/A</v>
      </c>
      <c r="S620" s="77" t="e">
        <f>VLOOKUP($D620,'Component List'!E$2:F$30,2,FALSE)</f>
        <v>#N/A</v>
      </c>
      <c r="T620" s="77" t="e">
        <f>VLOOKUP($E620,'Component List'!G$2:H$30,2,FALSE)</f>
        <v>#N/A</v>
      </c>
      <c r="U620" s="77" t="e">
        <f>VLOOKUP($F620,'Component List'!I$2:J$30,2,FALSE)</f>
        <v>#N/A</v>
      </c>
      <c r="V620" s="77" t="e">
        <f>VLOOKUP(G620,'Component List'!K$2:L$30,2,FALSE)</f>
        <v>#N/A</v>
      </c>
      <c r="W620" s="77" t="e">
        <f>VLOOKUP(H620,'Component List'!M$2:N$31,2,FALSE)</f>
        <v>#N/A</v>
      </c>
      <c r="X620" s="77" t="e">
        <f>VLOOKUP(I620,'Component List'!O$2:P$30,2,FALSE)</f>
        <v>#N/A</v>
      </c>
      <c r="Y620" s="77" t="e">
        <f>VLOOKUP(J620,'Component List'!Q$2:R$30,2,FALSE)</f>
        <v>#N/A</v>
      </c>
      <c r="Z620" s="77" t="e">
        <f>VLOOKUP(K620,'Component List'!S$2:T$30,2,FALSE)</f>
        <v>#N/A</v>
      </c>
      <c r="AA620" s="77" t="e">
        <f>VLOOKUP(L620,'Component List'!U$2:V$30,2,FALSE)</f>
        <v>#N/A</v>
      </c>
      <c r="AB620" s="77" t="e">
        <f>VLOOKUP(M620,'Component List'!AA$2:AB$30,2,FALSE)</f>
        <v>#N/A</v>
      </c>
      <c r="AC620" s="77" t="e">
        <f>VLOOKUP(N620,'Component List'!Y$2:Z$30,2,FALSE)</f>
        <v>#N/A</v>
      </c>
      <c r="AD620" s="159" t="e">
        <f>VLOOKUP(O620,'Component List'!W$3:X$30,2,FALSE)</f>
        <v>#N/A</v>
      </c>
    </row>
    <row r="621" spans="1:30" ht="30" customHeight="1" x14ac:dyDescent="0.3">
      <c r="A621" s="231"/>
      <c r="B621" s="173"/>
      <c r="C621" s="78"/>
      <c r="D621" s="78"/>
      <c r="E621" s="79"/>
      <c r="F621" s="78"/>
      <c r="G621" s="78"/>
      <c r="H621" s="78"/>
      <c r="I621" s="78"/>
      <c r="J621" s="78"/>
      <c r="K621" s="110"/>
      <c r="L621" s="110"/>
      <c r="M621" s="78"/>
      <c r="N621" s="78"/>
      <c r="O621" s="117"/>
      <c r="P621" s="114" t="e">
        <f t="shared" si="8"/>
        <v>#N/A</v>
      </c>
      <c r="Q621" s="77" t="e">
        <f>VLOOKUP($B621,'Component List'!$A$2:$B$30,2,FALSE)</f>
        <v>#N/A</v>
      </c>
      <c r="R621" s="77" t="e">
        <f>VLOOKUP($C621,'Component List'!C$2:D$28,2,FALSE)</f>
        <v>#N/A</v>
      </c>
      <c r="S621" s="77" t="e">
        <f>VLOOKUP($D621,'Component List'!E$2:F$30,2,FALSE)</f>
        <v>#N/A</v>
      </c>
      <c r="T621" s="77" t="e">
        <f>VLOOKUP($E621,'Component List'!G$2:H$30,2,FALSE)</f>
        <v>#N/A</v>
      </c>
      <c r="U621" s="77" t="e">
        <f>VLOOKUP($F621,'Component List'!I$2:J$30,2,FALSE)</f>
        <v>#N/A</v>
      </c>
      <c r="V621" s="77" t="e">
        <f>VLOOKUP(G621,'Component List'!K$2:L$30,2,FALSE)</f>
        <v>#N/A</v>
      </c>
      <c r="W621" s="77" t="e">
        <f>VLOOKUP(H621,'Component List'!M$2:N$31,2,FALSE)</f>
        <v>#N/A</v>
      </c>
      <c r="X621" s="77" t="e">
        <f>VLOOKUP(I621,'Component List'!O$2:P$30,2,FALSE)</f>
        <v>#N/A</v>
      </c>
      <c r="Y621" s="77" t="e">
        <f>VLOOKUP(J621,'Component List'!Q$2:R$30,2,FALSE)</f>
        <v>#N/A</v>
      </c>
      <c r="Z621" s="77" t="e">
        <f>VLOOKUP(K621,'Component List'!S$2:T$30,2,FALSE)</f>
        <v>#N/A</v>
      </c>
      <c r="AA621" s="77" t="e">
        <f>VLOOKUP(L621,'Component List'!U$2:V$30,2,FALSE)</f>
        <v>#N/A</v>
      </c>
      <c r="AB621" s="77" t="e">
        <f>VLOOKUP(M621,'Component List'!AA$2:AB$30,2,FALSE)</f>
        <v>#N/A</v>
      </c>
      <c r="AC621" s="77" t="e">
        <f>VLOOKUP(N621,'Component List'!Y$2:Z$30,2,FALSE)</f>
        <v>#N/A</v>
      </c>
      <c r="AD621" s="159" t="e">
        <f>VLOOKUP(O621,'Component List'!W$3:X$30,2,FALSE)</f>
        <v>#N/A</v>
      </c>
    </row>
    <row r="622" spans="1:30" ht="30" customHeight="1" x14ac:dyDescent="0.3">
      <c r="A622" s="231"/>
      <c r="B622" s="173"/>
      <c r="C622" s="78"/>
      <c r="D622" s="78"/>
      <c r="E622" s="79"/>
      <c r="F622" s="78"/>
      <c r="G622" s="78"/>
      <c r="H622" s="78"/>
      <c r="I622" s="78"/>
      <c r="J622" s="78"/>
      <c r="K622" s="110"/>
      <c r="L622" s="110"/>
      <c r="M622" s="78"/>
      <c r="N622" s="78"/>
      <c r="O622" s="117"/>
      <c r="P622" s="114" t="e">
        <f t="shared" si="8"/>
        <v>#N/A</v>
      </c>
      <c r="Q622" s="77" t="e">
        <f>VLOOKUP($B622,'Component List'!$A$2:$B$30,2,FALSE)</f>
        <v>#N/A</v>
      </c>
      <c r="R622" s="77" t="e">
        <f>VLOOKUP($C622,'Component List'!C$2:D$28,2,FALSE)</f>
        <v>#N/A</v>
      </c>
      <c r="S622" s="77" t="e">
        <f>VLOOKUP($D622,'Component List'!E$2:F$30,2,FALSE)</f>
        <v>#N/A</v>
      </c>
      <c r="T622" s="77" t="e">
        <f>VLOOKUP($E622,'Component List'!G$2:H$30,2,FALSE)</f>
        <v>#N/A</v>
      </c>
      <c r="U622" s="77" t="e">
        <f>VLOOKUP($F622,'Component List'!I$2:J$30,2,FALSE)</f>
        <v>#N/A</v>
      </c>
      <c r="V622" s="77" t="e">
        <f>VLOOKUP(G622,'Component List'!K$2:L$30,2,FALSE)</f>
        <v>#N/A</v>
      </c>
      <c r="W622" s="77" t="e">
        <f>VLOOKUP(H622,'Component List'!M$2:N$31,2,FALSE)</f>
        <v>#N/A</v>
      </c>
      <c r="X622" s="77" t="e">
        <f>VLOOKUP(I622,'Component List'!O$2:P$30,2,FALSE)</f>
        <v>#N/A</v>
      </c>
      <c r="Y622" s="77" t="e">
        <f>VLOOKUP(J622,'Component List'!Q$2:R$30,2,FALSE)</f>
        <v>#N/A</v>
      </c>
      <c r="Z622" s="77" t="e">
        <f>VLOOKUP(K622,'Component List'!S$2:T$30,2,FALSE)</f>
        <v>#N/A</v>
      </c>
      <c r="AA622" s="77" t="e">
        <f>VLOOKUP(L622,'Component List'!U$2:V$30,2,FALSE)</f>
        <v>#N/A</v>
      </c>
      <c r="AB622" s="77" t="e">
        <f>VLOOKUP(M622,'Component List'!AA$2:AB$30,2,FALSE)</f>
        <v>#N/A</v>
      </c>
      <c r="AC622" s="77" t="e">
        <f>VLOOKUP(N622,'Component List'!Y$2:Z$30,2,FALSE)</f>
        <v>#N/A</v>
      </c>
      <c r="AD622" s="159" t="e">
        <f>VLOOKUP(O622,'Component List'!W$3:X$30,2,FALSE)</f>
        <v>#N/A</v>
      </c>
    </row>
    <row r="623" spans="1:30" ht="30" customHeight="1" x14ac:dyDescent="0.3">
      <c r="A623" s="231"/>
      <c r="B623" s="173"/>
      <c r="C623" s="78"/>
      <c r="D623" s="78"/>
      <c r="E623" s="79"/>
      <c r="F623" s="78"/>
      <c r="G623" s="78"/>
      <c r="H623" s="78"/>
      <c r="I623" s="78"/>
      <c r="J623" s="78"/>
      <c r="K623" s="110"/>
      <c r="L623" s="110"/>
      <c r="M623" s="78"/>
      <c r="N623" s="78"/>
      <c r="O623" s="117"/>
      <c r="P623" s="114" t="e">
        <f t="shared" si="8"/>
        <v>#N/A</v>
      </c>
      <c r="Q623" s="77" t="e">
        <f>VLOOKUP($B623,'Component List'!$A$2:$B$30,2,FALSE)</f>
        <v>#N/A</v>
      </c>
      <c r="R623" s="77" t="e">
        <f>VLOOKUP($C623,'Component List'!C$2:D$28,2,FALSE)</f>
        <v>#N/A</v>
      </c>
      <c r="S623" s="77" t="e">
        <f>VLOOKUP($D623,'Component List'!E$2:F$30,2,FALSE)</f>
        <v>#N/A</v>
      </c>
      <c r="T623" s="77" t="e">
        <f>VLOOKUP($E623,'Component List'!G$2:H$30,2,FALSE)</f>
        <v>#N/A</v>
      </c>
      <c r="U623" s="77" t="e">
        <f>VLOOKUP($F623,'Component List'!I$2:J$30,2,FALSE)</f>
        <v>#N/A</v>
      </c>
      <c r="V623" s="77" t="e">
        <f>VLOOKUP(G623,'Component List'!K$2:L$30,2,FALSE)</f>
        <v>#N/A</v>
      </c>
      <c r="W623" s="77" t="e">
        <f>VLOOKUP(H623,'Component List'!M$2:N$31,2,FALSE)</f>
        <v>#N/A</v>
      </c>
      <c r="X623" s="77" t="e">
        <f>VLOOKUP(I623,'Component List'!O$2:P$30,2,FALSE)</f>
        <v>#N/A</v>
      </c>
      <c r="Y623" s="77" t="e">
        <f>VLOOKUP(J623,'Component List'!Q$2:R$30,2,FALSE)</f>
        <v>#N/A</v>
      </c>
      <c r="Z623" s="77" t="e">
        <f>VLOOKUP(K623,'Component List'!S$2:T$30,2,FALSE)</f>
        <v>#N/A</v>
      </c>
      <c r="AA623" s="77" t="e">
        <f>VLOOKUP(L623,'Component List'!U$2:V$30,2,FALSE)</f>
        <v>#N/A</v>
      </c>
      <c r="AB623" s="77" t="e">
        <f>VLOOKUP(M623,'Component List'!AA$2:AB$30,2,FALSE)</f>
        <v>#N/A</v>
      </c>
      <c r="AC623" s="77" t="e">
        <f>VLOOKUP(N623,'Component List'!Y$2:Z$30,2,FALSE)</f>
        <v>#N/A</v>
      </c>
      <c r="AD623" s="159" t="e">
        <f>VLOOKUP(O623,'Component List'!W$3:X$30,2,FALSE)</f>
        <v>#N/A</v>
      </c>
    </row>
    <row r="624" spans="1:30" ht="30" customHeight="1" x14ac:dyDescent="0.3">
      <c r="A624" s="231"/>
      <c r="B624" s="173"/>
      <c r="C624" s="78"/>
      <c r="D624" s="78"/>
      <c r="E624" s="79"/>
      <c r="F624" s="78"/>
      <c r="G624" s="78"/>
      <c r="H624" s="78"/>
      <c r="I624" s="78"/>
      <c r="J624" s="78"/>
      <c r="K624" s="110"/>
      <c r="L624" s="110"/>
      <c r="M624" s="78"/>
      <c r="N624" s="78"/>
      <c r="O624" s="117"/>
      <c r="P624" s="114" t="e">
        <f t="shared" si="8"/>
        <v>#N/A</v>
      </c>
      <c r="Q624" s="77" t="e">
        <f>VLOOKUP($B624,'Component List'!$A$2:$B$30,2,FALSE)</f>
        <v>#N/A</v>
      </c>
      <c r="R624" s="77" t="e">
        <f>VLOOKUP($C624,'Component List'!C$2:D$28,2,FALSE)</f>
        <v>#N/A</v>
      </c>
      <c r="S624" s="77" t="e">
        <f>VLOOKUP($D624,'Component List'!E$2:F$30,2,FALSE)</f>
        <v>#N/A</v>
      </c>
      <c r="T624" s="77" t="e">
        <f>VLOOKUP($E624,'Component List'!G$2:H$30,2,FALSE)</f>
        <v>#N/A</v>
      </c>
      <c r="U624" s="77" t="e">
        <f>VLOOKUP($F624,'Component List'!I$2:J$30,2,FALSE)</f>
        <v>#N/A</v>
      </c>
      <c r="V624" s="77" t="e">
        <f>VLOOKUP(G624,'Component List'!K$2:L$30,2,FALSE)</f>
        <v>#N/A</v>
      </c>
      <c r="W624" s="77" t="e">
        <f>VLOOKUP(H624,'Component List'!M$2:N$31,2,FALSE)</f>
        <v>#N/A</v>
      </c>
      <c r="X624" s="77" t="e">
        <f>VLOOKUP(I624,'Component List'!O$2:P$30,2,FALSE)</f>
        <v>#N/A</v>
      </c>
      <c r="Y624" s="77" t="e">
        <f>VLOOKUP(J624,'Component List'!Q$2:R$30,2,FALSE)</f>
        <v>#N/A</v>
      </c>
      <c r="Z624" s="77" t="e">
        <f>VLOOKUP(K624,'Component List'!S$2:T$30,2,FALSE)</f>
        <v>#N/A</v>
      </c>
      <c r="AA624" s="77" t="e">
        <f>VLOOKUP(L624,'Component List'!U$2:V$30,2,FALSE)</f>
        <v>#N/A</v>
      </c>
      <c r="AB624" s="77" t="e">
        <f>VLOOKUP(M624,'Component List'!AA$2:AB$30,2,FALSE)</f>
        <v>#N/A</v>
      </c>
      <c r="AC624" s="77" t="e">
        <f>VLOOKUP(N624,'Component List'!Y$2:Z$30,2,FALSE)</f>
        <v>#N/A</v>
      </c>
      <c r="AD624" s="159" t="e">
        <f>VLOOKUP(O624,'Component List'!W$3:X$30,2,FALSE)</f>
        <v>#N/A</v>
      </c>
    </row>
    <row r="625" spans="1:30" ht="30" customHeight="1" x14ac:dyDescent="0.3">
      <c r="A625" s="231"/>
      <c r="B625" s="173"/>
      <c r="C625" s="78"/>
      <c r="D625" s="78"/>
      <c r="E625" s="79"/>
      <c r="F625" s="78"/>
      <c r="G625" s="78"/>
      <c r="H625" s="78"/>
      <c r="I625" s="78"/>
      <c r="J625" s="78"/>
      <c r="K625" s="110"/>
      <c r="L625" s="110"/>
      <c r="M625" s="78"/>
      <c r="N625" s="78"/>
      <c r="O625" s="117"/>
      <c r="P625" s="114" t="e">
        <f t="shared" si="8"/>
        <v>#N/A</v>
      </c>
      <c r="Q625" s="77" t="e">
        <f>VLOOKUP($B625,'Component List'!$A$2:$B$30,2,FALSE)</f>
        <v>#N/A</v>
      </c>
      <c r="R625" s="77" t="e">
        <f>VLOOKUP($C625,'Component List'!C$2:D$28,2,FALSE)</f>
        <v>#N/A</v>
      </c>
      <c r="S625" s="77" t="e">
        <f>VLOOKUP($D625,'Component List'!E$2:F$30,2,FALSE)</f>
        <v>#N/A</v>
      </c>
      <c r="T625" s="77" t="e">
        <f>VLOOKUP($E625,'Component List'!G$2:H$30,2,FALSE)</f>
        <v>#N/A</v>
      </c>
      <c r="U625" s="77" t="e">
        <f>VLOOKUP($F625,'Component List'!I$2:J$30,2,FALSE)</f>
        <v>#N/A</v>
      </c>
      <c r="V625" s="77" t="e">
        <f>VLOOKUP(G625,'Component List'!K$2:L$30,2,FALSE)</f>
        <v>#N/A</v>
      </c>
      <c r="W625" s="77" t="e">
        <f>VLOOKUP(H625,'Component List'!M$2:N$31,2,FALSE)</f>
        <v>#N/A</v>
      </c>
      <c r="X625" s="77" t="e">
        <f>VLOOKUP(I625,'Component List'!O$2:P$30,2,FALSE)</f>
        <v>#N/A</v>
      </c>
      <c r="Y625" s="77" t="e">
        <f>VLOOKUP(J625,'Component List'!Q$2:R$30,2,FALSE)</f>
        <v>#N/A</v>
      </c>
      <c r="Z625" s="77" t="e">
        <f>VLOOKUP(K625,'Component List'!S$2:T$30,2,FALSE)</f>
        <v>#N/A</v>
      </c>
      <c r="AA625" s="77" t="e">
        <f>VLOOKUP(L625,'Component List'!U$2:V$30,2,FALSE)</f>
        <v>#N/A</v>
      </c>
      <c r="AB625" s="77" t="e">
        <f>VLOOKUP(M625,'Component List'!AA$2:AB$30,2,FALSE)</f>
        <v>#N/A</v>
      </c>
      <c r="AC625" s="77" t="e">
        <f>VLOOKUP(N625,'Component List'!Y$2:Z$30,2,FALSE)</f>
        <v>#N/A</v>
      </c>
      <c r="AD625" s="159" t="e">
        <f>VLOOKUP(O625,'Component List'!W$3:X$30,2,FALSE)</f>
        <v>#N/A</v>
      </c>
    </row>
    <row r="626" spans="1:30" ht="30" customHeight="1" x14ac:dyDescent="0.3">
      <c r="A626" s="231"/>
      <c r="B626" s="173"/>
      <c r="C626" s="78"/>
      <c r="D626" s="78"/>
      <c r="E626" s="79"/>
      <c r="F626" s="78"/>
      <c r="G626" s="78"/>
      <c r="H626" s="78"/>
      <c r="I626" s="78"/>
      <c r="J626" s="78"/>
      <c r="K626" s="110"/>
      <c r="L626" s="110"/>
      <c r="M626" s="78"/>
      <c r="N626" s="78"/>
      <c r="O626" s="117"/>
      <c r="P626" s="114" t="e">
        <f t="shared" si="8"/>
        <v>#N/A</v>
      </c>
      <c r="Q626" s="77" t="e">
        <f>VLOOKUP($B626,'Component List'!$A$2:$B$30,2,FALSE)</f>
        <v>#N/A</v>
      </c>
      <c r="R626" s="77" t="e">
        <f>VLOOKUP($C626,'Component List'!C$2:D$28,2,FALSE)</f>
        <v>#N/A</v>
      </c>
      <c r="S626" s="77" t="e">
        <f>VLOOKUP($D626,'Component List'!E$2:F$30,2,FALSE)</f>
        <v>#N/A</v>
      </c>
      <c r="T626" s="77" t="e">
        <f>VLOOKUP($E626,'Component List'!G$2:H$30,2,FALSE)</f>
        <v>#N/A</v>
      </c>
      <c r="U626" s="77" t="e">
        <f>VLOOKUP($F626,'Component List'!I$2:J$30,2,FALSE)</f>
        <v>#N/A</v>
      </c>
      <c r="V626" s="77" t="e">
        <f>VLOOKUP(G626,'Component List'!K$2:L$30,2,FALSE)</f>
        <v>#N/A</v>
      </c>
      <c r="W626" s="77" t="e">
        <f>VLOOKUP(H626,'Component List'!M$2:N$31,2,FALSE)</f>
        <v>#N/A</v>
      </c>
      <c r="X626" s="77" t="e">
        <f>VLOOKUP(I626,'Component List'!O$2:P$30,2,FALSE)</f>
        <v>#N/A</v>
      </c>
      <c r="Y626" s="77" t="e">
        <f>VLOOKUP(J626,'Component List'!Q$2:R$30,2,FALSE)</f>
        <v>#N/A</v>
      </c>
      <c r="Z626" s="77" t="e">
        <f>VLOOKUP(K626,'Component List'!S$2:T$30,2,FALSE)</f>
        <v>#N/A</v>
      </c>
      <c r="AA626" s="77" t="e">
        <f>VLOOKUP(L626,'Component List'!U$2:V$30,2,FALSE)</f>
        <v>#N/A</v>
      </c>
      <c r="AB626" s="77" t="e">
        <f>VLOOKUP(M626,'Component List'!AA$2:AB$30,2,FALSE)</f>
        <v>#N/A</v>
      </c>
      <c r="AC626" s="77" t="e">
        <f>VLOOKUP(N626,'Component List'!Y$2:Z$30,2,FALSE)</f>
        <v>#N/A</v>
      </c>
      <c r="AD626" s="159" t="e">
        <f>VLOOKUP(O626,'Component List'!W$3:X$30,2,FALSE)</f>
        <v>#N/A</v>
      </c>
    </row>
    <row r="627" spans="1:30" ht="30" customHeight="1" x14ac:dyDescent="0.3">
      <c r="A627" s="231"/>
      <c r="B627" s="173"/>
      <c r="C627" s="78"/>
      <c r="D627" s="78"/>
      <c r="E627" s="79"/>
      <c r="F627" s="78"/>
      <c r="G627" s="78"/>
      <c r="H627" s="78"/>
      <c r="I627" s="78"/>
      <c r="J627" s="78"/>
      <c r="K627" s="110"/>
      <c r="L627" s="110"/>
      <c r="M627" s="78"/>
      <c r="N627" s="78"/>
      <c r="O627" s="117"/>
      <c r="P627" s="114" t="e">
        <f t="shared" si="8"/>
        <v>#N/A</v>
      </c>
      <c r="Q627" s="77" t="e">
        <f>VLOOKUP($B627,'Component List'!$A$2:$B$30,2,FALSE)</f>
        <v>#N/A</v>
      </c>
      <c r="R627" s="77" t="e">
        <f>VLOOKUP($C627,'Component List'!C$2:D$28,2,FALSE)</f>
        <v>#N/A</v>
      </c>
      <c r="S627" s="77" t="e">
        <f>VLOOKUP($D627,'Component List'!E$2:F$30,2,FALSE)</f>
        <v>#N/A</v>
      </c>
      <c r="T627" s="77" t="e">
        <f>VLOOKUP($E627,'Component List'!G$2:H$30,2,FALSE)</f>
        <v>#N/A</v>
      </c>
      <c r="U627" s="77" t="e">
        <f>VLOOKUP($F627,'Component List'!I$2:J$30,2,FALSE)</f>
        <v>#N/A</v>
      </c>
      <c r="V627" s="77" t="e">
        <f>VLOOKUP(G627,'Component List'!K$2:L$30,2,FALSE)</f>
        <v>#N/A</v>
      </c>
      <c r="W627" s="77" t="e">
        <f>VLOOKUP(H627,'Component List'!M$2:N$31,2,FALSE)</f>
        <v>#N/A</v>
      </c>
      <c r="X627" s="77" t="e">
        <f>VLOOKUP(I627,'Component List'!O$2:P$30,2,FALSE)</f>
        <v>#N/A</v>
      </c>
      <c r="Y627" s="77" t="e">
        <f>VLOOKUP(J627,'Component List'!Q$2:R$30,2,FALSE)</f>
        <v>#N/A</v>
      </c>
      <c r="Z627" s="77" t="e">
        <f>VLOOKUP(K627,'Component List'!S$2:T$30,2,FALSE)</f>
        <v>#N/A</v>
      </c>
      <c r="AA627" s="77" t="e">
        <f>VLOOKUP(L627,'Component List'!U$2:V$30,2,FALSE)</f>
        <v>#N/A</v>
      </c>
      <c r="AB627" s="77" t="e">
        <f>VLOOKUP(M627,'Component List'!AA$2:AB$30,2,FALSE)</f>
        <v>#N/A</v>
      </c>
      <c r="AC627" s="77" t="e">
        <f>VLOOKUP(N627,'Component List'!Y$2:Z$30,2,FALSE)</f>
        <v>#N/A</v>
      </c>
      <c r="AD627" s="159" t="e">
        <f>VLOOKUP(O627,'Component List'!W$3:X$30,2,FALSE)</f>
        <v>#N/A</v>
      </c>
    </row>
    <row r="628" spans="1:30" ht="30" customHeight="1" x14ac:dyDescent="0.3">
      <c r="A628" s="231"/>
      <c r="B628" s="173"/>
      <c r="C628" s="78"/>
      <c r="D628" s="78"/>
      <c r="E628" s="79"/>
      <c r="F628" s="78"/>
      <c r="G628" s="78"/>
      <c r="H628" s="78"/>
      <c r="I628" s="78"/>
      <c r="J628" s="78"/>
      <c r="K628" s="110"/>
      <c r="L628" s="110"/>
      <c r="M628" s="78"/>
      <c r="N628" s="78"/>
      <c r="O628" s="117"/>
      <c r="P628" s="114" t="e">
        <f t="shared" si="8"/>
        <v>#N/A</v>
      </c>
      <c r="Q628" s="77" t="e">
        <f>VLOOKUP($B628,'Component List'!$A$2:$B$30,2,FALSE)</f>
        <v>#N/A</v>
      </c>
      <c r="R628" s="77" t="e">
        <f>VLOOKUP($C628,'Component List'!C$2:D$28,2,FALSE)</f>
        <v>#N/A</v>
      </c>
      <c r="S628" s="77" t="e">
        <f>VLOOKUP($D628,'Component List'!E$2:F$30,2,FALSE)</f>
        <v>#N/A</v>
      </c>
      <c r="T628" s="77" t="e">
        <f>VLOOKUP($E628,'Component List'!G$2:H$30,2,FALSE)</f>
        <v>#N/A</v>
      </c>
      <c r="U628" s="77" t="e">
        <f>VLOOKUP($F628,'Component List'!I$2:J$30,2,FALSE)</f>
        <v>#N/A</v>
      </c>
      <c r="V628" s="77" t="e">
        <f>VLOOKUP(G628,'Component List'!K$2:L$30,2,FALSE)</f>
        <v>#N/A</v>
      </c>
      <c r="W628" s="77" t="e">
        <f>VLOOKUP(H628,'Component List'!M$2:N$31,2,FALSE)</f>
        <v>#N/A</v>
      </c>
      <c r="X628" s="77" t="e">
        <f>VLOOKUP(I628,'Component List'!O$2:P$30,2,FALSE)</f>
        <v>#N/A</v>
      </c>
      <c r="Y628" s="77" t="e">
        <f>VLOOKUP(J628,'Component List'!Q$2:R$30,2,FALSE)</f>
        <v>#N/A</v>
      </c>
      <c r="Z628" s="77" t="e">
        <f>VLOOKUP(K628,'Component List'!S$2:T$30,2,FALSE)</f>
        <v>#N/A</v>
      </c>
      <c r="AA628" s="77" t="e">
        <f>VLOOKUP(L628,'Component List'!U$2:V$30,2,FALSE)</f>
        <v>#N/A</v>
      </c>
      <c r="AB628" s="77" t="e">
        <f>VLOOKUP(M628,'Component List'!AA$2:AB$30,2,FALSE)</f>
        <v>#N/A</v>
      </c>
      <c r="AC628" s="77" t="e">
        <f>VLOOKUP(N628,'Component List'!Y$2:Z$30,2,FALSE)</f>
        <v>#N/A</v>
      </c>
      <c r="AD628" s="159" t="e">
        <f>VLOOKUP(O628,'Component List'!W$3:X$30,2,FALSE)</f>
        <v>#N/A</v>
      </c>
    </row>
    <row r="629" spans="1:30" ht="30" customHeight="1" x14ac:dyDescent="0.3">
      <c r="A629" s="231"/>
      <c r="B629" s="173"/>
      <c r="C629" s="78"/>
      <c r="D629" s="78"/>
      <c r="E629" s="79"/>
      <c r="F629" s="78"/>
      <c r="G629" s="78"/>
      <c r="H629" s="78"/>
      <c r="I629" s="78"/>
      <c r="J629" s="78"/>
      <c r="K629" s="110"/>
      <c r="L629" s="110"/>
      <c r="M629" s="78"/>
      <c r="N629" s="78"/>
      <c r="O629" s="117"/>
      <c r="P629" s="114" t="e">
        <f t="shared" si="8"/>
        <v>#N/A</v>
      </c>
      <c r="Q629" s="77" t="e">
        <f>VLOOKUP($B629,'Component List'!$A$2:$B$30,2,FALSE)</f>
        <v>#N/A</v>
      </c>
      <c r="R629" s="77" t="e">
        <f>VLOOKUP($C629,'Component List'!C$2:D$28,2,FALSE)</f>
        <v>#N/A</v>
      </c>
      <c r="S629" s="77" t="e">
        <f>VLOOKUP($D629,'Component List'!E$2:F$30,2,FALSE)</f>
        <v>#N/A</v>
      </c>
      <c r="T629" s="77" t="e">
        <f>VLOOKUP($E629,'Component List'!G$2:H$30,2,FALSE)</f>
        <v>#N/A</v>
      </c>
      <c r="U629" s="77" t="e">
        <f>VLOOKUP($F629,'Component List'!I$2:J$30,2,FALSE)</f>
        <v>#N/A</v>
      </c>
      <c r="V629" s="77" t="e">
        <f>VLOOKUP(G629,'Component List'!K$2:L$30,2,FALSE)</f>
        <v>#N/A</v>
      </c>
      <c r="W629" s="77" t="e">
        <f>VLOOKUP(H629,'Component List'!M$2:N$31,2,FALSE)</f>
        <v>#N/A</v>
      </c>
      <c r="X629" s="77" t="e">
        <f>VLOOKUP(I629,'Component List'!O$2:P$30,2,FALSE)</f>
        <v>#N/A</v>
      </c>
      <c r="Y629" s="77" t="e">
        <f>VLOOKUP(J629,'Component List'!Q$2:R$30,2,FALSE)</f>
        <v>#N/A</v>
      </c>
      <c r="Z629" s="77" t="e">
        <f>VLOOKUP(K629,'Component List'!S$2:T$30,2,FALSE)</f>
        <v>#N/A</v>
      </c>
      <c r="AA629" s="77" t="e">
        <f>VLOOKUP(L629,'Component List'!U$2:V$30,2,FALSE)</f>
        <v>#N/A</v>
      </c>
      <c r="AB629" s="77" t="e">
        <f>VLOOKUP(M629,'Component List'!AA$2:AB$30,2,FALSE)</f>
        <v>#N/A</v>
      </c>
      <c r="AC629" s="77" t="e">
        <f>VLOOKUP(N629,'Component List'!Y$2:Z$30,2,FALSE)</f>
        <v>#N/A</v>
      </c>
      <c r="AD629" s="159" t="e">
        <f>VLOOKUP(O629,'Component List'!W$3:X$30,2,FALSE)</f>
        <v>#N/A</v>
      </c>
    </row>
    <row r="630" spans="1:30" ht="30" customHeight="1" x14ac:dyDescent="0.3">
      <c r="A630" s="231"/>
      <c r="B630" s="173"/>
      <c r="C630" s="78"/>
      <c r="D630" s="78"/>
      <c r="E630" s="79"/>
      <c r="F630" s="78"/>
      <c r="G630" s="78"/>
      <c r="H630" s="78"/>
      <c r="I630" s="78"/>
      <c r="J630" s="78"/>
      <c r="K630" s="110"/>
      <c r="L630" s="110"/>
      <c r="M630" s="78"/>
      <c r="N630" s="78"/>
      <c r="O630" s="117"/>
      <c r="P630" s="114" t="e">
        <f t="shared" si="8"/>
        <v>#N/A</v>
      </c>
      <c r="Q630" s="77" t="e">
        <f>VLOOKUP($B630,'Component List'!$A$2:$B$30,2,FALSE)</f>
        <v>#N/A</v>
      </c>
      <c r="R630" s="77" t="e">
        <f>VLOOKUP($C630,'Component List'!C$2:D$28,2,FALSE)</f>
        <v>#N/A</v>
      </c>
      <c r="S630" s="77" t="e">
        <f>VLOOKUP($D630,'Component List'!E$2:F$30,2,FALSE)</f>
        <v>#N/A</v>
      </c>
      <c r="T630" s="77" t="e">
        <f>VLOOKUP($E630,'Component List'!G$2:H$30,2,FALSE)</f>
        <v>#N/A</v>
      </c>
      <c r="U630" s="77" t="e">
        <f>VLOOKUP($F630,'Component List'!I$2:J$30,2,FALSE)</f>
        <v>#N/A</v>
      </c>
      <c r="V630" s="77" t="e">
        <f>VLOOKUP(G630,'Component List'!K$2:L$30,2,FALSE)</f>
        <v>#N/A</v>
      </c>
      <c r="W630" s="77" t="e">
        <f>VLOOKUP(H630,'Component List'!M$2:N$31,2,FALSE)</f>
        <v>#N/A</v>
      </c>
      <c r="X630" s="77" t="e">
        <f>VLOOKUP(I630,'Component List'!O$2:P$30,2,FALSE)</f>
        <v>#N/A</v>
      </c>
      <c r="Y630" s="77" t="e">
        <f>VLOOKUP(J630,'Component List'!Q$2:R$30,2,FALSE)</f>
        <v>#N/A</v>
      </c>
      <c r="Z630" s="77" t="e">
        <f>VLOOKUP(K630,'Component List'!S$2:T$30,2,FALSE)</f>
        <v>#N/A</v>
      </c>
      <c r="AA630" s="77" t="e">
        <f>VLOOKUP(L630,'Component List'!U$2:V$30,2,FALSE)</f>
        <v>#N/A</v>
      </c>
      <c r="AB630" s="77" t="e">
        <f>VLOOKUP(M630,'Component List'!AA$2:AB$30,2,FALSE)</f>
        <v>#N/A</v>
      </c>
      <c r="AC630" s="77" t="e">
        <f>VLOOKUP(N630,'Component List'!Y$2:Z$30,2,FALSE)</f>
        <v>#N/A</v>
      </c>
      <c r="AD630" s="159" t="e">
        <f>VLOOKUP(O630,'Component List'!W$3:X$30,2,FALSE)</f>
        <v>#N/A</v>
      </c>
    </row>
    <row r="631" spans="1:30" ht="30" customHeight="1" x14ac:dyDescent="0.3">
      <c r="A631" s="231"/>
      <c r="B631" s="173"/>
      <c r="C631" s="78"/>
      <c r="D631" s="78"/>
      <c r="E631" s="79"/>
      <c r="F631" s="78"/>
      <c r="G631" s="78"/>
      <c r="H631" s="78"/>
      <c r="I631" s="78"/>
      <c r="J631" s="78"/>
      <c r="K631" s="110"/>
      <c r="L631" s="110"/>
      <c r="M631" s="78"/>
      <c r="N631" s="78"/>
      <c r="O631" s="117"/>
      <c r="P631" s="114" t="e">
        <f t="shared" si="8"/>
        <v>#N/A</v>
      </c>
      <c r="Q631" s="77" t="e">
        <f>VLOOKUP($B631,'Component List'!$A$2:$B$30,2,FALSE)</f>
        <v>#N/A</v>
      </c>
      <c r="R631" s="77" t="e">
        <f>VLOOKUP($C631,'Component List'!C$2:D$28,2,FALSE)</f>
        <v>#N/A</v>
      </c>
      <c r="S631" s="77" t="e">
        <f>VLOOKUP($D631,'Component List'!E$2:F$30,2,FALSE)</f>
        <v>#N/A</v>
      </c>
      <c r="T631" s="77" t="e">
        <f>VLOOKUP($E631,'Component List'!G$2:H$30,2,FALSE)</f>
        <v>#N/A</v>
      </c>
      <c r="U631" s="77" t="e">
        <f>VLOOKUP($F631,'Component List'!I$2:J$30,2,FALSE)</f>
        <v>#N/A</v>
      </c>
      <c r="V631" s="77" t="e">
        <f>VLOOKUP(G631,'Component List'!K$2:L$30,2,FALSE)</f>
        <v>#N/A</v>
      </c>
      <c r="W631" s="77" t="e">
        <f>VLOOKUP(H631,'Component List'!M$2:N$31,2,FALSE)</f>
        <v>#N/A</v>
      </c>
      <c r="X631" s="77" t="e">
        <f>VLOOKUP(I631,'Component List'!O$2:P$30,2,FALSE)</f>
        <v>#N/A</v>
      </c>
      <c r="Y631" s="77" t="e">
        <f>VLOOKUP(J631,'Component List'!Q$2:R$30,2,FALSE)</f>
        <v>#N/A</v>
      </c>
      <c r="Z631" s="77" t="e">
        <f>VLOOKUP(K631,'Component List'!S$2:T$30,2,FALSE)</f>
        <v>#N/A</v>
      </c>
      <c r="AA631" s="77" t="e">
        <f>VLOOKUP(L631,'Component List'!U$2:V$30,2,FALSE)</f>
        <v>#N/A</v>
      </c>
      <c r="AB631" s="77" t="e">
        <f>VLOOKUP(M631,'Component List'!AA$2:AB$30,2,FALSE)</f>
        <v>#N/A</v>
      </c>
      <c r="AC631" s="77" t="e">
        <f>VLOOKUP(N631,'Component List'!Y$2:Z$30,2,FALSE)</f>
        <v>#N/A</v>
      </c>
      <c r="AD631" s="159" t="e">
        <f>VLOOKUP(O631,'Component List'!W$3:X$30,2,FALSE)</f>
        <v>#N/A</v>
      </c>
    </row>
    <row r="632" spans="1:30" ht="30" customHeight="1" x14ac:dyDescent="0.3">
      <c r="A632" s="231"/>
      <c r="B632" s="173"/>
      <c r="C632" s="78"/>
      <c r="D632" s="78"/>
      <c r="E632" s="79"/>
      <c r="F632" s="78"/>
      <c r="G632" s="78"/>
      <c r="H632" s="78"/>
      <c r="I632" s="78"/>
      <c r="J632" s="78"/>
      <c r="K632" s="110"/>
      <c r="L632" s="110"/>
      <c r="M632" s="78"/>
      <c r="N632" s="78"/>
      <c r="O632" s="117"/>
      <c r="P632" s="114" t="e">
        <f t="shared" si="8"/>
        <v>#N/A</v>
      </c>
      <c r="Q632" s="77" t="e">
        <f>VLOOKUP($B632,'Component List'!$A$2:$B$30,2,FALSE)</f>
        <v>#N/A</v>
      </c>
      <c r="R632" s="77" t="e">
        <f>VLOOKUP($C632,'Component List'!C$2:D$28,2,FALSE)</f>
        <v>#N/A</v>
      </c>
      <c r="S632" s="77" t="e">
        <f>VLOOKUP($D632,'Component List'!E$2:F$30,2,FALSE)</f>
        <v>#N/A</v>
      </c>
      <c r="T632" s="77" t="e">
        <f>VLOOKUP($E632,'Component List'!G$2:H$30,2,FALSE)</f>
        <v>#N/A</v>
      </c>
      <c r="U632" s="77" t="e">
        <f>VLOOKUP($F632,'Component List'!I$2:J$30,2,FALSE)</f>
        <v>#N/A</v>
      </c>
      <c r="V632" s="77" t="e">
        <f>VLOOKUP(G632,'Component List'!K$2:L$30,2,FALSE)</f>
        <v>#N/A</v>
      </c>
      <c r="W632" s="77" t="e">
        <f>VLOOKUP(H632,'Component List'!M$2:N$31,2,FALSE)</f>
        <v>#N/A</v>
      </c>
      <c r="X632" s="77" t="e">
        <f>VLOOKUP(I632,'Component List'!O$2:P$30,2,FALSE)</f>
        <v>#N/A</v>
      </c>
      <c r="Y632" s="77" t="e">
        <f>VLOOKUP(J632,'Component List'!Q$2:R$30,2,FALSE)</f>
        <v>#N/A</v>
      </c>
      <c r="Z632" s="77" t="e">
        <f>VLOOKUP(K632,'Component List'!S$2:T$30,2,FALSE)</f>
        <v>#N/A</v>
      </c>
      <c r="AA632" s="77" t="e">
        <f>VLOOKUP(L632,'Component List'!U$2:V$30,2,FALSE)</f>
        <v>#N/A</v>
      </c>
      <c r="AB632" s="77" t="e">
        <f>VLOOKUP(M632,'Component List'!AA$2:AB$30,2,FALSE)</f>
        <v>#N/A</v>
      </c>
      <c r="AC632" s="77" t="e">
        <f>VLOOKUP(N632,'Component List'!Y$2:Z$30,2,FALSE)</f>
        <v>#N/A</v>
      </c>
      <c r="AD632" s="159" t="e">
        <f>VLOOKUP(O632,'Component List'!W$3:X$30,2,FALSE)</f>
        <v>#N/A</v>
      </c>
    </row>
    <row r="633" spans="1:30" ht="30" customHeight="1" x14ac:dyDescent="0.3">
      <c r="A633" s="231"/>
      <c r="B633" s="173"/>
      <c r="C633" s="78"/>
      <c r="D633" s="78"/>
      <c r="E633" s="79"/>
      <c r="F633" s="78"/>
      <c r="G633" s="78"/>
      <c r="H633" s="78"/>
      <c r="I633" s="78"/>
      <c r="J633" s="78"/>
      <c r="K633" s="110"/>
      <c r="L633" s="110"/>
      <c r="M633" s="78"/>
      <c r="N633" s="78"/>
      <c r="O633" s="117"/>
      <c r="P633" s="114" t="e">
        <f t="shared" si="8"/>
        <v>#N/A</v>
      </c>
      <c r="Q633" s="77" t="e">
        <f>VLOOKUP($B633,'Component List'!$A$2:$B$30,2,FALSE)</f>
        <v>#N/A</v>
      </c>
      <c r="R633" s="77" t="e">
        <f>VLOOKUP($C633,'Component List'!C$2:D$28,2,FALSE)</f>
        <v>#N/A</v>
      </c>
      <c r="S633" s="77" t="e">
        <f>VLOOKUP($D633,'Component List'!E$2:F$30,2,FALSE)</f>
        <v>#N/A</v>
      </c>
      <c r="T633" s="77" t="e">
        <f>VLOOKUP($E633,'Component List'!G$2:H$30,2,FALSE)</f>
        <v>#N/A</v>
      </c>
      <c r="U633" s="77" t="e">
        <f>VLOOKUP($F633,'Component List'!I$2:J$30,2,FALSE)</f>
        <v>#N/A</v>
      </c>
      <c r="V633" s="77" t="e">
        <f>VLOOKUP(G633,'Component List'!K$2:L$30,2,FALSE)</f>
        <v>#N/A</v>
      </c>
      <c r="W633" s="77" t="e">
        <f>VLOOKUP(H633,'Component List'!M$2:N$31,2,FALSE)</f>
        <v>#N/A</v>
      </c>
      <c r="X633" s="77" t="e">
        <f>VLOOKUP(I633,'Component List'!O$2:P$30,2,FALSE)</f>
        <v>#N/A</v>
      </c>
      <c r="Y633" s="77" t="e">
        <f>VLOOKUP(J633,'Component List'!Q$2:R$30,2,FALSE)</f>
        <v>#N/A</v>
      </c>
      <c r="Z633" s="77" t="e">
        <f>VLOOKUP(K633,'Component List'!S$2:T$30,2,FALSE)</f>
        <v>#N/A</v>
      </c>
      <c r="AA633" s="77" t="e">
        <f>VLOOKUP(L633,'Component List'!U$2:V$30,2,FALSE)</f>
        <v>#N/A</v>
      </c>
      <c r="AB633" s="77" t="e">
        <f>VLOOKUP(M633,'Component List'!AA$2:AB$30,2,FALSE)</f>
        <v>#N/A</v>
      </c>
      <c r="AC633" s="77" t="e">
        <f>VLOOKUP(N633,'Component List'!Y$2:Z$30,2,FALSE)</f>
        <v>#N/A</v>
      </c>
      <c r="AD633" s="159" t="e">
        <f>VLOOKUP(O633,'Component List'!W$3:X$30,2,FALSE)</f>
        <v>#N/A</v>
      </c>
    </row>
    <row r="634" spans="1:30" ht="30" customHeight="1" x14ac:dyDescent="0.3">
      <c r="A634" s="231"/>
      <c r="B634" s="173"/>
      <c r="C634" s="78"/>
      <c r="D634" s="78"/>
      <c r="E634" s="79"/>
      <c r="F634" s="78"/>
      <c r="G634" s="78"/>
      <c r="H634" s="78"/>
      <c r="I634" s="78"/>
      <c r="J634" s="78"/>
      <c r="K634" s="110"/>
      <c r="L634" s="110"/>
      <c r="M634" s="78"/>
      <c r="N634" s="78"/>
      <c r="O634" s="117"/>
      <c r="P634" s="114" t="e">
        <f t="shared" si="8"/>
        <v>#N/A</v>
      </c>
      <c r="Q634" s="77" t="e">
        <f>VLOOKUP($B634,'Component List'!$A$2:$B$30,2,FALSE)</f>
        <v>#N/A</v>
      </c>
      <c r="R634" s="77" t="e">
        <f>VLOOKUP($C634,'Component List'!C$2:D$28,2,FALSE)</f>
        <v>#N/A</v>
      </c>
      <c r="S634" s="77" t="e">
        <f>VLOOKUP($D634,'Component List'!E$2:F$30,2,FALSE)</f>
        <v>#N/A</v>
      </c>
      <c r="T634" s="77" t="e">
        <f>VLOOKUP($E634,'Component List'!G$2:H$30,2,FALSE)</f>
        <v>#N/A</v>
      </c>
      <c r="U634" s="77" t="e">
        <f>VLOOKUP($F634,'Component List'!I$2:J$30,2,FALSE)</f>
        <v>#N/A</v>
      </c>
      <c r="V634" s="77" t="e">
        <f>VLOOKUP(G634,'Component List'!K$2:L$30,2,FALSE)</f>
        <v>#N/A</v>
      </c>
      <c r="W634" s="77" t="e">
        <f>VLOOKUP(H634,'Component List'!M$2:N$31,2,FALSE)</f>
        <v>#N/A</v>
      </c>
      <c r="X634" s="77" t="e">
        <f>VLOOKUP(I634,'Component List'!O$2:P$30,2,FALSE)</f>
        <v>#N/A</v>
      </c>
      <c r="Y634" s="77" t="e">
        <f>VLOOKUP(J634,'Component List'!Q$2:R$30,2,FALSE)</f>
        <v>#N/A</v>
      </c>
      <c r="Z634" s="77" t="e">
        <f>VLOOKUP(K634,'Component List'!S$2:T$30,2,FALSE)</f>
        <v>#N/A</v>
      </c>
      <c r="AA634" s="77" t="e">
        <f>VLOOKUP(L634,'Component List'!U$2:V$30,2,FALSE)</f>
        <v>#N/A</v>
      </c>
      <c r="AB634" s="77" t="e">
        <f>VLOOKUP(M634,'Component List'!AA$2:AB$30,2,FALSE)</f>
        <v>#N/A</v>
      </c>
      <c r="AC634" s="77" t="e">
        <f>VLOOKUP(N634,'Component List'!Y$2:Z$30,2,FALSE)</f>
        <v>#N/A</v>
      </c>
      <c r="AD634" s="159" t="e">
        <f>VLOOKUP(O634,'Component List'!W$3:X$30,2,FALSE)</f>
        <v>#N/A</v>
      </c>
    </row>
    <row r="635" spans="1:30" ht="30" customHeight="1" x14ac:dyDescent="0.3">
      <c r="A635" s="231"/>
      <c r="B635" s="173"/>
      <c r="C635" s="78"/>
      <c r="D635" s="78"/>
      <c r="E635" s="79"/>
      <c r="F635" s="78"/>
      <c r="G635" s="78"/>
      <c r="H635" s="78"/>
      <c r="I635" s="78"/>
      <c r="J635" s="78"/>
      <c r="K635" s="110"/>
      <c r="L635" s="110"/>
      <c r="M635" s="78"/>
      <c r="N635" s="78"/>
      <c r="O635" s="117"/>
      <c r="P635" s="114" t="e">
        <f t="shared" si="8"/>
        <v>#N/A</v>
      </c>
      <c r="Q635" s="77" t="e">
        <f>VLOOKUP($B635,'Component List'!$A$2:$B$30,2,FALSE)</f>
        <v>#N/A</v>
      </c>
      <c r="R635" s="77" t="e">
        <f>VLOOKUP($C635,'Component List'!C$2:D$28,2,FALSE)</f>
        <v>#N/A</v>
      </c>
      <c r="S635" s="77" t="e">
        <f>VLOOKUP($D635,'Component List'!E$2:F$30,2,FALSE)</f>
        <v>#N/A</v>
      </c>
      <c r="T635" s="77" t="e">
        <f>VLOOKUP($E635,'Component List'!G$2:H$30,2,FALSE)</f>
        <v>#N/A</v>
      </c>
      <c r="U635" s="77" t="e">
        <f>VLOOKUP($F635,'Component List'!I$2:J$30,2,FALSE)</f>
        <v>#N/A</v>
      </c>
      <c r="V635" s="77" t="e">
        <f>VLOOKUP(G635,'Component List'!K$2:L$30,2,FALSE)</f>
        <v>#N/A</v>
      </c>
      <c r="W635" s="77" t="e">
        <f>VLOOKUP(H635,'Component List'!M$2:N$31,2,FALSE)</f>
        <v>#N/A</v>
      </c>
      <c r="X635" s="77" t="e">
        <f>VLOOKUP(I635,'Component List'!O$2:P$30,2,FALSE)</f>
        <v>#N/A</v>
      </c>
      <c r="Y635" s="77" t="e">
        <f>VLOOKUP(J635,'Component List'!Q$2:R$30,2,FALSE)</f>
        <v>#N/A</v>
      </c>
      <c r="Z635" s="77" t="e">
        <f>VLOOKUP(K635,'Component List'!S$2:T$30,2,FALSE)</f>
        <v>#N/A</v>
      </c>
      <c r="AA635" s="77" t="e">
        <f>VLOOKUP(L635,'Component List'!U$2:V$30,2,FALSE)</f>
        <v>#N/A</v>
      </c>
      <c r="AB635" s="77" t="e">
        <f>VLOOKUP(M635,'Component List'!AA$2:AB$30,2,FALSE)</f>
        <v>#N/A</v>
      </c>
      <c r="AC635" s="77" t="e">
        <f>VLOOKUP(N635,'Component List'!Y$2:Z$30,2,FALSE)</f>
        <v>#N/A</v>
      </c>
      <c r="AD635" s="159" t="e">
        <f>VLOOKUP(O635,'Component List'!W$3:X$30,2,FALSE)</f>
        <v>#N/A</v>
      </c>
    </row>
    <row r="636" spans="1:30" ht="30" customHeight="1" x14ac:dyDescent="0.3">
      <c r="A636" s="231"/>
      <c r="B636" s="173"/>
      <c r="C636" s="78"/>
      <c r="D636" s="78"/>
      <c r="E636" s="79"/>
      <c r="F636" s="78"/>
      <c r="G636" s="78"/>
      <c r="H636" s="78"/>
      <c r="I636" s="78"/>
      <c r="J636" s="78"/>
      <c r="K636" s="110"/>
      <c r="L636" s="110"/>
      <c r="M636" s="78"/>
      <c r="N636" s="78"/>
      <c r="O636" s="117"/>
      <c r="P636" s="114" t="e">
        <f t="shared" si="8"/>
        <v>#N/A</v>
      </c>
      <c r="Q636" s="77" t="e">
        <f>VLOOKUP($B636,'Component List'!$A$2:$B$30,2,FALSE)</f>
        <v>#N/A</v>
      </c>
      <c r="R636" s="77" t="e">
        <f>VLOOKUP($C636,'Component List'!C$2:D$28,2,FALSE)</f>
        <v>#N/A</v>
      </c>
      <c r="S636" s="77" t="e">
        <f>VLOOKUP($D636,'Component List'!E$2:F$30,2,FALSE)</f>
        <v>#N/A</v>
      </c>
      <c r="T636" s="77" t="e">
        <f>VLOOKUP($E636,'Component List'!G$2:H$30,2,FALSE)</f>
        <v>#N/A</v>
      </c>
      <c r="U636" s="77" t="e">
        <f>VLOOKUP($F636,'Component List'!I$2:J$30,2,FALSE)</f>
        <v>#N/A</v>
      </c>
      <c r="V636" s="77" t="e">
        <f>VLOOKUP(G636,'Component List'!K$2:L$30,2,FALSE)</f>
        <v>#N/A</v>
      </c>
      <c r="W636" s="77" t="e">
        <f>VLOOKUP(H636,'Component List'!M$2:N$31,2,FALSE)</f>
        <v>#N/A</v>
      </c>
      <c r="X636" s="77" t="e">
        <f>VLOOKUP(I636,'Component List'!O$2:P$30,2,FALSE)</f>
        <v>#N/A</v>
      </c>
      <c r="Y636" s="77" t="e">
        <f>VLOOKUP(J636,'Component List'!Q$2:R$30,2,FALSE)</f>
        <v>#N/A</v>
      </c>
      <c r="Z636" s="77" t="e">
        <f>VLOOKUP(K636,'Component List'!S$2:T$30,2,FALSE)</f>
        <v>#N/A</v>
      </c>
      <c r="AA636" s="77" t="e">
        <f>VLOOKUP(L636,'Component List'!U$2:V$30,2,FALSE)</f>
        <v>#N/A</v>
      </c>
      <c r="AB636" s="77" t="e">
        <f>VLOOKUP(M636,'Component List'!AA$2:AB$30,2,FALSE)</f>
        <v>#N/A</v>
      </c>
      <c r="AC636" s="77" t="e">
        <f>VLOOKUP(N636,'Component List'!Y$2:Z$30,2,FALSE)</f>
        <v>#N/A</v>
      </c>
      <c r="AD636" s="159" t="e">
        <f>VLOOKUP(O636,'Component List'!W$3:X$30,2,FALSE)</f>
        <v>#N/A</v>
      </c>
    </row>
    <row r="637" spans="1:30" ht="30" customHeight="1" x14ac:dyDescent="0.3">
      <c r="A637" s="231"/>
      <c r="B637" s="173"/>
      <c r="C637" s="78"/>
      <c r="D637" s="78"/>
      <c r="E637" s="79"/>
      <c r="F637" s="78"/>
      <c r="G637" s="78"/>
      <c r="H637" s="78"/>
      <c r="I637" s="78"/>
      <c r="J637" s="78"/>
      <c r="K637" s="110"/>
      <c r="L637" s="110"/>
      <c r="M637" s="78"/>
      <c r="N637" s="78"/>
      <c r="O637" s="117"/>
      <c r="P637" s="114" t="e">
        <f t="shared" si="8"/>
        <v>#N/A</v>
      </c>
      <c r="Q637" s="77" t="e">
        <f>VLOOKUP($B637,'Component List'!$A$2:$B$30,2,FALSE)</f>
        <v>#N/A</v>
      </c>
      <c r="R637" s="77" t="e">
        <f>VLOOKUP($C637,'Component List'!C$2:D$28,2,FALSE)</f>
        <v>#N/A</v>
      </c>
      <c r="S637" s="77" t="e">
        <f>VLOOKUP($D637,'Component List'!E$2:F$30,2,FALSE)</f>
        <v>#N/A</v>
      </c>
      <c r="T637" s="77" t="e">
        <f>VLOOKUP($E637,'Component List'!G$2:H$30,2,FALSE)</f>
        <v>#N/A</v>
      </c>
      <c r="U637" s="77" t="e">
        <f>VLOOKUP($F637,'Component List'!I$2:J$30,2,FALSE)</f>
        <v>#N/A</v>
      </c>
      <c r="V637" s="77" t="e">
        <f>VLOOKUP(G637,'Component List'!K$2:L$30,2,FALSE)</f>
        <v>#N/A</v>
      </c>
      <c r="W637" s="77" t="e">
        <f>VLOOKUP(H637,'Component List'!M$2:N$31,2,FALSE)</f>
        <v>#N/A</v>
      </c>
      <c r="X637" s="77" t="e">
        <f>VLOOKUP(I637,'Component List'!O$2:P$30,2,FALSE)</f>
        <v>#N/A</v>
      </c>
      <c r="Y637" s="77" t="e">
        <f>VLOOKUP(J637,'Component List'!Q$2:R$30,2,FALSE)</f>
        <v>#N/A</v>
      </c>
      <c r="Z637" s="77" t="e">
        <f>VLOOKUP(K637,'Component List'!S$2:T$30,2,FALSE)</f>
        <v>#N/A</v>
      </c>
      <c r="AA637" s="77" t="e">
        <f>VLOOKUP(L637,'Component List'!U$2:V$30,2,FALSE)</f>
        <v>#N/A</v>
      </c>
      <c r="AB637" s="77" t="e">
        <f>VLOOKUP(M637,'Component List'!AA$2:AB$30,2,FALSE)</f>
        <v>#N/A</v>
      </c>
      <c r="AC637" s="77" t="e">
        <f>VLOOKUP(N637,'Component List'!Y$2:Z$30,2,FALSE)</f>
        <v>#N/A</v>
      </c>
      <c r="AD637" s="159" t="e">
        <f>VLOOKUP(O637,'Component List'!W$3:X$30,2,FALSE)</f>
        <v>#N/A</v>
      </c>
    </row>
    <row r="638" spans="1:30" ht="30" customHeight="1" x14ac:dyDescent="0.3">
      <c r="A638" s="231"/>
      <c r="B638" s="173"/>
      <c r="C638" s="78"/>
      <c r="D638" s="78"/>
      <c r="E638" s="79"/>
      <c r="F638" s="78"/>
      <c r="G638" s="78"/>
      <c r="H638" s="78"/>
      <c r="I638" s="78"/>
      <c r="J638" s="78"/>
      <c r="K638" s="110"/>
      <c r="L638" s="110"/>
      <c r="M638" s="78"/>
      <c r="N638" s="78"/>
      <c r="O638" s="117"/>
      <c r="P638" s="114" t="e">
        <f t="shared" si="8"/>
        <v>#N/A</v>
      </c>
      <c r="Q638" s="77" t="e">
        <f>VLOOKUP($B638,'Component List'!$A$2:$B$30,2,FALSE)</f>
        <v>#N/A</v>
      </c>
      <c r="R638" s="77" t="e">
        <f>VLOOKUP($C638,'Component List'!C$2:D$28,2,FALSE)</f>
        <v>#N/A</v>
      </c>
      <c r="S638" s="77" t="e">
        <f>VLOOKUP($D638,'Component List'!E$2:F$30,2,FALSE)</f>
        <v>#N/A</v>
      </c>
      <c r="T638" s="77" t="e">
        <f>VLOOKUP($E638,'Component List'!G$2:H$30,2,FALSE)</f>
        <v>#N/A</v>
      </c>
      <c r="U638" s="77" t="e">
        <f>VLOOKUP($F638,'Component List'!I$2:J$30,2,FALSE)</f>
        <v>#N/A</v>
      </c>
      <c r="V638" s="77" t="e">
        <f>VLOOKUP(G638,'Component List'!K$2:L$30,2,FALSE)</f>
        <v>#N/A</v>
      </c>
      <c r="W638" s="77" t="e">
        <f>VLOOKUP(H638,'Component List'!M$2:N$31,2,FALSE)</f>
        <v>#N/A</v>
      </c>
      <c r="X638" s="77" t="e">
        <f>VLOOKUP(I638,'Component List'!O$2:P$30,2,FALSE)</f>
        <v>#N/A</v>
      </c>
      <c r="Y638" s="77" t="e">
        <f>VLOOKUP(J638,'Component List'!Q$2:R$30,2,FALSE)</f>
        <v>#N/A</v>
      </c>
      <c r="Z638" s="77" t="e">
        <f>VLOOKUP(K638,'Component List'!S$2:T$30,2,FALSE)</f>
        <v>#N/A</v>
      </c>
      <c r="AA638" s="77" t="e">
        <f>VLOOKUP(L638,'Component List'!U$2:V$30,2,FALSE)</f>
        <v>#N/A</v>
      </c>
      <c r="AB638" s="77" t="e">
        <f>VLOOKUP(M638,'Component List'!AA$2:AB$30,2,FALSE)</f>
        <v>#N/A</v>
      </c>
      <c r="AC638" s="77" t="e">
        <f>VLOOKUP(N638,'Component List'!Y$2:Z$30,2,FALSE)</f>
        <v>#N/A</v>
      </c>
      <c r="AD638" s="159" t="e">
        <f>VLOOKUP(O638,'Component List'!W$3:X$30,2,FALSE)</f>
        <v>#N/A</v>
      </c>
    </row>
    <row r="639" spans="1:30" ht="30" customHeight="1" x14ac:dyDescent="0.3">
      <c r="A639" s="231"/>
      <c r="B639" s="173"/>
      <c r="C639" s="78"/>
      <c r="D639" s="78"/>
      <c r="E639" s="79"/>
      <c r="F639" s="78"/>
      <c r="G639" s="78"/>
      <c r="H639" s="78"/>
      <c r="I639" s="78"/>
      <c r="J639" s="78"/>
      <c r="K639" s="110"/>
      <c r="L639" s="110"/>
      <c r="M639" s="78"/>
      <c r="N639" s="78"/>
      <c r="O639" s="117"/>
      <c r="P639" s="114" t="e">
        <f t="shared" si="8"/>
        <v>#N/A</v>
      </c>
      <c r="Q639" s="77" t="e">
        <f>VLOOKUP($B639,'Component List'!$A$2:$B$30,2,FALSE)</f>
        <v>#N/A</v>
      </c>
      <c r="R639" s="77" t="e">
        <f>VLOOKUP($C639,'Component List'!C$2:D$28,2,FALSE)</f>
        <v>#N/A</v>
      </c>
      <c r="S639" s="77" t="e">
        <f>VLOOKUP($D639,'Component List'!E$2:F$30,2,FALSE)</f>
        <v>#N/A</v>
      </c>
      <c r="T639" s="77" t="e">
        <f>VLOOKUP($E639,'Component List'!G$2:H$30,2,FALSE)</f>
        <v>#N/A</v>
      </c>
      <c r="U639" s="77" t="e">
        <f>VLOOKUP($F639,'Component List'!I$2:J$30,2,FALSE)</f>
        <v>#N/A</v>
      </c>
      <c r="V639" s="77" t="e">
        <f>VLOOKUP(G639,'Component List'!K$2:L$30,2,FALSE)</f>
        <v>#N/A</v>
      </c>
      <c r="W639" s="77" t="e">
        <f>VLOOKUP(H639,'Component List'!M$2:N$31,2,FALSE)</f>
        <v>#N/A</v>
      </c>
      <c r="X639" s="77" t="e">
        <f>VLOOKUP(I639,'Component List'!O$2:P$30,2,FALSE)</f>
        <v>#N/A</v>
      </c>
      <c r="Y639" s="77" t="e">
        <f>VLOOKUP(J639,'Component List'!Q$2:R$30,2,FALSE)</f>
        <v>#N/A</v>
      </c>
      <c r="Z639" s="77" t="e">
        <f>VLOOKUP(K639,'Component List'!S$2:T$30,2,FALSE)</f>
        <v>#N/A</v>
      </c>
      <c r="AA639" s="77" t="e">
        <f>VLOOKUP(L639,'Component List'!U$2:V$30,2,FALSE)</f>
        <v>#N/A</v>
      </c>
      <c r="AB639" s="77" t="e">
        <f>VLOOKUP(M639,'Component List'!AA$2:AB$30,2,FALSE)</f>
        <v>#N/A</v>
      </c>
      <c r="AC639" s="77" t="e">
        <f>VLOOKUP(N639,'Component List'!Y$2:Z$30,2,FALSE)</f>
        <v>#N/A</v>
      </c>
      <c r="AD639" s="159" t="e">
        <f>VLOOKUP(O639,'Component List'!W$3:X$30,2,FALSE)</f>
        <v>#N/A</v>
      </c>
    </row>
    <row r="640" spans="1:30" ht="30" customHeight="1" x14ac:dyDescent="0.3">
      <c r="A640" s="231"/>
      <c r="B640" s="173"/>
      <c r="C640" s="78"/>
      <c r="D640" s="78"/>
      <c r="E640" s="79"/>
      <c r="F640" s="78"/>
      <c r="G640" s="78"/>
      <c r="H640" s="78"/>
      <c r="I640" s="78"/>
      <c r="J640" s="78"/>
      <c r="K640" s="110"/>
      <c r="L640" s="110"/>
      <c r="M640" s="78"/>
      <c r="N640" s="78"/>
      <c r="O640" s="117"/>
      <c r="P640" s="114" t="e">
        <f t="shared" si="8"/>
        <v>#N/A</v>
      </c>
      <c r="Q640" s="77" t="e">
        <f>VLOOKUP($B640,'Component List'!$A$2:$B$30,2,FALSE)</f>
        <v>#N/A</v>
      </c>
      <c r="R640" s="77" t="e">
        <f>VLOOKUP($C640,'Component List'!C$2:D$28,2,FALSE)</f>
        <v>#N/A</v>
      </c>
      <c r="S640" s="77" t="e">
        <f>VLOOKUP($D640,'Component List'!E$2:F$30,2,FALSE)</f>
        <v>#N/A</v>
      </c>
      <c r="T640" s="77" t="e">
        <f>VLOOKUP($E640,'Component List'!G$2:H$30,2,FALSE)</f>
        <v>#N/A</v>
      </c>
      <c r="U640" s="77" t="e">
        <f>VLOOKUP($F640,'Component List'!I$2:J$30,2,FALSE)</f>
        <v>#N/A</v>
      </c>
      <c r="V640" s="77" t="e">
        <f>VLOOKUP(G640,'Component List'!K$2:L$30,2,FALSE)</f>
        <v>#N/A</v>
      </c>
      <c r="W640" s="77" t="e">
        <f>VLOOKUP(H640,'Component List'!M$2:N$31,2,FALSE)</f>
        <v>#N/A</v>
      </c>
      <c r="X640" s="77" t="e">
        <f>VLOOKUP(I640,'Component List'!O$2:P$30,2,FALSE)</f>
        <v>#N/A</v>
      </c>
      <c r="Y640" s="77" t="e">
        <f>VLOOKUP(J640,'Component List'!Q$2:R$30,2,FALSE)</f>
        <v>#N/A</v>
      </c>
      <c r="Z640" s="77" t="e">
        <f>VLOOKUP(K640,'Component List'!S$2:T$30,2,FALSE)</f>
        <v>#N/A</v>
      </c>
      <c r="AA640" s="77" t="e">
        <f>VLOOKUP(L640,'Component List'!U$2:V$30,2,FALSE)</f>
        <v>#N/A</v>
      </c>
      <c r="AB640" s="77" t="e">
        <f>VLOOKUP(M640,'Component List'!AA$2:AB$30,2,FALSE)</f>
        <v>#N/A</v>
      </c>
      <c r="AC640" s="77" t="e">
        <f>VLOOKUP(N640,'Component List'!Y$2:Z$30,2,FALSE)</f>
        <v>#N/A</v>
      </c>
      <c r="AD640" s="159" t="e">
        <f>VLOOKUP(O640,'Component List'!W$3:X$30,2,FALSE)</f>
        <v>#N/A</v>
      </c>
    </row>
    <row r="641" spans="1:30" ht="30" customHeight="1" x14ac:dyDescent="0.3">
      <c r="A641" s="231"/>
      <c r="B641" s="173"/>
      <c r="C641" s="78"/>
      <c r="D641" s="78"/>
      <c r="E641" s="79"/>
      <c r="F641" s="78"/>
      <c r="G641" s="78"/>
      <c r="H641" s="78"/>
      <c r="I641" s="78"/>
      <c r="J641" s="78"/>
      <c r="K641" s="110"/>
      <c r="L641" s="110"/>
      <c r="M641" s="78"/>
      <c r="N641" s="78"/>
      <c r="O641" s="117"/>
      <c r="P641" s="114" t="e">
        <f t="shared" si="8"/>
        <v>#N/A</v>
      </c>
      <c r="Q641" s="77" t="e">
        <f>VLOOKUP($B641,'Component List'!$A$2:$B$30,2,FALSE)</f>
        <v>#N/A</v>
      </c>
      <c r="R641" s="77" t="e">
        <f>VLOOKUP($C641,'Component List'!C$2:D$28,2,FALSE)</f>
        <v>#N/A</v>
      </c>
      <c r="S641" s="77" t="e">
        <f>VLOOKUP($D641,'Component List'!E$2:F$30,2,FALSE)</f>
        <v>#N/A</v>
      </c>
      <c r="T641" s="77" t="e">
        <f>VLOOKUP($E641,'Component List'!G$2:H$30,2,FALSE)</f>
        <v>#N/A</v>
      </c>
      <c r="U641" s="77" t="e">
        <f>VLOOKUP($F641,'Component List'!I$2:J$30,2,FALSE)</f>
        <v>#N/A</v>
      </c>
      <c r="V641" s="77" t="e">
        <f>VLOOKUP(G641,'Component List'!K$2:L$30,2,FALSE)</f>
        <v>#N/A</v>
      </c>
      <c r="W641" s="77" t="e">
        <f>VLOOKUP(H641,'Component List'!M$2:N$31,2,FALSE)</f>
        <v>#N/A</v>
      </c>
      <c r="X641" s="77" t="e">
        <f>VLOOKUP(I641,'Component List'!O$2:P$30,2,FALSE)</f>
        <v>#N/A</v>
      </c>
      <c r="Y641" s="77" t="e">
        <f>VLOOKUP(J641,'Component List'!Q$2:R$30,2,FALSE)</f>
        <v>#N/A</v>
      </c>
      <c r="Z641" s="77" t="e">
        <f>VLOOKUP(K641,'Component List'!S$2:T$30,2,FALSE)</f>
        <v>#N/A</v>
      </c>
      <c r="AA641" s="77" t="e">
        <f>VLOOKUP(L641,'Component List'!U$2:V$30,2,FALSE)</f>
        <v>#N/A</v>
      </c>
      <c r="AB641" s="77" t="e">
        <f>VLOOKUP(M641,'Component List'!AA$2:AB$30,2,FALSE)</f>
        <v>#N/A</v>
      </c>
      <c r="AC641" s="77" t="e">
        <f>VLOOKUP(N641,'Component List'!Y$2:Z$30,2,FALSE)</f>
        <v>#N/A</v>
      </c>
      <c r="AD641" s="159" t="e">
        <f>VLOOKUP(O641,'Component List'!W$3:X$30,2,FALSE)</f>
        <v>#N/A</v>
      </c>
    </row>
    <row r="642" spans="1:30" ht="30" customHeight="1" x14ac:dyDescent="0.3">
      <c r="A642" s="231"/>
      <c r="B642" s="173"/>
      <c r="C642" s="78"/>
      <c r="D642" s="78"/>
      <c r="E642" s="79"/>
      <c r="F642" s="78"/>
      <c r="G642" s="78"/>
      <c r="H642" s="78"/>
      <c r="I642" s="78"/>
      <c r="J642" s="78"/>
      <c r="K642" s="110"/>
      <c r="L642" s="110"/>
      <c r="M642" s="78"/>
      <c r="N642" s="78"/>
      <c r="O642" s="117"/>
      <c r="P642" s="114" t="e">
        <f t="shared" si="8"/>
        <v>#N/A</v>
      </c>
      <c r="Q642" s="77" t="e">
        <f>VLOOKUP($B642,'Component List'!$A$2:$B$30,2,FALSE)</f>
        <v>#N/A</v>
      </c>
      <c r="R642" s="77" t="e">
        <f>VLOOKUP($C642,'Component List'!C$2:D$28,2,FALSE)</f>
        <v>#N/A</v>
      </c>
      <c r="S642" s="77" t="e">
        <f>VLOOKUP($D642,'Component List'!E$2:F$30,2,FALSE)</f>
        <v>#N/A</v>
      </c>
      <c r="T642" s="77" t="e">
        <f>VLOOKUP($E642,'Component List'!G$2:H$30,2,FALSE)</f>
        <v>#N/A</v>
      </c>
      <c r="U642" s="77" t="e">
        <f>VLOOKUP($F642,'Component List'!I$2:J$30,2,FALSE)</f>
        <v>#N/A</v>
      </c>
      <c r="V642" s="77" t="e">
        <f>VLOOKUP(G642,'Component List'!K$2:L$30,2,FALSE)</f>
        <v>#N/A</v>
      </c>
      <c r="W642" s="77" t="e">
        <f>VLOOKUP(H642,'Component List'!M$2:N$31,2,FALSE)</f>
        <v>#N/A</v>
      </c>
      <c r="X642" s="77" t="e">
        <f>VLOOKUP(I642,'Component List'!O$2:P$30,2,FALSE)</f>
        <v>#N/A</v>
      </c>
      <c r="Y642" s="77" t="e">
        <f>VLOOKUP(J642,'Component List'!Q$2:R$30,2,FALSE)</f>
        <v>#N/A</v>
      </c>
      <c r="Z642" s="77" t="e">
        <f>VLOOKUP(K642,'Component List'!S$2:T$30,2,FALSE)</f>
        <v>#N/A</v>
      </c>
      <c r="AA642" s="77" t="e">
        <f>VLOOKUP(L642,'Component List'!U$2:V$30,2,FALSE)</f>
        <v>#N/A</v>
      </c>
      <c r="AB642" s="77" t="e">
        <f>VLOOKUP(M642,'Component List'!AA$2:AB$30,2,FALSE)</f>
        <v>#N/A</v>
      </c>
      <c r="AC642" s="77" t="e">
        <f>VLOOKUP(N642,'Component List'!Y$2:Z$30,2,FALSE)</f>
        <v>#N/A</v>
      </c>
      <c r="AD642" s="159" t="e">
        <f>VLOOKUP(O642,'Component List'!W$3:X$30,2,FALSE)</f>
        <v>#N/A</v>
      </c>
    </row>
    <row r="643" spans="1:30" ht="30" customHeight="1" x14ac:dyDescent="0.3">
      <c r="A643" s="231"/>
      <c r="B643" s="173"/>
      <c r="C643" s="78"/>
      <c r="D643" s="78"/>
      <c r="E643" s="79"/>
      <c r="F643" s="78"/>
      <c r="G643" s="78"/>
      <c r="H643" s="78"/>
      <c r="I643" s="78"/>
      <c r="J643" s="78"/>
      <c r="K643" s="110"/>
      <c r="L643" s="110"/>
      <c r="M643" s="78"/>
      <c r="N643" s="78"/>
      <c r="O643" s="117"/>
      <c r="P643" s="114" t="e">
        <f t="shared" si="8"/>
        <v>#N/A</v>
      </c>
      <c r="Q643" s="77" t="e">
        <f>VLOOKUP($B643,'Component List'!$A$2:$B$30,2,FALSE)</f>
        <v>#N/A</v>
      </c>
      <c r="R643" s="77" t="e">
        <f>VLOOKUP($C643,'Component List'!C$2:D$28,2,FALSE)</f>
        <v>#N/A</v>
      </c>
      <c r="S643" s="77" t="e">
        <f>VLOOKUP($D643,'Component List'!E$2:F$30,2,FALSE)</f>
        <v>#N/A</v>
      </c>
      <c r="T643" s="77" t="e">
        <f>VLOOKUP($E643,'Component List'!G$2:H$30,2,FALSE)</f>
        <v>#N/A</v>
      </c>
      <c r="U643" s="77" t="e">
        <f>VLOOKUP($F643,'Component List'!I$2:J$30,2,FALSE)</f>
        <v>#N/A</v>
      </c>
      <c r="V643" s="77" t="e">
        <f>VLOOKUP(G643,'Component List'!K$2:L$30,2,FALSE)</f>
        <v>#N/A</v>
      </c>
      <c r="W643" s="77" t="e">
        <f>VLOOKUP(H643,'Component List'!M$2:N$31,2,FALSE)</f>
        <v>#N/A</v>
      </c>
      <c r="X643" s="77" t="e">
        <f>VLOOKUP(I643,'Component List'!O$2:P$30,2,FALSE)</f>
        <v>#N/A</v>
      </c>
      <c r="Y643" s="77" t="e">
        <f>VLOOKUP(J643,'Component List'!Q$2:R$30,2,FALSE)</f>
        <v>#N/A</v>
      </c>
      <c r="Z643" s="77" t="e">
        <f>VLOOKUP(K643,'Component List'!S$2:T$30,2,FALSE)</f>
        <v>#N/A</v>
      </c>
      <c r="AA643" s="77" t="e">
        <f>VLOOKUP(L643,'Component List'!U$2:V$30,2,FALSE)</f>
        <v>#N/A</v>
      </c>
      <c r="AB643" s="77" t="e">
        <f>VLOOKUP(M643,'Component List'!AA$2:AB$30,2,FALSE)</f>
        <v>#N/A</v>
      </c>
      <c r="AC643" s="77" t="e">
        <f>VLOOKUP(N643,'Component List'!Y$2:Z$30,2,FALSE)</f>
        <v>#N/A</v>
      </c>
      <c r="AD643" s="159" t="e">
        <f>VLOOKUP(O643,'Component List'!W$3:X$30,2,FALSE)</f>
        <v>#N/A</v>
      </c>
    </row>
    <row r="644" spans="1:30" ht="30" customHeight="1" x14ac:dyDescent="0.3">
      <c r="A644" s="231"/>
      <c r="B644" s="173"/>
      <c r="C644" s="78"/>
      <c r="D644" s="78"/>
      <c r="E644" s="79"/>
      <c r="F644" s="78"/>
      <c r="G644" s="78"/>
      <c r="H644" s="78"/>
      <c r="I644" s="78"/>
      <c r="J644" s="78"/>
      <c r="K644" s="110"/>
      <c r="L644" s="110"/>
      <c r="M644" s="78"/>
      <c r="N644" s="78"/>
      <c r="O644" s="117"/>
      <c r="P644" s="114" t="e">
        <f t="shared" si="8"/>
        <v>#N/A</v>
      </c>
      <c r="Q644" s="77" t="e">
        <f>VLOOKUP($B644,'Component List'!$A$2:$B$30,2,FALSE)</f>
        <v>#N/A</v>
      </c>
      <c r="R644" s="77" t="e">
        <f>VLOOKUP($C644,'Component List'!C$2:D$28,2,FALSE)</f>
        <v>#N/A</v>
      </c>
      <c r="S644" s="77" t="e">
        <f>VLOOKUP($D644,'Component List'!E$2:F$30,2,FALSE)</f>
        <v>#N/A</v>
      </c>
      <c r="T644" s="77" t="e">
        <f>VLOOKUP($E644,'Component List'!G$2:H$30,2,FALSE)</f>
        <v>#N/A</v>
      </c>
      <c r="U644" s="77" t="e">
        <f>VLOOKUP($F644,'Component List'!I$2:J$30,2,FALSE)</f>
        <v>#N/A</v>
      </c>
      <c r="V644" s="77" t="e">
        <f>VLOOKUP(G644,'Component List'!K$2:L$30,2,FALSE)</f>
        <v>#N/A</v>
      </c>
      <c r="W644" s="77" t="e">
        <f>VLOOKUP(H644,'Component List'!M$2:N$31,2,FALSE)</f>
        <v>#N/A</v>
      </c>
      <c r="X644" s="77" t="e">
        <f>VLOOKUP(I644,'Component List'!O$2:P$30,2,FALSE)</f>
        <v>#N/A</v>
      </c>
      <c r="Y644" s="77" t="e">
        <f>VLOOKUP(J644,'Component List'!Q$2:R$30,2,FALSE)</f>
        <v>#N/A</v>
      </c>
      <c r="Z644" s="77" t="e">
        <f>VLOOKUP(K644,'Component List'!S$2:T$30,2,FALSE)</f>
        <v>#N/A</v>
      </c>
      <c r="AA644" s="77" t="e">
        <f>VLOOKUP(L644,'Component List'!U$2:V$30,2,FALSE)</f>
        <v>#N/A</v>
      </c>
      <c r="AB644" s="77" t="e">
        <f>VLOOKUP(M644,'Component List'!AA$2:AB$30,2,FALSE)</f>
        <v>#N/A</v>
      </c>
      <c r="AC644" s="77" t="e">
        <f>VLOOKUP(N644,'Component List'!Y$2:Z$30,2,FALSE)</f>
        <v>#N/A</v>
      </c>
      <c r="AD644" s="159" t="e">
        <f>VLOOKUP(O644,'Component List'!W$3:X$30,2,FALSE)</f>
        <v>#N/A</v>
      </c>
    </row>
    <row r="645" spans="1:30" ht="30" customHeight="1" x14ac:dyDescent="0.3">
      <c r="A645" s="231"/>
      <c r="B645" s="173"/>
      <c r="C645" s="78"/>
      <c r="D645" s="78"/>
      <c r="E645" s="79"/>
      <c r="F645" s="78"/>
      <c r="G645" s="78"/>
      <c r="H645" s="78"/>
      <c r="I645" s="78"/>
      <c r="J645" s="78"/>
      <c r="K645" s="110"/>
      <c r="L645" s="110"/>
      <c r="M645" s="78"/>
      <c r="N645" s="78"/>
      <c r="O645" s="117"/>
      <c r="P645" s="114" t="e">
        <f t="shared" si="8"/>
        <v>#N/A</v>
      </c>
      <c r="Q645" s="77" t="e">
        <f>VLOOKUP($B645,'Component List'!$A$2:$B$30,2,FALSE)</f>
        <v>#N/A</v>
      </c>
      <c r="R645" s="77" t="e">
        <f>VLOOKUP($C645,'Component List'!C$2:D$28,2,FALSE)</f>
        <v>#N/A</v>
      </c>
      <c r="S645" s="77" t="e">
        <f>VLOOKUP($D645,'Component List'!E$2:F$30,2,FALSE)</f>
        <v>#N/A</v>
      </c>
      <c r="T645" s="77" t="e">
        <f>VLOOKUP($E645,'Component List'!G$2:H$30,2,FALSE)</f>
        <v>#N/A</v>
      </c>
      <c r="U645" s="77" t="e">
        <f>VLOOKUP($F645,'Component List'!I$2:J$30,2,FALSE)</f>
        <v>#N/A</v>
      </c>
      <c r="V645" s="77" t="e">
        <f>VLOOKUP(G645,'Component List'!K$2:L$30,2,FALSE)</f>
        <v>#N/A</v>
      </c>
      <c r="W645" s="77" t="e">
        <f>VLOOKUP(H645,'Component List'!M$2:N$31,2,FALSE)</f>
        <v>#N/A</v>
      </c>
      <c r="X645" s="77" t="e">
        <f>VLOOKUP(I645,'Component List'!O$2:P$30,2,FALSE)</f>
        <v>#N/A</v>
      </c>
      <c r="Y645" s="77" t="e">
        <f>VLOOKUP(J645,'Component List'!Q$2:R$30,2,FALSE)</f>
        <v>#N/A</v>
      </c>
      <c r="Z645" s="77" t="e">
        <f>VLOOKUP(K645,'Component List'!S$2:T$30,2,FALSE)</f>
        <v>#N/A</v>
      </c>
      <c r="AA645" s="77" t="e">
        <f>VLOOKUP(L645,'Component List'!U$2:V$30,2,FALSE)</f>
        <v>#N/A</v>
      </c>
      <c r="AB645" s="77" t="e">
        <f>VLOOKUP(M645,'Component List'!AA$2:AB$30,2,FALSE)</f>
        <v>#N/A</v>
      </c>
      <c r="AC645" s="77" t="e">
        <f>VLOOKUP(N645,'Component List'!Y$2:Z$30,2,FALSE)</f>
        <v>#N/A</v>
      </c>
      <c r="AD645" s="159" t="e">
        <f>VLOOKUP(O645,'Component List'!W$3:X$30,2,FALSE)</f>
        <v>#N/A</v>
      </c>
    </row>
    <row r="646" spans="1:30" ht="30" customHeight="1" x14ac:dyDescent="0.3">
      <c r="A646" s="231"/>
      <c r="B646" s="173"/>
      <c r="C646" s="78"/>
      <c r="D646" s="78"/>
      <c r="E646" s="79"/>
      <c r="F646" s="78"/>
      <c r="G646" s="78"/>
      <c r="H646" s="78"/>
      <c r="I646" s="78"/>
      <c r="J646" s="78"/>
      <c r="K646" s="110"/>
      <c r="L646" s="110"/>
      <c r="M646" s="78"/>
      <c r="N646" s="78"/>
      <c r="O646" s="117"/>
      <c r="P646" s="114" t="e">
        <f t="shared" si="8"/>
        <v>#N/A</v>
      </c>
      <c r="Q646" s="77" t="e">
        <f>VLOOKUP($B646,'Component List'!$A$2:$B$30,2,FALSE)</f>
        <v>#N/A</v>
      </c>
      <c r="R646" s="77" t="e">
        <f>VLOOKUP($C646,'Component List'!C$2:D$28,2,FALSE)</f>
        <v>#N/A</v>
      </c>
      <c r="S646" s="77" t="e">
        <f>VLOOKUP($D646,'Component List'!E$2:F$30,2,FALSE)</f>
        <v>#N/A</v>
      </c>
      <c r="T646" s="77" t="e">
        <f>VLOOKUP($E646,'Component List'!G$2:H$30,2,FALSE)</f>
        <v>#N/A</v>
      </c>
      <c r="U646" s="77" t="e">
        <f>VLOOKUP($F646,'Component List'!I$2:J$30,2,FALSE)</f>
        <v>#N/A</v>
      </c>
      <c r="V646" s="77" t="e">
        <f>VLOOKUP(G646,'Component List'!K$2:L$30,2,FALSE)</f>
        <v>#N/A</v>
      </c>
      <c r="W646" s="77" t="e">
        <f>VLOOKUP(H646,'Component List'!M$2:N$31,2,FALSE)</f>
        <v>#N/A</v>
      </c>
      <c r="X646" s="77" t="e">
        <f>VLOOKUP(I646,'Component List'!O$2:P$30,2,FALSE)</f>
        <v>#N/A</v>
      </c>
      <c r="Y646" s="77" t="e">
        <f>VLOOKUP(J646,'Component List'!Q$2:R$30,2,FALSE)</f>
        <v>#N/A</v>
      </c>
      <c r="Z646" s="77" t="e">
        <f>VLOOKUP(K646,'Component List'!S$2:T$30,2,FALSE)</f>
        <v>#N/A</v>
      </c>
      <c r="AA646" s="77" t="e">
        <f>VLOOKUP(L646,'Component List'!U$2:V$30,2,FALSE)</f>
        <v>#N/A</v>
      </c>
      <c r="AB646" s="77" t="e">
        <f>VLOOKUP(M646,'Component List'!AA$2:AB$30,2,FALSE)</f>
        <v>#N/A</v>
      </c>
      <c r="AC646" s="77" t="e">
        <f>VLOOKUP(N646,'Component List'!Y$2:Z$30,2,FALSE)</f>
        <v>#N/A</v>
      </c>
      <c r="AD646" s="159" t="e">
        <f>VLOOKUP(O646,'Component List'!W$3:X$30,2,FALSE)</f>
        <v>#N/A</v>
      </c>
    </row>
    <row r="647" spans="1:30" ht="30" customHeight="1" x14ac:dyDescent="0.3">
      <c r="A647" s="231"/>
      <c r="B647" s="173"/>
      <c r="C647" s="78"/>
      <c r="D647" s="78"/>
      <c r="E647" s="79"/>
      <c r="F647" s="78"/>
      <c r="G647" s="78"/>
      <c r="H647" s="78"/>
      <c r="I647" s="78"/>
      <c r="J647" s="78"/>
      <c r="K647" s="110"/>
      <c r="L647" s="110"/>
      <c r="M647" s="78"/>
      <c r="N647" s="78"/>
      <c r="O647" s="117"/>
      <c r="P647" s="114" t="e">
        <f t="shared" si="8"/>
        <v>#N/A</v>
      </c>
      <c r="Q647" s="77" t="e">
        <f>VLOOKUP($B647,'Component List'!$A$2:$B$30,2,FALSE)</f>
        <v>#N/A</v>
      </c>
      <c r="R647" s="77" t="e">
        <f>VLOOKUP($C647,'Component List'!C$2:D$28,2,FALSE)</f>
        <v>#N/A</v>
      </c>
      <c r="S647" s="77" t="e">
        <f>VLOOKUP($D647,'Component List'!E$2:F$30,2,FALSE)</f>
        <v>#N/A</v>
      </c>
      <c r="T647" s="77" t="e">
        <f>VLOOKUP($E647,'Component List'!G$2:H$30,2,FALSE)</f>
        <v>#N/A</v>
      </c>
      <c r="U647" s="77" t="e">
        <f>VLOOKUP($F647,'Component List'!I$2:J$30,2,FALSE)</f>
        <v>#N/A</v>
      </c>
      <c r="V647" s="77" t="e">
        <f>VLOOKUP(G647,'Component List'!K$2:L$30,2,FALSE)</f>
        <v>#N/A</v>
      </c>
      <c r="W647" s="77" t="e">
        <f>VLOOKUP(H647,'Component List'!M$2:N$31,2,FALSE)</f>
        <v>#N/A</v>
      </c>
      <c r="X647" s="77" t="e">
        <f>VLOOKUP(I647,'Component List'!O$2:P$30,2,FALSE)</f>
        <v>#N/A</v>
      </c>
      <c r="Y647" s="77" t="e">
        <f>VLOOKUP(J647,'Component List'!Q$2:R$30,2,FALSE)</f>
        <v>#N/A</v>
      </c>
      <c r="Z647" s="77" t="e">
        <f>VLOOKUP(K647,'Component List'!S$2:T$30,2,FALSE)</f>
        <v>#N/A</v>
      </c>
      <c r="AA647" s="77" t="e">
        <f>VLOOKUP(L647,'Component List'!U$2:V$30,2,FALSE)</f>
        <v>#N/A</v>
      </c>
      <c r="AB647" s="77" t="e">
        <f>VLOOKUP(M647,'Component List'!AA$2:AB$30,2,FALSE)</f>
        <v>#N/A</v>
      </c>
      <c r="AC647" s="77" t="e">
        <f>VLOOKUP(N647,'Component List'!Y$2:Z$30,2,FALSE)</f>
        <v>#N/A</v>
      </c>
      <c r="AD647" s="159" t="e">
        <f>VLOOKUP(O647,'Component List'!W$3:X$30,2,FALSE)</f>
        <v>#N/A</v>
      </c>
    </row>
    <row r="648" spans="1:30" ht="30" customHeight="1" x14ac:dyDescent="0.3">
      <c r="A648" s="231"/>
      <c r="B648" s="173"/>
      <c r="C648" s="78"/>
      <c r="D648" s="78"/>
      <c r="E648" s="79"/>
      <c r="F648" s="78"/>
      <c r="G648" s="78"/>
      <c r="H648" s="78"/>
      <c r="I648" s="78"/>
      <c r="J648" s="78"/>
      <c r="K648" s="110"/>
      <c r="L648" s="110"/>
      <c r="M648" s="78"/>
      <c r="N648" s="78"/>
      <c r="O648" s="117"/>
      <c r="P648" s="114" t="e">
        <f t="shared" si="8"/>
        <v>#N/A</v>
      </c>
      <c r="Q648" s="77" t="e">
        <f>VLOOKUP($B648,'Component List'!$A$2:$B$30,2,FALSE)</f>
        <v>#N/A</v>
      </c>
      <c r="R648" s="77" t="e">
        <f>VLOOKUP($C648,'Component List'!C$2:D$28,2,FALSE)</f>
        <v>#N/A</v>
      </c>
      <c r="S648" s="77" t="e">
        <f>VLOOKUP($D648,'Component List'!E$2:F$30,2,FALSE)</f>
        <v>#N/A</v>
      </c>
      <c r="T648" s="77" t="e">
        <f>VLOOKUP($E648,'Component List'!G$2:H$30,2,FALSE)</f>
        <v>#N/A</v>
      </c>
      <c r="U648" s="77" t="e">
        <f>VLOOKUP($F648,'Component List'!I$2:J$30,2,FALSE)</f>
        <v>#N/A</v>
      </c>
      <c r="V648" s="77" t="e">
        <f>VLOOKUP(G648,'Component List'!K$2:L$30,2,FALSE)</f>
        <v>#N/A</v>
      </c>
      <c r="W648" s="77" t="e">
        <f>VLOOKUP(H648,'Component List'!M$2:N$31,2,FALSE)</f>
        <v>#N/A</v>
      </c>
      <c r="X648" s="77" t="e">
        <f>VLOOKUP(I648,'Component List'!O$2:P$30,2,FALSE)</f>
        <v>#N/A</v>
      </c>
      <c r="Y648" s="77" t="e">
        <f>VLOOKUP(J648,'Component List'!Q$2:R$30,2,FALSE)</f>
        <v>#N/A</v>
      </c>
      <c r="Z648" s="77" t="e">
        <f>VLOOKUP(K648,'Component List'!S$2:T$30,2,FALSE)</f>
        <v>#N/A</v>
      </c>
      <c r="AA648" s="77" t="e">
        <f>VLOOKUP(L648,'Component List'!U$2:V$30,2,FALSE)</f>
        <v>#N/A</v>
      </c>
      <c r="AB648" s="77" t="e">
        <f>VLOOKUP(M648,'Component List'!AA$2:AB$30,2,FALSE)</f>
        <v>#N/A</v>
      </c>
      <c r="AC648" s="77" t="e">
        <f>VLOOKUP(N648,'Component List'!Y$2:Z$30,2,FALSE)</f>
        <v>#N/A</v>
      </c>
      <c r="AD648" s="159" t="e">
        <f>VLOOKUP(O648,'Component List'!W$3:X$30,2,FALSE)</f>
        <v>#N/A</v>
      </c>
    </row>
    <row r="649" spans="1:30" ht="30" customHeight="1" x14ac:dyDescent="0.3">
      <c r="A649" s="231"/>
      <c r="B649" s="173"/>
      <c r="C649" s="78"/>
      <c r="D649" s="78"/>
      <c r="E649" s="79"/>
      <c r="F649" s="78"/>
      <c r="G649" s="78"/>
      <c r="H649" s="78"/>
      <c r="I649" s="78"/>
      <c r="J649" s="78"/>
      <c r="K649" s="110"/>
      <c r="L649" s="110"/>
      <c r="M649" s="78"/>
      <c r="N649" s="78"/>
      <c r="O649" s="117"/>
      <c r="P649" s="114" t="e">
        <f t="shared" si="8"/>
        <v>#N/A</v>
      </c>
      <c r="Q649" s="77" t="e">
        <f>VLOOKUP($B649,'Component List'!$A$2:$B$30,2,FALSE)</f>
        <v>#N/A</v>
      </c>
      <c r="R649" s="77" t="e">
        <f>VLOOKUP($C649,'Component List'!C$2:D$28,2,FALSE)</f>
        <v>#N/A</v>
      </c>
      <c r="S649" s="77" t="e">
        <f>VLOOKUP($D649,'Component List'!E$2:F$30,2,FALSE)</f>
        <v>#N/A</v>
      </c>
      <c r="T649" s="77" t="e">
        <f>VLOOKUP($E649,'Component List'!G$2:H$30,2,FALSE)</f>
        <v>#N/A</v>
      </c>
      <c r="U649" s="77" t="e">
        <f>VLOOKUP($F649,'Component List'!I$2:J$30,2,FALSE)</f>
        <v>#N/A</v>
      </c>
      <c r="V649" s="77" t="e">
        <f>VLOOKUP(G649,'Component List'!K$2:L$30,2,FALSE)</f>
        <v>#N/A</v>
      </c>
      <c r="W649" s="77" t="e">
        <f>VLOOKUP(H649,'Component List'!M$2:N$31,2,FALSE)</f>
        <v>#N/A</v>
      </c>
      <c r="X649" s="77" t="e">
        <f>VLOOKUP(I649,'Component List'!O$2:P$30,2,FALSE)</f>
        <v>#N/A</v>
      </c>
      <c r="Y649" s="77" t="e">
        <f>VLOOKUP(J649,'Component List'!Q$2:R$30,2,FALSE)</f>
        <v>#N/A</v>
      </c>
      <c r="Z649" s="77" t="e">
        <f>VLOOKUP(K649,'Component List'!S$2:T$30,2,FALSE)</f>
        <v>#N/A</v>
      </c>
      <c r="AA649" s="77" t="e">
        <f>VLOOKUP(L649,'Component List'!U$2:V$30,2,FALSE)</f>
        <v>#N/A</v>
      </c>
      <c r="AB649" s="77" t="e">
        <f>VLOOKUP(M649,'Component List'!AA$2:AB$30,2,FALSE)</f>
        <v>#N/A</v>
      </c>
      <c r="AC649" s="77" t="e">
        <f>VLOOKUP(N649,'Component List'!Y$2:Z$30,2,FALSE)</f>
        <v>#N/A</v>
      </c>
      <c r="AD649" s="159" t="e">
        <f>VLOOKUP(O649,'Component List'!W$3:X$30,2,FALSE)</f>
        <v>#N/A</v>
      </c>
    </row>
    <row r="650" spans="1:30" ht="30" customHeight="1" x14ac:dyDescent="0.3">
      <c r="A650" s="231"/>
      <c r="B650" s="173"/>
      <c r="C650" s="78"/>
      <c r="D650" s="78"/>
      <c r="E650" s="79"/>
      <c r="F650" s="78"/>
      <c r="G650" s="78"/>
      <c r="H650" s="78"/>
      <c r="I650" s="78"/>
      <c r="J650" s="78"/>
      <c r="K650" s="110"/>
      <c r="L650" s="110"/>
      <c r="M650" s="78"/>
      <c r="N650" s="78"/>
      <c r="O650" s="117"/>
      <c r="P650" s="114" t="e">
        <f t="shared" si="8"/>
        <v>#N/A</v>
      </c>
      <c r="Q650" s="77" t="e">
        <f>VLOOKUP($B650,'Component List'!$A$2:$B$30,2,FALSE)</f>
        <v>#N/A</v>
      </c>
      <c r="R650" s="77" t="e">
        <f>VLOOKUP($C650,'Component List'!C$2:D$28,2,FALSE)</f>
        <v>#N/A</v>
      </c>
      <c r="S650" s="77" t="e">
        <f>VLOOKUP($D650,'Component List'!E$2:F$30,2,FALSE)</f>
        <v>#N/A</v>
      </c>
      <c r="T650" s="77" t="e">
        <f>VLOOKUP($E650,'Component List'!G$2:H$30,2,FALSE)</f>
        <v>#N/A</v>
      </c>
      <c r="U650" s="77" t="e">
        <f>VLOOKUP($F650,'Component List'!I$2:J$30,2,FALSE)</f>
        <v>#N/A</v>
      </c>
      <c r="V650" s="77" t="e">
        <f>VLOOKUP(G650,'Component List'!K$2:L$30,2,FALSE)</f>
        <v>#N/A</v>
      </c>
      <c r="W650" s="77" t="e">
        <f>VLOOKUP(H650,'Component List'!M$2:N$31,2,FALSE)</f>
        <v>#N/A</v>
      </c>
      <c r="X650" s="77" t="e">
        <f>VLOOKUP(I650,'Component List'!O$2:P$30,2,FALSE)</f>
        <v>#N/A</v>
      </c>
      <c r="Y650" s="77" t="e">
        <f>VLOOKUP(J650,'Component List'!Q$2:R$30,2,FALSE)</f>
        <v>#N/A</v>
      </c>
      <c r="Z650" s="77" t="e">
        <f>VLOOKUP(K650,'Component List'!S$2:T$30,2,FALSE)</f>
        <v>#N/A</v>
      </c>
      <c r="AA650" s="77" t="e">
        <f>VLOOKUP(L650,'Component List'!U$2:V$30,2,FALSE)</f>
        <v>#N/A</v>
      </c>
      <c r="AB650" s="77" t="e">
        <f>VLOOKUP(M650,'Component List'!AA$2:AB$30,2,FALSE)</f>
        <v>#N/A</v>
      </c>
      <c r="AC650" s="77" t="e">
        <f>VLOOKUP(N650,'Component List'!Y$2:Z$30,2,FALSE)</f>
        <v>#N/A</v>
      </c>
      <c r="AD650" s="159" t="e">
        <f>VLOOKUP(O650,'Component List'!W$3:X$30,2,FALSE)</f>
        <v>#N/A</v>
      </c>
    </row>
    <row r="651" spans="1:30" ht="30" customHeight="1" x14ac:dyDescent="0.3">
      <c r="A651" s="231"/>
      <c r="B651" s="173"/>
      <c r="C651" s="78"/>
      <c r="D651" s="78"/>
      <c r="E651" s="79"/>
      <c r="F651" s="78"/>
      <c r="G651" s="78"/>
      <c r="H651" s="78"/>
      <c r="I651" s="78"/>
      <c r="J651" s="78"/>
      <c r="K651" s="110"/>
      <c r="L651" s="110"/>
      <c r="M651" s="78"/>
      <c r="N651" s="78"/>
      <c r="O651" s="117"/>
      <c r="P651" s="114" t="e">
        <f t="shared" si="8"/>
        <v>#N/A</v>
      </c>
      <c r="Q651" s="77" t="e">
        <f>VLOOKUP($B651,'Component List'!$A$2:$B$30,2,FALSE)</f>
        <v>#N/A</v>
      </c>
      <c r="R651" s="77" t="e">
        <f>VLOOKUP($C651,'Component List'!C$2:D$28,2,FALSE)</f>
        <v>#N/A</v>
      </c>
      <c r="S651" s="77" t="e">
        <f>VLOOKUP($D651,'Component List'!E$2:F$30,2,FALSE)</f>
        <v>#N/A</v>
      </c>
      <c r="T651" s="77" t="e">
        <f>VLOOKUP($E651,'Component List'!G$2:H$30,2,FALSE)</f>
        <v>#N/A</v>
      </c>
      <c r="U651" s="77" t="e">
        <f>VLOOKUP($F651,'Component List'!I$2:J$30,2,FALSE)</f>
        <v>#N/A</v>
      </c>
      <c r="V651" s="77" t="e">
        <f>VLOOKUP(G651,'Component List'!K$2:L$30,2,FALSE)</f>
        <v>#N/A</v>
      </c>
      <c r="W651" s="77" t="e">
        <f>VLOOKUP(H651,'Component List'!M$2:N$31,2,FALSE)</f>
        <v>#N/A</v>
      </c>
      <c r="X651" s="77" t="e">
        <f>VLOOKUP(I651,'Component List'!O$2:P$30,2,FALSE)</f>
        <v>#N/A</v>
      </c>
      <c r="Y651" s="77" t="e">
        <f>VLOOKUP(J651,'Component List'!Q$2:R$30,2,FALSE)</f>
        <v>#N/A</v>
      </c>
      <c r="Z651" s="77" t="e">
        <f>VLOOKUP(K651,'Component List'!S$2:T$30,2,FALSE)</f>
        <v>#N/A</v>
      </c>
      <c r="AA651" s="77" t="e">
        <f>VLOOKUP(L651,'Component List'!U$2:V$30,2,FALSE)</f>
        <v>#N/A</v>
      </c>
      <c r="AB651" s="77" t="e">
        <f>VLOOKUP(M651,'Component List'!AA$2:AB$30,2,FALSE)</f>
        <v>#N/A</v>
      </c>
      <c r="AC651" s="77" t="e">
        <f>VLOOKUP(N651,'Component List'!Y$2:Z$30,2,FALSE)</f>
        <v>#N/A</v>
      </c>
      <c r="AD651" s="159" t="e">
        <f>VLOOKUP(O651,'Component List'!W$3:X$30,2,FALSE)</f>
        <v>#N/A</v>
      </c>
    </row>
    <row r="652" spans="1:30" ht="30" customHeight="1" x14ac:dyDescent="0.3">
      <c r="A652" s="231"/>
      <c r="B652" s="173"/>
      <c r="C652" s="78"/>
      <c r="D652" s="78"/>
      <c r="E652" s="79"/>
      <c r="F652" s="78"/>
      <c r="G652" s="78"/>
      <c r="H652" s="78"/>
      <c r="I652" s="78"/>
      <c r="J652" s="78"/>
      <c r="K652" s="110"/>
      <c r="L652" s="110"/>
      <c r="M652" s="78"/>
      <c r="N652" s="78"/>
      <c r="O652" s="117"/>
      <c r="P652" s="114" t="e">
        <f t="shared" si="8"/>
        <v>#N/A</v>
      </c>
      <c r="Q652" s="77" t="e">
        <f>VLOOKUP($B652,'Component List'!$A$2:$B$30,2,FALSE)</f>
        <v>#N/A</v>
      </c>
      <c r="R652" s="77" t="e">
        <f>VLOOKUP($C652,'Component List'!C$2:D$28,2,FALSE)</f>
        <v>#N/A</v>
      </c>
      <c r="S652" s="77" t="e">
        <f>VLOOKUP($D652,'Component List'!E$2:F$30,2,FALSE)</f>
        <v>#N/A</v>
      </c>
      <c r="T652" s="77" t="e">
        <f>VLOOKUP($E652,'Component List'!G$2:H$30,2,FALSE)</f>
        <v>#N/A</v>
      </c>
      <c r="U652" s="77" t="e">
        <f>VLOOKUP($F652,'Component List'!I$2:J$30,2,FALSE)</f>
        <v>#N/A</v>
      </c>
      <c r="V652" s="77" t="e">
        <f>VLOOKUP(G652,'Component List'!K$2:L$30,2,FALSE)</f>
        <v>#N/A</v>
      </c>
      <c r="W652" s="77" t="e">
        <f>VLOOKUP(H652,'Component List'!M$2:N$31,2,FALSE)</f>
        <v>#N/A</v>
      </c>
      <c r="X652" s="77" t="e">
        <f>VLOOKUP(I652,'Component List'!O$2:P$30,2,FALSE)</f>
        <v>#N/A</v>
      </c>
      <c r="Y652" s="77" t="e">
        <f>VLOOKUP(J652,'Component List'!Q$2:R$30,2,FALSE)</f>
        <v>#N/A</v>
      </c>
      <c r="Z652" s="77" t="e">
        <f>VLOOKUP(K652,'Component List'!S$2:T$30,2,FALSE)</f>
        <v>#N/A</v>
      </c>
      <c r="AA652" s="77" t="e">
        <f>VLOOKUP(L652,'Component List'!U$2:V$30,2,FALSE)</f>
        <v>#N/A</v>
      </c>
      <c r="AB652" s="77" t="e">
        <f>VLOOKUP(M652,'Component List'!AA$2:AB$30,2,FALSE)</f>
        <v>#N/A</v>
      </c>
      <c r="AC652" s="77" t="e">
        <f>VLOOKUP(N652,'Component List'!Y$2:Z$30,2,FALSE)</f>
        <v>#N/A</v>
      </c>
      <c r="AD652" s="159" t="e">
        <f>VLOOKUP(O652,'Component List'!W$3:X$30,2,FALSE)</f>
        <v>#N/A</v>
      </c>
    </row>
    <row r="653" spans="1:30" ht="30" customHeight="1" x14ac:dyDescent="0.3">
      <c r="A653" s="231"/>
      <c r="B653" s="173"/>
      <c r="C653" s="78"/>
      <c r="D653" s="78"/>
      <c r="E653" s="79"/>
      <c r="F653" s="78"/>
      <c r="G653" s="78"/>
      <c r="H653" s="78"/>
      <c r="I653" s="78"/>
      <c r="J653" s="78"/>
      <c r="K653" s="110"/>
      <c r="L653" s="110"/>
      <c r="M653" s="78"/>
      <c r="N653" s="78"/>
      <c r="O653" s="117"/>
      <c r="P653" s="114" t="e">
        <f t="shared" ref="P653:P716" si="9">Q653&amp;R653&amp;S653&amp;T653&amp;U653&amp;V653&amp;W653&amp;X653&amp;Y653&amp;Z653&amp;AA653&amp;AD653&amp;AC653&amp;AB653</f>
        <v>#N/A</v>
      </c>
      <c r="Q653" s="77" t="e">
        <f>VLOOKUP($B653,'Component List'!$A$2:$B$30,2,FALSE)</f>
        <v>#N/A</v>
      </c>
      <c r="R653" s="77" t="e">
        <f>VLOOKUP($C653,'Component List'!C$2:D$28,2,FALSE)</f>
        <v>#N/A</v>
      </c>
      <c r="S653" s="77" t="e">
        <f>VLOOKUP($D653,'Component List'!E$2:F$30,2,FALSE)</f>
        <v>#N/A</v>
      </c>
      <c r="T653" s="77" t="e">
        <f>VLOOKUP($E653,'Component List'!G$2:H$30,2,FALSE)</f>
        <v>#N/A</v>
      </c>
      <c r="U653" s="77" t="e">
        <f>VLOOKUP($F653,'Component List'!I$2:J$30,2,FALSE)</f>
        <v>#N/A</v>
      </c>
      <c r="V653" s="77" t="e">
        <f>VLOOKUP(G653,'Component List'!K$2:L$30,2,FALSE)</f>
        <v>#N/A</v>
      </c>
      <c r="W653" s="77" t="e">
        <f>VLOOKUP(H653,'Component List'!M$2:N$31,2,FALSE)</f>
        <v>#N/A</v>
      </c>
      <c r="X653" s="77" t="e">
        <f>VLOOKUP(I653,'Component List'!O$2:P$30,2,FALSE)</f>
        <v>#N/A</v>
      </c>
      <c r="Y653" s="77" t="e">
        <f>VLOOKUP(J653,'Component List'!Q$2:R$30,2,FALSE)</f>
        <v>#N/A</v>
      </c>
      <c r="Z653" s="77" t="e">
        <f>VLOOKUP(K653,'Component List'!S$2:T$30,2,FALSE)</f>
        <v>#N/A</v>
      </c>
      <c r="AA653" s="77" t="e">
        <f>VLOOKUP(L653,'Component List'!U$2:V$30,2,FALSE)</f>
        <v>#N/A</v>
      </c>
      <c r="AB653" s="77" t="e">
        <f>VLOOKUP(M653,'Component List'!AA$2:AB$30,2,FALSE)</f>
        <v>#N/A</v>
      </c>
      <c r="AC653" s="77" t="e">
        <f>VLOOKUP(N653,'Component List'!Y$2:Z$30,2,FALSE)</f>
        <v>#N/A</v>
      </c>
      <c r="AD653" s="159" t="e">
        <f>VLOOKUP(O653,'Component List'!W$3:X$30,2,FALSE)</f>
        <v>#N/A</v>
      </c>
    </row>
    <row r="654" spans="1:30" ht="30" customHeight="1" x14ac:dyDescent="0.3">
      <c r="A654" s="231"/>
      <c r="B654" s="173"/>
      <c r="C654" s="78"/>
      <c r="D654" s="78"/>
      <c r="E654" s="79"/>
      <c r="F654" s="78"/>
      <c r="G654" s="78"/>
      <c r="H654" s="78"/>
      <c r="I654" s="78"/>
      <c r="J654" s="78"/>
      <c r="K654" s="110"/>
      <c r="L654" s="110"/>
      <c r="M654" s="78"/>
      <c r="N654" s="78"/>
      <c r="O654" s="117"/>
      <c r="P654" s="114" t="e">
        <f t="shared" si="9"/>
        <v>#N/A</v>
      </c>
      <c r="Q654" s="77" t="e">
        <f>VLOOKUP($B654,'Component List'!$A$2:$B$30,2,FALSE)</f>
        <v>#N/A</v>
      </c>
      <c r="R654" s="77" t="e">
        <f>VLOOKUP($C654,'Component List'!C$2:D$28,2,FALSE)</f>
        <v>#N/A</v>
      </c>
      <c r="S654" s="77" t="e">
        <f>VLOOKUP($D654,'Component List'!E$2:F$30,2,FALSE)</f>
        <v>#N/A</v>
      </c>
      <c r="T654" s="77" t="e">
        <f>VLOOKUP($E654,'Component List'!G$2:H$30,2,FALSE)</f>
        <v>#N/A</v>
      </c>
      <c r="U654" s="77" t="e">
        <f>VLOOKUP($F654,'Component List'!I$2:J$30,2,FALSE)</f>
        <v>#N/A</v>
      </c>
      <c r="V654" s="77" t="e">
        <f>VLOOKUP(G654,'Component List'!K$2:L$30,2,FALSE)</f>
        <v>#N/A</v>
      </c>
      <c r="W654" s="77" t="e">
        <f>VLOOKUP(H654,'Component List'!M$2:N$31,2,FALSE)</f>
        <v>#N/A</v>
      </c>
      <c r="X654" s="77" t="e">
        <f>VLOOKUP(I654,'Component List'!O$2:P$30,2,FALSE)</f>
        <v>#N/A</v>
      </c>
      <c r="Y654" s="77" t="e">
        <f>VLOOKUP(J654,'Component List'!Q$2:R$30,2,FALSE)</f>
        <v>#N/A</v>
      </c>
      <c r="Z654" s="77" t="e">
        <f>VLOOKUP(K654,'Component List'!S$2:T$30,2,FALSE)</f>
        <v>#N/A</v>
      </c>
      <c r="AA654" s="77" t="e">
        <f>VLOOKUP(L654,'Component List'!U$2:V$30,2,FALSE)</f>
        <v>#N/A</v>
      </c>
      <c r="AB654" s="77" t="e">
        <f>VLOOKUP(M654,'Component List'!AA$2:AB$30,2,FALSE)</f>
        <v>#N/A</v>
      </c>
      <c r="AC654" s="77" t="e">
        <f>VLOOKUP(N654,'Component List'!Y$2:Z$30,2,FALSE)</f>
        <v>#N/A</v>
      </c>
      <c r="AD654" s="159" t="e">
        <f>VLOOKUP(O654,'Component List'!W$3:X$30,2,FALSE)</f>
        <v>#N/A</v>
      </c>
    </row>
    <row r="655" spans="1:30" ht="30" customHeight="1" x14ac:dyDescent="0.3">
      <c r="A655" s="231"/>
      <c r="B655" s="173"/>
      <c r="C655" s="78"/>
      <c r="D655" s="78"/>
      <c r="E655" s="79"/>
      <c r="F655" s="78"/>
      <c r="G655" s="78"/>
      <c r="H655" s="78"/>
      <c r="I655" s="78"/>
      <c r="J655" s="78"/>
      <c r="K655" s="110"/>
      <c r="L655" s="110"/>
      <c r="M655" s="78"/>
      <c r="N655" s="78"/>
      <c r="O655" s="117"/>
      <c r="P655" s="114" t="e">
        <f t="shared" si="9"/>
        <v>#N/A</v>
      </c>
      <c r="Q655" s="77" t="e">
        <f>VLOOKUP($B655,'Component List'!$A$2:$B$30,2,FALSE)</f>
        <v>#N/A</v>
      </c>
      <c r="R655" s="77" t="e">
        <f>VLOOKUP($C655,'Component List'!C$2:D$28,2,FALSE)</f>
        <v>#N/A</v>
      </c>
      <c r="S655" s="77" t="e">
        <f>VLOOKUP($D655,'Component List'!E$2:F$30,2,FALSE)</f>
        <v>#N/A</v>
      </c>
      <c r="T655" s="77" t="e">
        <f>VLOOKUP($E655,'Component List'!G$2:H$30,2,FALSE)</f>
        <v>#N/A</v>
      </c>
      <c r="U655" s="77" t="e">
        <f>VLOOKUP($F655,'Component List'!I$2:J$30,2,FALSE)</f>
        <v>#N/A</v>
      </c>
      <c r="V655" s="77" t="e">
        <f>VLOOKUP(G655,'Component List'!K$2:L$30,2,FALSE)</f>
        <v>#N/A</v>
      </c>
      <c r="W655" s="77" t="e">
        <f>VLOOKUP(H655,'Component List'!M$2:N$31,2,FALSE)</f>
        <v>#N/A</v>
      </c>
      <c r="X655" s="77" t="e">
        <f>VLOOKUP(I655,'Component List'!O$2:P$30,2,FALSE)</f>
        <v>#N/A</v>
      </c>
      <c r="Y655" s="77" t="e">
        <f>VLOOKUP(J655,'Component List'!Q$2:R$30,2,FALSE)</f>
        <v>#N/A</v>
      </c>
      <c r="Z655" s="77" t="e">
        <f>VLOOKUP(K655,'Component List'!S$2:T$30,2,FALSE)</f>
        <v>#N/A</v>
      </c>
      <c r="AA655" s="77" t="e">
        <f>VLOOKUP(L655,'Component List'!U$2:V$30,2,FALSE)</f>
        <v>#N/A</v>
      </c>
      <c r="AB655" s="77" t="e">
        <f>VLOOKUP(M655,'Component List'!AA$2:AB$30,2,FALSE)</f>
        <v>#N/A</v>
      </c>
      <c r="AC655" s="77" t="e">
        <f>VLOOKUP(N655,'Component List'!Y$2:Z$30,2,FALSE)</f>
        <v>#N/A</v>
      </c>
      <c r="AD655" s="159" t="e">
        <f>VLOOKUP(O655,'Component List'!W$3:X$30,2,FALSE)</f>
        <v>#N/A</v>
      </c>
    </row>
    <row r="656" spans="1:30" ht="30" customHeight="1" x14ac:dyDescent="0.3">
      <c r="A656" s="231"/>
      <c r="B656" s="173"/>
      <c r="C656" s="78"/>
      <c r="D656" s="78"/>
      <c r="E656" s="79"/>
      <c r="F656" s="78"/>
      <c r="G656" s="78"/>
      <c r="H656" s="78"/>
      <c r="I656" s="78"/>
      <c r="J656" s="78"/>
      <c r="K656" s="110"/>
      <c r="L656" s="110"/>
      <c r="M656" s="78"/>
      <c r="N656" s="78"/>
      <c r="O656" s="117"/>
      <c r="P656" s="114" t="e">
        <f t="shared" si="9"/>
        <v>#N/A</v>
      </c>
      <c r="Q656" s="77" t="e">
        <f>VLOOKUP($B656,'Component List'!$A$2:$B$30,2,FALSE)</f>
        <v>#N/A</v>
      </c>
      <c r="R656" s="77" t="e">
        <f>VLOOKUP($C656,'Component List'!C$2:D$28,2,FALSE)</f>
        <v>#N/A</v>
      </c>
      <c r="S656" s="77" t="e">
        <f>VLOOKUP($D656,'Component List'!E$2:F$30,2,FALSE)</f>
        <v>#N/A</v>
      </c>
      <c r="T656" s="77" t="e">
        <f>VLOOKUP($E656,'Component List'!G$2:H$30,2,FALSE)</f>
        <v>#N/A</v>
      </c>
      <c r="U656" s="77" t="e">
        <f>VLOOKUP($F656,'Component List'!I$2:J$30,2,FALSE)</f>
        <v>#N/A</v>
      </c>
      <c r="V656" s="77" t="e">
        <f>VLOOKUP(G656,'Component List'!K$2:L$30,2,FALSE)</f>
        <v>#N/A</v>
      </c>
      <c r="W656" s="77" t="e">
        <f>VLOOKUP(H656,'Component List'!M$2:N$31,2,FALSE)</f>
        <v>#N/A</v>
      </c>
      <c r="X656" s="77" t="e">
        <f>VLOOKUP(I656,'Component List'!O$2:P$30,2,FALSE)</f>
        <v>#N/A</v>
      </c>
      <c r="Y656" s="77" t="e">
        <f>VLOOKUP(J656,'Component List'!Q$2:R$30,2,FALSE)</f>
        <v>#N/A</v>
      </c>
      <c r="Z656" s="77" t="e">
        <f>VLOOKUP(K656,'Component List'!S$2:T$30,2,FALSE)</f>
        <v>#N/A</v>
      </c>
      <c r="AA656" s="77" t="e">
        <f>VLOOKUP(L656,'Component List'!U$2:V$30,2,FALSE)</f>
        <v>#N/A</v>
      </c>
      <c r="AB656" s="77" t="e">
        <f>VLOOKUP(M656,'Component List'!AA$2:AB$30,2,FALSE)</f>
        <v>#N/A</v>
      </c>
      <c r="AC656" s="77" t="e">
        <f>VLOOKUP(N656,'Component List'!Y$2:Z$30,2,FALSE)</f>
        <v>#N/A</v>
      </c>
      <c r="AD656" s="159" t="e">
        <f>VLOOKUP(O656,'Component List'!W$3:X$30,2,FALSE)</f>
        <v>#N/A</v>
      </c>
    </row>
    <row r="657" spans="1:30" ht="30" customHeight="1" x14ac:dyDescent="0.3">
      <c r="A657" s="231"/>
      <c r="B657" s="173"/>
      <c r="C657" s="78"/>
      <c r="D657" s="78"/>
      <c r="E657" s="79"/>
      <c r="F657" s="78"/>
      <c r="G657" s="78"/>
      <c r="H657" s="78"/>
      <c r="I657" s="78"/>
      <c r="J657" s="78"/>
      <c r="K657" s="110"/>
      <c r="L657" s="110"/>
      <c r="M657" s="78"/>
      <c r="N657" s="78"/>
      <c r="O657" s="117"/>
      <c r="P657" s="114" t="e">
        <f t="shared" si="9"/>
        <v>#N/A</v>
      </c>
      <c r="Q657" s="77" t="e">
        <f>VLOOKUP($B657,'Component List'!$A$2:$B$30,2,FALSE)</f>
        <v>#N/A</v>
      </c>
      <c r="R657" s="77" t="e">
        <f>VLOOKUP($C657,'Component List'!C$2:D$28,2,FALSE)</f>
        <v>#N/A</v>
      </c>
      <c r="S657" s="77" t="e">
        <f>VLOOKUP($D657,'Component List'!E$2:F$30,2,FALSE)</f>
        <v>#N/A</v>
      </c>
      <c r="T657" s="77" t="e">
        <f>VLOOKUP($E657,'Component List'!G$2:H$30,2,FALSE)</f>
        <v>#N/A</v>
      </c>
      <c r="U657" s="77" t="e">
        <f>VLOOKUP($F657,'Component List'!I$2:J$30,2,FALSE)</f>
        <v>#N/A</v>
      </c>
      <c r="V657" s="77" t="e">
        <f>VLOOKUP(G657,'Component List'!K$2:L$30,2,FALSE)</f>
        <v>#N/A</v>
      </c>
      <c r="W657" s="77" t="e">
        <f>VLOOKUP(H657,'Component List'!M$2:N$31,2,FALSE)</f>
        <v>#N/A</v>
      </c>
      <c r="X657" s="77" t="e">
        <f>VLOOKUP(I657,'Component List'!O$2:P$30,2,FALSE)</f>
        <v>#N/A</v>
      </c>
      <c r="Y657" s="77" t="e">
        <f>VLOOKUP(J657,'Component List'!Q$2:R$30,2,FALSE)</f>
        <v>#N/A</v>
      </c>
      <c r="Z657" s="77" t="e">
        <f>VLOOKUP(K657,'Component List'!S$2:T$30,2,FALSE)</f>
        <v>#N/A</v>
      </c>
      <c r="AA657" s="77" t="e">
        <f>VLOOKUP(L657,'Component List'!U$2:V$30,2,FALSE)</f>
        <v>#N/A</v>
      </c>
      <c r="AB657" s="77" t="e">
        <f>VLOOKUP(M657,'Component List'!AA$2:AB$30,2,FALSE)</f>
        <v>#N/A</v>
      </c>
      <c r="AC657" s="77" t="e">
        <f>VLOOKUP(N657,'Component List'!Y$2:Z$30,2,FALSE)</f>
        <v>#N/A</v>
      </c>
      <c r="AD657" s="159" t="e">
        <f>VLOOKUP(O657,'Component List'!W$3:X$30,2,FALSE)</f>
        <v>#N/A</v>
      </c>
    </row>
    <row r="658" spans="1:30" ht="30" customHeight="1" x14ac:dyDescent="0.3">
      <c r="A658" s="231"/>
      <c r="B658" s="173"/>
      <c r="C658" s="78"/>
      <c r="D658" s="78"/>
      <c r="E658" s="79"/>
      <c r="F658" s="78"/>
      <c r="G658" s="78"/>
      <c r="H658" s="78"/>
      <c r="I658" s="78"/>
      <c r="J658" s="78"/>
      <c r="K658" s="110"/>
      <c r="L658" s="110"/>
      <c r="M658" s="78"/>
      <c r="N658" s="78"/>
      <c r="O658" s="117"/>
      <c r="P658" s="114" t="e">
        <f t="shared" si="9"/>
        <v>#N/A</v>
      </c>
      <c r="Q658" s="77" t="e">
        <f>VLOOKUP($B658,'Component List'!$A$2:$B$30,2,FALSE)</f>
        <v>#N/A</v>
      </c>
      <c r="R658" s="77" t="e">
        <f>VLOOKUP($C658,'Component List'!C$2:D$28,2,FALSE)</f>
        <v>#N/A</v>
      </c>
      <c r="S658" s="77" t="e">
        <f>VLOOKUP($D658,'Component List'!E$2:F$30,2,FALSE)</f>
        <v>#N/A</v>
      </c>
      <c r="T658" s="77" t="e">
        <f>VLOOKUP($E658,'Component List'!G$2:H$30,2,FALSE)</f>
        <v>#N/A</v>
      </c>
      <c r="U658" s="77" t="e">
        <f>VLOOKUP($F658,'Component List'!I$2:J$30,2,FALSE)</f>
        <v>#N/A</v>
      </c>
      <c r="V658" s="77" t="e">
        <f>VLOOKUP(G658,'Component List'!K$2:L$30,2,FALSE)</f>
        <v>#N/A</v>
      </c>
      <c r="W658" s="77" t="e">
        <f>VLOOKUP(H658,'Component List'!M$2:N$31,2,FALSE)</f>
        <v>#N/A</v>
      </c>
      <c r="X658" s="77" t="e">
        <f>VLOOKUP(I658,'Component List'!O$2:P$30,2,FALSE)</f>
        <v>#N/A</v>
      </c>
      <c r="Y658" s="77" t="e">
        <f>VLOOKUP(J658,'Component List'!Q$2:R$30,2,FALSE)</f>
        <v>#N/A</v>
      </c>
      <c r="Z658" s="77" t="e">
        <f>VLOOKUP(K658,'Component List'!S$2:T$30,2,FALSE)</f>
        <v>#N/A</v>
      </c>
      <c r="AA658" s="77" t="e">
        <f>VLOOKUP(L658,'Component List'!U$2:V$30,2,FALSE)</f>
        <v>#N/A</v>
      </c>
      <c r="AB658" s="77" t="e">
        <f>VLOOKUP(M658,'Component List'!AA$2:AB$30,2,FALSE)</f>
        <v>#N/A</v>
      </c>
      <c r="AC658" s="77" t="e">
        <f>VLOOKUP(N658,'Component List'!Y$2:Z$30,2,FALSE)</f>
        <v>#N/A</v>
      </c>
      <c r="AD658" s="159" t="e">
        <f>VLOOKUP(O658,'Component List'!W$3:X$30,2,FALSE)</f>
        <v>#N/A</v>
      </c>
    </row>
    <row r="659" spans="1:30" ht="30" customHeight="1" x14ac:dyDescent="0.3">
      <c r="A659" s="231"/>
      <c r="B659" s="173"/>
      <c r="C659" s="78"/>
      <c r="D659" s="78"/>
      <c r="E659" s="79"/>
      <c r="F659" s="78"/>
      <c r="G659" s="78"/>
      <c r="H659" s="78"/>
      <c r="I659" s="78"/>
      <c r="J659" s="78"/>
      <c r="K659" s="110"/>
      <c r="L659" s="110"/>
      <c r="M659" s="78"/>
      <c r="N659" s="78"/>
      <c r="O659" s="117"/>
      <c r="P659" s="114" t="e">
        <f t="shared" si="9"/>
        <v>#N/A</v>
      </c>
      <c r="Q659" s="77" t="e">
        <f>VLOOKUP($B659,'Component List'!$A$2:$B$30,2,FALSE)</f>
        <v>#N/A</v>
      </c>
      <c r="R659" s="77" t="e">
        <f>VLOOKUP($C659,'Component List'!C$2:D$28,2,FALSE)</f>
        <v>#N/A</v>
      </c>
      <c r="S659" s="77" t="e">
        <f>VLOOKUP($D659,'Component List'!E$2:F$30,2,FALSE)</f>
        <v>#N/A</v>
      </c>
      <c r="T659" s="77" t="e">
        <f>VLOOKUP($E659,'Component List'!G$2:H$30,2,FALSE)</f>
        <v>#N/A</v>
      </c>
      <c r="U659" s="77" t="e">
        <f>VLOOKUP($F659,'Component List'!I$2:J$30,2,FALSE)</f>
        <v>#N/A</v>
      </c>
      <c r="V659" s="77" t="e">
        <f>VLOOKUP(G659,'Component List'!K$2:L$30,2,FALSE)</f>
        <v>#N/A</v>
      </c>
      <c r="W659" s="77" t="e">
        <f>VLOOKUP(H659,'Component List'!M$2:N$31,2,FALSE)</f>
        <v>#N/A</v>
      </c>
      <c r="X659" s="77" t="e">
        <f>VLOOKUP(I659,'Component List'!O$2:P$30,2,FALSE)</f>
        <v>#N/A</v>
      </c>
      <c r="Y659" s="77" t="e">
        <f>VLOOKUP(J659,'Component List'!Q$2:R$30,2,FALSE)</f>
        <v>#N/A</v>
      </c>
      <c r="Z659" s="77" t="e">
        <f>VLOOKUP(K659,'Component List'!S$2:T$30,2,FALSE)</f>
        <v>#N/A</v>
      </c>
      <c r="AA659" s="77" t="e">
        <f>VLOOKUP(L659,'Component List'!U$2:V$30,2,FALSE)</f>
        <v>#N/A</v>
      </c>
      <c r="AB659" s="77" t="e">
        <f>VLOOKUP(M659,'Component List'!AA$2:AB$30,2,FALSE)</f>
        <v>#N/A</v>
      </c>
      <c r="AC659" s="77" t="e">
        <f>VLOOKUP(N659,'Component List'!Y$2:Z$30,2,FALSE)</f>
        <v>#N/A</v>
      </c>
      <c r="AD659" s="159" t="e">
        <f>VLOOKUP(O659,'Component List'!W$3:X$30,2,FALSE)</f>
        <v>#N/A</v>
      </c>
    </row>
    <row r="660" spans="1:30" ht="30" customHeight="1" x14ac:dyDescent="0.3">
      <c r="A660" s="231"/>
      <c r="B660" s="173"/>
      <c r="C660" s="78"/>
      <c r="D660" s="78"/>
      <c r="E660" s="79"/>
      <c r="F660" s="78"/>
      <c r="G660" s="78"/>
      <c r="H660" s="78"/>
      <c r="I660" s="78"/>
      <c r="J660" s="78"/>
      <c r="K660" s="110"/>
      <c r="L660" s="110"/>
      <c r="M660" s="78"/>
      <c r="N660" s="78"/>
      <c r="O660" s="117"/>
      <c r="P660" s="114" t="e">
        <f t="shared" si="9"/>
        <v>#N/A</v>
      </c>
      <c r="Q660" s="77" t="e">
        <f>VLOOKUP($B660,'Component List'!$A$2:$B$30,2,FALSE)</f>
        <v>#N/A</v>
      </c>
      <c r="R660" s="77" t="e">
        <f>VLOOKUP($C660,'Component List'!C$2:D$28,2,FALSE)</f>
        <v>#N/A</v>
      </c>
      <c r="S660" s="77" t="e">
        <f>VLOOKUP($D660,'Component List'!E$2:F$30,2,FALSE)</f>
        <v>#N/A</v>
      </c>
      <c r="T660" s="77" t="e">
        <f>VLOOKUP($E660,'Component List'!G$2:H$30,2,FALSE)</f>
        <v>#N/A</v>
      </c>
      <c r="U660" s="77" t="e">
        <f>VLOOKUP($F660,'Component List'!I$2:J$30,2,FALSE)</f>
        <v>#N/A</v>
      </c>
      <c r="V660" s="77" t="e">
        <f>VLOOKUP(G660,'Component List'!K$2:L$30,2,FALSE)</f>
        <v>#N/A</v>
      </c>
      <c r="W660" s="77" t="e">
        <f>VLOOKUP(H660,'Component List'!M$2:N$31,2,FALSE)</f>
        <v>#N/A</v>
      </c>
      <c r="X660" s="77" t="e">
        <f>VLOOKUP(I660,'Component List'!O$2:P$30,2,FALSE)</f>
        <v>#N/A</v>
      </c>
      <c r="Y660" s="77" t="e">
        <f>VLOOKUP(J660,'Component List'!Q$2:R$30,2,FALSE)</f>
        <v>#N/A</v>
      </c>
      <c r="Z660" s="77" t="e">
        <f>VLOOKUP(K660,'Component List'!S$2:T$30,2,FALSE)</f>
        <v>#N/A</v>
      </c>
      <c r="AA660" s="77" t="e">
        <f>VLOOKUP(L660,'Component List'!U$2:V$30,2,FALSE)</f>
        <v>#N/A</v>
      </c>
      <c r="AB660" s="77" t="e">
        <f>VLOOKUP(M660,'Component List'!AA$2:AB$30,2,FALSE)</f>
        <v>#N/A</v>
      </c>
      <c r="AC660" s="77" t="e">
        <f>VLOOKUP(N660,'Component List'!Y$2:Z$30,2,FALSE)</f>
        <v>#N/A</v>
      </c>
      <c r="AD660" s="159" t="e">
        <f>VLOOKUP(O660,'Component List'!W$3:X$30,2,FALSE)</f>
        <v>#N/A</v>
      </c>
    </row>
    <row r="661" spans="1:30" ht="30" customHeight="1" x14ac:dyDescent="0.3">
      <c r="A661" s="231"/>
      <c r="B661" s="173"/>
      <c r="C661" s="78"/>
      <c r="D661" s="78"/>
      <c r="E661" s="79"/>
      <c r="F661" s="78"/>
      <c r="G661" s="78"/>
      <c r="H661" s="78"/>
      <c r="I661" s="78"/>
      <c r="J661" s="78"/>
      <c r="K661" s="110"/>
      <c r="L661" s="110"/>
      <c r="M661" s="78"/>
      <c r="N661" s="78"/>
      <c r="O661" s="117"/>
      <c r="P661" s="114" t="e">
        <f t="shared" si="9"/>
        <v>#N/A</v>
      </c>
      <c r="Q661" s="77" t="e">
        <f>VLOOKUP($B661,'Component List'!$A$2:$B$30,2,FALSE)</f>
        <v>#N/A</v>
      </c>
      <c r="R661" s="77" t="e">
        <f>VLOOKUP($C661,'Component List'!C$2:D$28,2,FALSE)</f>
        <v>#N/A</v>
      </c>
      <c r="S661" s="77" t="e">
        <f>VLOOKUP($D661,'Component List'!E$2:F$30,2,FALSE)</f>
        <v>#N/A</v>
      </c>
      <c r="T661" s="77" t="e">
        <f>VLOOKUP($E661,'Component List'!G$2:H$30,2,FALSE)</f>
        <v>#N/A</v>
      </c>
      <c r="U661" s="77" t="e">
        <f>VLOOKUP($F661,'Component List'!I$2:J$30,2,FALSE)</f>
        <v>#N/A</v>
      </c>
      <c r="V661" s="77" t="e">
        <f>VLOOKUP(G661,'Component List'!K$2:L$30,2,FALSE)</f>
        <v>#N/A</v>
      </c>
      <c r="W661" s="77" t="e">
        <f>VLOOKUP(H661,'Component List'!M$2:N$31,2,FALSE)</f>
        <v>#N/A</v>
      </c>
      <c r="X661" s="77" t="e">
        <f>VLOOKUP(I661,'Component List'!O$2:P$30,2,FALSE)</f>
        <v>#N/A</v>
      </c>
      <c r="Y661" s="77" t="e">
        <f>VLOOKUP(J661,'Component List'!Q$2:R$30,2,FALSE)</f>
        <v>#N/A</v>
      </c>
      <c r="Z661" s="77" t="e">
        <f>VLOOKUP(K661,'Component List'!S$2:T$30,2,FALSE)</f>
        <v>#N/A</v>
      </c>
      <c r="AA661" s="77" t="e">
        <f>VLOOKUP(L661,'Component List'!U$2:V$30,2,FALSE)</f>
        <v>#N/A</v>
      </c>
      <c r="AB661" s="77" t="e">
        <f>VLOOKUP(M661,'Component List'!AA$2:AB$30,2,FALSE)</f>
        <v>#N/A</v>
      </c>
      <c r="AC661" s="77" t="e">
        <f>VLOOKUP(N661,'Component List'!Y$2:Z$30,2,FALSE)</f>
        <v>#N/A</v>
      </c>
      <c r="AD661" s="159" t="e">
        <f>VLOOKUP(O661,'Component List'!W$3:X$30,2,FALSE)</f>
        <v>#N/A</v>
      </c>
    </row>
    <row r="662" spans="1:30" ht="30" customHeight="1" x14ac:dyDescent="0.3">
      <c r="A662" s="231"/>
      <c r="B662" s="173"/>
      <c r="C662" s="78"/>
      <c r="D662" s="78"/>
      <c r="E662" s="79"/>
      <c r="F662" s="78"/>
      <c r="G662" s="78"/>
      <c r="H662" s="78"/>
      <c r="I662" s="78"/>
      <c r="J662" s="78"/>
      <c r="K662" s="110"/>
      <c r="L662" s="110"/>
      <c r="M662" s="78"/>
      <c r="N662" s="78"/>
      <c r="O662" s="117"/>
      <c r="P662" s="114" t="e">
        <f t="shared" si="9"/>
        <v>#N/A</v>
      </c>
      <c r="Q662" s="77" t="e">
        <f>VLOOKUP($B662,'Component List'!$A$2:$B$30,2,FALSE)</f>
        <v>#N/A</v>
      </c>
      <c r="R662" s="77" t="e">
        <f>VLOOKUP($C662,'Component List'!C$2:D$28,2,FALSE)</f>
        <v>#N/A</v>
      </c>
      <c r="S662" s="77" t="e">
        <f>VLOOKUP($D662,'Component List'!E$2:F$30,2,FALSE)</f>
        <v>#N/A</v>
      </c>
      <c r="T662" s="77" t="e">
        <f>VLOOKUP($E662,'Component List'!G$2:H$30,2,FALSE)</f>
        <v>#N/A</v>
      </c>
      <c r="U662" s="77" t="e">
        <f>VLOOKUP($F662,'Component List'!I$2:J$30,2,FALSE)</f>
        <v>#N/A</v>
      </c>
      <c r="V662" s="77" t="e">
        <f>VLOOKUP(G662,'Component List'!K$2:L$30,2,FALSE)</f>
        <v>#N/A</v>
      </c>
      <c r="W662" s="77" t="e">
        <f>VLOOKUP(H662,'Component List'!M$2:N$31,2,FALSE)</f>
        <v>#N/A</v>
      </c>
      <c r="X662" s="77" t="e">
        <f>VLOOKUP(I662,'Component List'!O$2:P$30,2,FALSE)</f>
        <v>#N/A</v>
      </c>
      <c r="Y662" s="77" t="e">
        <f>VLOOKUP(J662,'Component List'!Q$2:R$30,2,FALSE)</f>
        <v>#N/A</v>
      </c>
      <c r="Z662" s="77" t="e">
        <f>VLOOKUP(K662,'Component List'!S$2:T$30,2,FALSE)</f>
        <v>#N/A</v>
      </c>
      <c r="AA662" s="77" t="e">
        <f>VLOOKUP(L662,'Component List'!U$2:V$30,2,FALSE)</f>
        <v>#N/A</v>
      </c>
      <c r="AB662" s="77" t="e">
        <f>VLOOKUP(M662,'Component List'!AA$2:AB$30,2,FALSE)</f>
        <v>#N/A</v>
      </c>
      <c r="AC662" s="77" t="e">
        <f>VLOOKUP(N662,'Component List'!Y$2:Z$30,2,FALSE)</f>
        <v>#N/A</v>
      </c>
      <c r="AD662" s="159" t="e">
        <f>VLOOKUP(O662,'Component List'!W$3:X$30,2,FALSE)</f>
        <v>#N/A</v>
      </c>
    </row>
    <row r="663" spans="1:30" ht="30" customHeight="1" x14ac:dyDescent="0.3">
      <c r="A663" s="231"/>
      <c r="B663" s="173"/>
      <c r="C663" s="78"/>
      <c r="D663" s="78"/>
      <c r="E663" s="79"/>
      <c r="F663" s="78"/>
      <c r="G663" s="78"/>
      <c r="H663" s="78"/>
      <c r="I663" s="78"/>
      <c r="J663" s="78"/>
      <c r="K663" s="110"/>
      <c r="L663" s="110"/>
      <c r="M663" s="78"/>
      <c r="N663" s="78"/>
      <c r="O663" s="117"/>
      <c r="P663" s="114" t="e">
        <f t="shared" si="9"/>
        <v>#N/A</v>
      </c>
      <c r="Q663" s="77" t="e">
        <f>VLOOKUP($B663,'Component List'!$A$2:$B$30,2,FALSE)</f>
        <v>#N/A</v>
      </c>
      <c r="R663" s="77" t="e">
        <f>VLOOKUP($C663,'Component List'!C$2:D$28,2,FALSE)</f>
        <v>#N/A</v>
      </c>
      <c r="S663" s="77" t="e">
        <f>VLOOKUP($D663,'Component List'!E$2:F$30,2,FALSE)</f>
        <v>#N/A</v>
      </c>
      <c r="T663" s="77" t="e">
        <f>VLOOKUP($E663,'Component List'!G$2:H$30,2,FALSE)</f>
        <v>#N/A</v>
      </c>
      <c r="U663" s="77" t="e">
        <f>VLOOKUP($F663,'Component List'!I$2:J$30,2,FALSE)</f>
        <v>#N/A</v>
      </c>
      <c r="V663" s="77" t="e">
        <f>VLOOKUP(G663,'Component List'!K$2:L$30,2,FALSE)</f>
        <v>#N/A</v>
      </c>
      <c r="W663" s="77" t="e">
        <f>VLOOKUP(H663,'Component List'!M$2:N$31,2,FALSE)</f>
        <v>#N/A</v>
      </c>
      <c r="X663" s="77" t="e">
        <f>VLOOKUP(I663,'Component List'!O$2:P$30,2,FALSE)</f>
        <v>#N/A</v>
      </c>
      <c r="Y663" s="77" t="e">
        <f>VLOOKUP(J663,'Component List'!Q$2:R$30,2,FALSE)</f>
        <v>#N/A</v>
      </c>
      <c r="Z663" s="77" t="e">
        <f>VLOOKUP(K663,'Component List'!S$2:T$30,2,FALSE)</f>
        <v>#N/A</v>
      </c>
      <c r="AA663" s="77" t="e">
        <f>VLOOKUP(L663,'Component List'!U$2:V$30,2,FALSE)</f>
        <v>#N/A</v>
      </c>
      <c r="AB663" s="77" t="e">
        <f>VLOOKUP(M663,'Component List'!AA$2:AB$30,2,FALSE)</f>
        <v>#N/A</v>
      </c>
      <c r="AC663" s="77" t="e">
        <f>VLOOKUP(N663,'Component List'!Y$2:Z$30,2,FALSE)</f>
        <v>#N/A</v>
      </c>
      <c r="AD663" s="159" t="e">
        <f>VLOOKUP(O663,'Component List'!W$3:X$30,2,FALSE)</f>
        <v>#N/A</v>
      </c>
    </row>
    <row r="664" spans="1:30" ht="30" customHeight="1" x14ac:dyDescent="0.3">
      <c r="A664" s="231"/>
      <c r="B664" s="173"/>
      <c r="C664" s="78"/>
      <c r="D664" s="78"/>
      <c r="E664" s="79"/>
      <c r="F664" s="78"/>
      <c r="G664" s="78"/>
      <c r="H664" s="78"/>
      <c r="I664" s="78"/>
      <c r="J664" s="78"/>
      <c r="K664" s="110"/>
      <c r="L664" s="110"/>
      <c r="M664" s="78"/>
      <c r="N664" s="78"/>
      <c r="O664" s="117"/>
      <c r="P664" s="114" t="e">
        <f t="shared" si="9"/>
        <v>#N/A</v>
      </c>
      <c r="Q664" s="77" t="e">
        <f>VLOOKUP($B664,'Component List'!$A$2:$B$30,2,FALSE)</f>
        <v>#N/A</v>
      </c>
      <c r="R664" s="77" t="e">
        <f>VLOOKUP($C664,'Component List'!C$2:D$28,2,FALSE)</f>
        <v>#N/A</v>
      </c>
      <c r="S664" s="77" t="e">
        <f>VLOOKUP($D664,'Component List'!E$2:F$30,2,FALSE)</f>
        <v>#N/A</v>
      </c>
      <c r="T664" s="77" t="e">
        <f>VLOOKUP($E664,'Component List'!G$2:H$30,2,FALSE)</f>
        <v>#N/A</v>
      </c>
      <c r="U664" s="77" t="e">
        <f>VLOOKUP($F664,'Component List'!I$2:J$30,2,FALSE)</f>
        <v>#N/A</v>
      </c>
      <c r="V664" s="77" t="e">
        <f>VLOOKUP(G664,'Component List'!K$2:L$30,2,FALSE)</f>
        <v>#N/A</v>
      </c>
      <c r="W664" s="77" t="e">
        <f>VLOOKUP(H664,'Component List'!M$2:N$31,2,FALSE)</f>
        <v>#N/A</v>
      </c>
      <c r="X664" s="77" t="e">
        <f>VLOOKUP(I664,'Component List'!O$2:P$30,2,FALSE)</f>
        <v>#N/A</v>
      </c>
      <c r="Y664" s="77" t="e">
        <f>VLOOKUP(J664,'Component List'!Q$2:R$30,2,FALSE)</f>
        <v>#N/A</v>
      </c>
      <c r="Z664" s="77" t="e">
        <f>VLOOKUP(K664,'Component List'!S$2:T$30,2,FALSE)</f>
        <v>#N/A</v>
      </c>
      <c r="AA664" s="77" t="e">
        <f>VLOOKUP(L664,'Component List'!U$2:V$30,2,FALSE)</f>
        <v>#N/A</v>
      </c>
      <c r="AB664" s="77" t="e">
        <f>VLOOKUP(M664,'Component List'!AA$2:AB$30,2,FALSE)</f>
        <v>#N/A</v>
      </c>
      <c r="AC664" s="77" t="e">
        <f>VLOOKUP(N664,'Component List'!Y$2:Z$30,2,FALSE)</f>
        <v>#N/A</v>
      </c>
      <c r="AD664" s="159" t="e">
        <f>VLOOKUP(O664,'Component List'!W$3:X$30,2,FALSE)</f>
        <v>#N/A</v>
      </c>
    </row>
    <row r="665" spans="1:30" ht="30" customHeight="1" x14ac:dyDescent="0.3">
      <c r="A665" s="231"/>
      <c r="B665" s="173"/>
      <c r="C665" s="78"/>
      <c r="D665" s="78"/>
      <c r="E665" s="79"/>
      <c r="F665" s="78"/>
      <c r="G665" s="78"/>
      <c r="H665" s="78"/>
      <c r="I665" s="78"/>
      <c r="J665" s="78"/>
      <c r="K665" s="110"/>
      <c r="L665" s="110"/>
      <c r="M665" s="78"/>
      <c r="N665" s="78"/>
      <c r="O665" s="117"/>
      <c r="P665" s="114" t="e">
        <f t="shared" si="9"/>
        <v>#N/A</v>
      </c>
      <c r="Q665" s="77" t="e">
        <f>VLOOKUP($B665,'Component List'!$A$2:$B$30,2,FALSE)</f>
        <v>#N/A</v>
      </c>
      <c r="R665" s="77" t="e">
        <f>VLOOKUP($C665,'Component List'!C$2:D$28,2,FALSE)</f>
        <v>#N/A</v>
      </c>
      <c r="S665" s="77" t="e">
        <f>VLOOKUP($D665,'Component List'!E$2:F$30,2,FALSE)</f>
        <v>#N/A</v>
      </c>
      <c r="T665" s="77" t="e">
        <f>VLOOKUP($E665,'Component List'!G$2:H$30,2,FALSE)</f>
        <v>#N/A</v>
      </c>
      <c r="U665" s="77" t="e">
        <f>VLOOKUP($F665,'Component List'!I$2:J$30,2,FALSE)</f>
        <v>#N/A</v>
      </c>
      <c r="V665" s="77" t="e">
        <f>VLOOKUP(G665,'Component List'!K$2:L$30,2,FALSE)</f>
        <v>#N/A</v>
      </c>
      <c r="W665" s="77" t="e">
        <f>VLOOKUP(H665,'Component List'!M$2:N$31,2,FALSE)</f>
        <v>#N/A</v>
      </c>
      <c r="X665" s="77" t="e">
        <f>VLOOKUP(I665,'Component List'!O$2:P$30,2,FALSE)</f>
        <v>#N/A</v>
      </c>
      <c r="Y665" s="77" t="e">
        <f>VLOOKUP(J665,'Component List'!Q$2:R$30,2,FALSE)</f>
        <v>#N/A</v>
      </c>
      <c r="Z665" s="77" t="e">
        <f>VLOOKUP(K665,'Component List'!S$2:T$30,2,FALSE)</f>
        <v>#N/A</v>
      </c>
      <c r="AA665" s="77" t="e">
        <f>VLOOKUP(L665,'Component List'!U$2:V$30,2,FALSE)</f>
        <v>#N/A</v>
      </c>
      <c r="AB665" s="77" t="e">
        <f>VLOOKUP(M665,'Component List'!AA$2:AB$30,2,FALSE)</f>
        <v>#N/A</v>
      </c>
      <c r="AC665" s="77" t="e">
        <f>VLOOKUP(N665,'Component List'!Y$2:Z$30,2,FALSE)</f>
        <v>#N/A</v>
      </c>
      <c r="AD665" s="159" t="e">
        <f>VLOOKUP(O665,'Component List'!W$3:X$30,2,FALSE)</f>
        <v>#N/A</v>
      </c>
    </row>
    <row r="666" spans="1:30" ht="30" customHeight="1" x14ac:dyDescent="0.3">
      <c r="A666" s="231"/>
      <c r="B666" s="173"/>
      <c r="C666" s="78"/>
      <c r="D666" s="78"/>
      <c r="E666" s="79"/>
      <c r="F666" s="78"/>
      <c r="G666" s="78"/>
      <c r="H666" s="78"/>
      <c r="I666" s="78"/>
      <c r="J666" s="78"/>
      <c r="K666" s="110"/>
      <c r="L666" s="110"/>
      <c r="M666" s="78"/>
      <c r="N666" s="78"/>
      <c r="O666" s="117"/>
      <c r="P666" s="114" t="e">
        <f t="shared" si="9"/>
        <v>#N/A</v>
      </c>
      <c r="Q666" s="77" t="e">
        <f>VLOOKUP($B666,'Component List'!$A$2:$B$30,2,FALSE)</f>
        <v>#N/A</v>
      </c>
      <c r="R666" s="77" t="e">
        <f>VLOOKUP($C666,'Component List'!C$2:D$28,2,FALSE)</f>
        <v>#N/A</v>
      </c>
      <c r="S666" s="77" t="e">
        <f>VLOOKUP($D666,'Component List'!E$2:F$30,2,FALSE)</f>
        <v>#N/A</v>
      </c>
      <c r="T666" s="77" t="e">
        <f>VLOOKUP($E666,'Component List'!G$2:H$30,2,FALSE)</f>
        <v>#N/A</v>
      </c>
      <c r="U666" s="77" t="e">
        <f>VLOOKUP($F666,'Component List'!I$2:J$30,2,FALSE)</f>
        <v>#N/A</v>
      </c>
      <c r="V666" s="77" t="e">
        <f>VLOOKUP(G666,'Component List'!K$2:L$30,2,FALSE)</f>
        <v>#N/A</v>
      </c>
      <c r="W666" s="77" t="e">
        <f>VLOOKUP(H666,'Component List'!M$2:N$31,2,FALSE)</f>
        <v>#N/A</v>
      </c>
      <c r="X666" s="77" t="e">
        <f>VLOOKUP(I666,'Component List'!O$2:P$30,2,FALSE)</f>
        <v>#N/A</v>
      </c>
      <c r="Y666" s="77" t="e">
        <f>VLOOKUP(J666,'Component List'!Q$2:R$30,2,FALSE)</f>
        <v>#N/A</v>
      </c>
      <c r="Z666" s="77" t="e">
        <f>VLOOKUP(K666,'Component List'!S$2:T$30,2,FALSE)</f>
        <v>#N/A</v>
      </c>
      <c r="AA666" s="77" t="e">
        <f>VLOOKUP(L666,'Component List'!U$2:V$30,2,FALSE)</f>
        <v>#N/A</v>
      </c>
      <c r="AB666" s="77" t="e">
        <f>VLOOKUP(M666,'Component List'!AA$2:AB$30,2,FALSE)</f>
        <v>#N/A</v>
      </c>
      <c r="AC666" s="77" t="e">
        <f>VLOOKUP(N666,'Component List'!Y$2:Z$30,2,FALSE)</f>
        <v>#N/A</v>
      </c>
      <c r="AD666" s="159" t="e">
        <f>VLOOKUP(O666,'Component List'!W$3:X$30,2,FALSE)</f>
        <v>#N/A</v>
      </c>
    </row>
    <row r="667" spans="1:30" ht="30" customHeight="1" x14ac:dyDescent="0.3">
      <c r="A667" s="231"/>
      <c r="B667" s="173"/>
      <c r="C667" s="78"/>
      <c r="D667" s="78"/>
      <c r="E667" s="79"/>
      <c r="F667" s="78"/>
      <c r="G667" s="78"/>
      <c r="H667" s="78"/>
      <c r="I667" s="78"/>
      <c r="J667" s="78"/>
      <c r="K667" s="110"/>
      <c r="L667" s="110"/>
      <c r="M667" s="78"/>
      <c r="N667" s="78"/>
      <c r="O667" s="117"/>
      <c r="P667" s="114" t="e">
        <f t="shared" si="9"/>
        <v>#N/A</v>
      </c>
      <c r="Q667" s="77" t="e">
        <f>VLOOKUP($B667,'Component List'!$A$2:$B$30,2,FALSE)</f>
        <v>#N/A</v>
      </c>
      <c r="R667" s="77" t="e">
        <f>VLOOKUP($C667,'Component List'!C$2:D$28,2,FALSE)</f>
        <v>#N/A</v>
      </c>
      <c r="S667" s="77" t="e">
        <f>VLOOKUP($D667,'Component List'!E$2:F$30,2,FALSE)</f>
        <v>#N/A</v>
      </c>
      <c r="T667" s="77" t="e">
        <f>VLOOKUP($E667,'Component List'!G$2:H$30,2,FALSE)</f>
        <v>#N/A</v>
      </c>
      <c r="U667" s="77" t="e">
        <f>VLOOKUP($F667,'Component List'!I$2:J$30,2,FALSE)</f>
        <v>#N/A</v>
      </c>
      <c r="V667" s="77" t="e">
        <f>VLOOKUP(G667,'Component List'!K$2:L$30,2,FALSE)</f>
        <v>#N/A</v>
      </c>
      <c r="W667" s="77" t="e">
        <f>VLOOKUP(H667,'Component List'!M$2:N$31,2,FALSE)</f>
        <v>#N/A</v>
      </c>
      <c r="X667" s="77" t="e">
        <f>VLOOKUP(I667,'Component List'!O$2:P$30,2,FALSE)</f>
        <v>#N/A</v>
      </c>
      <c r="Y667" s="77" t="e">
        <f>VLOOKUP(J667,'Component List'!Q$2:R$30,2,FALSE)</f>
        <v>#N/A</v>
      </c>
      <c r="Z667" s="77" t="e">
        <f>VLOOKUP(K667,'Component List'!S$2:T$30,2,FALSE)</f>
        <v>#N/A</v>
      </c>
      <c r="AA667" s="77" t="e">
        <f>VLOOKUP(L667,'Component List'!U$2:V$30,2,FALSE)</f>
        <v>#N/A</v>
      </c>
      <c r="AB667" s="77" t="e">
        <f>VLOOKUP(M667,'Component List'!AA$2:AB$30,2,FALSE)</f>
        <v>#N/A</v>
      </c>
      <c r="AC667" s="77" t="e">
        <f>VLOOKUP(N667,'Component List'!Y$2:Z$30,2,FALSE)</f>
        <v>#N/A</v>
      </c>
      <c r="AD667" s="159" t="e">
        <f>VLOOKUP(O667,'Component List'!W$3:X$30,2,FALSE)</f>
        <v>#N/A</v>
      </c>
    </row>
    <row r="668" spans="1:30" ht="30" customHeight="1" x14ac:dyDescent="0.3">
      <c r="A668" s="231"/>
      <c r="B668" s="173"/>
      <c r="C668" s="78"/>
      <c r="D668" s="78"/>
      <c r="E668" s="79"/>
      <c r="F668" s="78"/>
      <c r="G668" s="78"/>
      <c r="H668" s="78"/>
      <c r="I668" s="78"/>
      <c r="J668" s="78"/>
      <c r="K668" s="110"/>
      <c r="L668" s="110"/>
      <c r="M668" s="78"/>
      <c r="N668" s="78"/>
      <c r="O668" s="117"/>
      <c r="P668" s="114" t="e">
        <f t="shared" si="9"/>
        <v>#N/A</v>
      </c>
      <c r="Q668" s="77" t="e">
        <f>VLOOKUP($B668,'Component List'!$A$2:$B$30,2,FALSE)</f>
        <v>#N/A</v>
      </c>
      <c r="R668" s="77" t="e">
        <f>VLOOKUP($C668,'Component List'!C$2:D$28,2,FALSE)</f>
        <v>#N/A</v>
      </c>
      <c r="S668" s="77" t="e">
        <f>VLOOKUP($D668,'Component List'!E$2:F$30,2,FALSE)</f>
        <v>#N/A</v>
      </c>
      <c r="T668" s="77" t="e">
        <f>VLOOKUP($E668,'Component List'!G$2:H$30,2,FALSE)</f>
        <v>#N/A</v>
      </c>
      <c r="U668" s="77" t="e">
        <f>VLOOKUP($F668,'Component List'!I$2:J$30,2,FALSE)</f>
        <v>#N/A</v>
      </c>
      <c r="V668" s="77" t="e">
        <f>VLOOKUP(G668,'Component List'!K$2:L$30,2,FALSE)</f>
        <v>#N/A</v>
      </c>
      <c r="W668" s="77" t="e">
        <f>VLOOKUP(H668,'Component List'!M$2:N$31,2,FALSE)</f>
        <v>#N/A</v>
      </c>
      <c r="X668" s="77" t="e">
        <f>VLOOKUP(I668,'Component List'!O$2:P$30,2,FALSE)</f>
        <v>#N/A</v>
      </c>
      <c r="Y668" s="77" t="e">
        <f>VLOOKUP(J668,'Component List'!Q$2:R$30,2,FALSE)</f>
        <v>#N/A</v>
      </c>
      <c r="Z668" s="77" t="e">
        <f>VLOOKUP(K668,'Component List'!S$2:T$30,2,FALSE)</f>
        <v>#N/A</v>
      </c>
      <c r="AA668" s="77" t="e">
        <f>VLOOKUP(L668,'Component List'!U$2:V$30,2,FALSE)</f>
        <v>#N/A</v>
      </c>
      <c r="AB668" s="77" t="e">
        <f>VLOOKUP(M668,'Component List'!AA$2:AB$30,2,FALSE)</f>
        <v>#N/A</v>
      </c>
      <c r="AC668" s="77" t="e">
        <f>VLOOKUP(N668,'Component List'!Y$2:Z$30,2,FALSE)</f>
        <v>#N/A</v>
      </c>
      <c r="AD668" s="159" t="e">
        <f>VLOOKUP(O668,'Component List'!W$3:X$30,2,FALSE)</f>
        <v>#N/A</v>
      </c>
    </row>
    <row r="669" spans="1:30" ht="30" customHeight="1" x14ac:dyDescent="0.3">
      <c r="A669" s="231"/>
      <c r="B669" s="173"/>
      <c r="C669" s="78"/>
      <c r="D669" s="78"/>
      <c r="E669" s="79"/>
      <c r="F669" s="78"/>
      <c r="G669" s="78"/>
      <c r="H669" s="78"/>
      <c r="I669" s="78"/>
      <c r="J669" s="78"/>
      <c r="K669" s="110"/>
      <c r="L669" s="110"/>
      <c r="M669" s="78"/>
      <c r="N669" s="78"/>
      <c r="O669" s="117"/>
      <c r="P669" s="114" t="e">
        <f t="shared" si="9"/>
        <v>#N/A</v>
      </c>
      <c r="Q669" s="77" t="e">
        <f>VLOOKUP($B669,'Component List'!$A$2:$B$30,2,FALSE)</f>
        <v>#N/A</v>
      </c>
      <c r="R669" s="77" t="e">
        <f>VLOOKUP($C669,'Component List'!C$2:D$28,2,FALSE)</f>
        <v>#N/A</v>
      </c>
      <c r="S669" s="77" t="e">
        <f>VLOOKUP($D669,'Component List'!E$2:F$30,2,FALSE)</f>
        <v>#N/A</v>
      </c>
      <c r="T669" s="77" t="e">
        <f>VLOOKUP($E669,'Component List'!G$2:H$30,2,FALSE)</f>
        <v>#N/A</v>
      </c>
      <c r="U669" s="77" t="e">
        <f>VLOOKUP($F669,'Component List'!I$2:J$30,2,FALSE)</f>
        <v>#N/A</v>
      </c>
      <c r="V669" s="77" t="e">
        <f>VLOOKUP(G669,'Component List'!K$2:L$30,2,FALSE)</f>
        <v>#N/A</v>
      </c>
      <c r="W669" s="77" t="e">
        <f>VLOOKUP(H669,'Component List'!M$2:N$31,2,FALSE)</f>
        <v>#N/A</v>
      </c>
      <c r="X669" s="77" t="e">
        <f>VLOOKUP(I669,'Component List'!O$2:P$30,2,FALSE)</f>
        <v>#N/A</v>
      </c>
      <c r="Y669" s="77" t="e">
        <f>VLOOKUP(J669,'Component List'!Q$2:R$30,2,FALSE)</f>
        <v>#N/A</v>
      </c>
      <c r="Z669" s="77" t="e">
        <f>VLOOKUP(K669,'Component List'!S$2:T$30,2,FALSE)</f>
        <v>#N/A</v>
      </c>
      <c r="AA669" s="77" t="e">
        <f>VLOOKUP(L669,'Component List'!U$2:V$30,2,FALSE)</f>
        <v>#N/A</v>
      </c>
      <c r="AB669" s="77" t="e">
        <f>VLOOKUP(M669,'Component List'!AA$2:AB$30,2,FALSE)</f>
        <v>#N/A</v>
      </c>
      <c r="AC669" s="77" t="e">
        <f>VLOOKUP(N669,'Component List'!Y$2:Z$30,2,FALSE)</f>
        <v>#N/A</v>
      </c>
      <c r="AD669" s="159" t="e">
        <f>VLOOKUP(O669,'Component List'!W$3:X$30,2,FALSE)</f>
        <v>#N/A</v>
      </c>
    </row>
    <row r="670" spans="1:30" ht="30" customHeight="1" x14ac:dyDescent="0.3">
      <c r="A670" s="231"/>
      <c r="B670" s="173"/>
      <c r="C670" s="78"/>
      <c r="D670" s="78"/>
      <c r="E670" s="79"/>
      <c r="F670" s="78"/>
      <c r="G670" s="78"/>
      <c r="H670" s="78"/>
      <c r="I670" s="78"/>
      <c r="J670" s="78"/>
      <c r="K670" s="110"/>
      <c r="L670" s="110"/>
      <c r="M670" s="78"/>
      <c r="N670" s="78"/>
      <c r="O670" s="117"/>
      <c r="P670" s="114" t="e">
        <f t="shared" si="9"/>
        <v>#N/A</v>
      </c>
      <c r="Q670" s="77" t="e">
        <f>VLOOKUP($B670,'Component List'!$A$2:$B$30,2,FALSE)</f>
        <v>#N/A</v>
      </c>
      <c r="R670" s="77" t="e">
        <f>VLOOKUP($C670,'Component List'!C$2:D$28,2,FALSE)</f>
        <v>#N/A</v>
      </c>
      <c r="S670" s="77" t="e">
        <f>VLOOKUP($D670,'Component List'!E$2:F$30,2,FALSE)</f>
        <v>#N/A</v>
      </c>
      <c r="T670" s="77" t="e">
        <f>VLOOKUP($E670,'Component List'!G$2:H$30,2,FALSE)</f>
        <v>#N/A</v>
      </c>
      <c r="U670" s="77" t="e">
        <f>VLOOKUP($F670,'Component List'!I$2:J$30,2,FALSE)</f>
        <v>#N/A</v>
      </c>
      <c r="V670" s="77" t="e">
        <f>VLOOKUP(G670,'Component List'!K$2:L$30,2,FALSE)</f>
        <v>#N/A</v>
      </c>
      <c r="W670" s="77" t="e">
        <f>VLOOKUP(H670,'Component List'!M$2:N$31,2,FALSE)</f>
        <v>#N/A</v>
      </c>
      <c r="X670" s="77" t="e">
        <f>VLOOKUP(I670,'Component List'!O$2:P$30,2,FALSE)</f>
        <v>#N/A</v>
      </c>
      <c r="Y670" s="77" t="e">
        <f>VLOOKUP(J670,'Component List'!Q$2:R$30,2,FALSE)</f>
        <v>#N/A</v>
      </c>
      <c r="Z670" s="77" t="e">
        <f>VLOOKUP(K670,'Component List'!S$2:T$30,2,FALSE)</f>
        <v>#N/A</v>
      </c>
      <c r="AA670" s="77" t="e">
        <f>VLOOKUP(L670,'Component List'!U$2:V$30,2,FALSE)</f>
        <v>#N/A</v>
      </c>
      <c r="AB670" s="77" t="e">
        <f>VLOOKUP(M670,'Component List'!AA$2:AB$30,2,FALSE)</f>
        <v>#N/A</v>
      </c>
      <c r="AC670" s="77" t="e">
        <f>VLOOKUP(N670,'Component List'!Y$2:Z$30,2,FALSE)</f>
        <v>#N/A</v>
      </c>
      <c r="AD670" s="159" t="e">
        <f>VLOOKUP(O670,'Component List'!W$3:X$30,2,FALSE)</f>
        <v>#N/A</v>
      </c>
    </row>
    <row r="671" spans="1:30" ht="30" customHeight="1" x14ac:dyDescent="0.3">
      <c r="A671" s="231"/>
      <c r="B671" s="173"/>
      <c r="C671" s="78"/>
      <c r="D671" s="78"/>
      <c r="E671" s="79"/>
      <c r="F671" s="78"/>
      <c r="G671" s="78"/>
      <c r="H671" s="78"/>
      <c r="I671" s="78"/>
      <c r="J671" s="78"/>
      <c r="K671" s="110"/>
      <c r="L671" s="110"/>
      <c r="M671" s="78"/>
      <c r="N671" s="78"/>
      <c r="O671" s="117"/>
      <c r="P671" s="114" t="e">
        <f t="shared" si="9"/>
        <v>#N/A</v>
      </c>
      <c r="Q671" s="77" t="e">
        <f>VLOOKUP($B671,'Component List'!$A$2:$B$30,2,FALSE)</f>
        <v>#N/A</v>
      </c>
      <c r="R671" s="77" t="e">
        <f>VLOOKUP($C671,'Component List'!C$2:D$28,2,FALSE)</f>
        <v>#N/A</v>
      </c>
      <c r="S671" s="77" t="e">
        <f>VLOOKUP($D671,'Component List'!E$2:F$30,2,FALSE)</f>
        <v>#N/A</v>
      </c>
      <c r="T671" s="77" t="e">
        <f>VLOOKUP($E671,'Component List'!G$2:H$30,2,FALSE)</f>
        <v>#N/A</v>
      </c>
      <c r="U671" s="77" t="e">
        <f>VLOOKUP($F671,'Component List'!I$2:J$30,2,FALSE)</f>
        <v>#N/A</v>
      </c>
      <c r="V671" s="77" t="e">
        <f>VLOOKUP(G671,'Component List'!K$2:L$30,2,FALSE)</f>
        <v>#N/A</v>
      </c>
      <c r="W671" s="77" t="e">
        <f>VLOOKUP(H671,'Component List'!M$2:N$31,2,FALSE)</f>
        <v>#N/A</v>
      </c>
      <c r="X671" s="77" t="e">
        <f>VLOOKUP(I671,'Component List'!O$2:P$30,2,FALSE)</f>
        <v>#N/A</v>
      </c>
      <c r="Y671" s="77" t="e">
        <f>VLOOKUP(J671,'Component List'!Q$2:R$30,2,FALSE)</f>
        <v>#N/A</v>
      </c>
      <c r="Z671" s="77" t="e">
        <f>VLOOKUP(K671,'Component List'!S$2:T$30,2,FALSE)</f>
        <v>#N/A</v>
      </c>
      <c r="AA671" s="77" t="e">
        <f>VLOOKUP(L671,'Component List'!U$2:V$30,2,FALSE)</f>
        <v>#N/A</v>
      </c>
      <c r="AB671" s="77" t="e">
        <f>VLOOKUP(M671,'Component List'!AA$2:AB$30,2,FALSE)</f>
        <v>#N/A</v>
      </c>
      <c r="AC671" s="77" t="e">
        <f>VLOOKUP(N671,'Component List'!Y$2:Z$30,2,FALSE)</f>
        <v>#N/A</v>
      </c>
      <c r="AD671" s="159" t="e">
        <f>VLOOKUP(O671,'Component List'!W$3:X$30,2,FALSE)</f>
        <v>#N/A</v>
      </c>
    </row>
    <row r="672" spans="1:30" ht="30" customHeight="1" x14ac:dyDescent="0.3">
      <c r="A672" s="231"/>
      <c r="B672" s="173"/>
      <c r="C672" s="78"/>
      <c r="D672" s="78"/>
      <c r="E672" s="79"/>
      <c r="F672" s="78"/>
      <c r="G672" s="78"/>
      <c r="H672" s="78"/>
      <c r="I672" s="78"/>
      <c r="J672" s="78"/>
      <c r="K672" s="110"/>
      <c r="L672" s="110"/>
      <c r="M672" s="78"/>
      <c r="N672" s="78"/>
      <c r="O672" s="117"/>
      <c r="P672" s="114" t="e">
        <f t="shared" si="9"/>
        <v>#N/A</v>
      </c>
      <c r="Q672" s="77" t="e">
        <f>VLOOKUP($B672,'Component List'!$A$2:$B$30,2,FALSE)</f>
        <v>#N/A</v>
      </c>
      <c r="R672" s="77" t="e">
        <f>VLOOKUP($C672,'Component List'!C$2:D$28,2,FALSE)</f>
        <v>#N/A</v>
      </c>
      <c r="S672" s="77" t="e">
        <f>VLOOKUP($D672,'Component List'!E$2:F$30,2,FALSE)</f>
        <v>#N/A</v>
      </c>
      <c r="T672" s="77" t="e">
        <f>VLOOKUP($E672,'Component List'!G$2:H$30,2,FALSE)</f>
        <v>#N/A</v>
      </c>
      <c r="U672" s="77" t="e">
        <f>VLOOKUP($F672,'Component List'!I$2:J$30,2,FALSE)</f>
        <v>#N/A</v>
      </c>
      <c r="V672" s="77" t="e">
        <f>VLOOKUP(G672,'Component List'!K$2:L$30,2,FALSE)</f>
        <v>#N/A</v>
      </c>
      <c r="W672" s="77" t="e">
        <f>VLOOKUP(H672,'Component List'!M$2:N$31,2,FALSE)</f>
        <v>#N/A</v>
      </c>
      <c r="X672" s="77" t="e">
        <f>VLOOKUP(I672,'Component List'!O$2:P$30,2,FALSE)</f>
        <v>#N/A</v>
      </c>
      <c r="Y672" s="77" t="e">
        <f>VLOOKUP(J672,'Component List'!Q$2:R$30,2,FALSE)</f>
        <v>#N/A</v>
      </c>
      <c r="Z672" s="77" t="e">
        <f>VLOOKUP(K672,'Component List'!S$2:T$30,2,FALSE)</f>
        <v>#N/A</v>
      </c>
      <c r="AA672" s="77" t="e">
        <f>VLOOKUP(L672,'Component List'!U$2:V$30,2,FALSE)</f>
        <v>#N/A</v>
      </c>
      <c r="AB672" s="77" t="e">
        <f>VLOOKUP(M672,'Component List'!AA$2:AB$30,2,FALSE)</f>
        <v>#N/A</v>
      </c>
      <c r="AC672" s="77" t="e">
        <f>VLOOKUP(N672,'Component List'!Y$2:Z$30,2,FALSE)</f>
        <v>#N/A</v>
      </c>
      <c r="AD672" s="159" t="e">
        <f>VLOOKUP(O672,'Component List'!W$3:X$30,2,FALSE)</f>
        <v>#N/A</v>
      </c>
    </row>
    <row r="673" spans="1:30" ht="30" customHeight="1" x14ac:dyDescent="0.3">
      <c r="A673" s="231"/>
      <c r="B673" s="173"/>
      <c r="C673" s="78"/>
      <c r="D673" s="78"/>
      <c r="E673" s="79"/>
      <c r="F673" s="78"/>
      <c r="G673" s="78"/>
      <c r="H673" s="78"/>
      <c r="I673" s="78"/>
      <c r="J673" s="78"/>
      <c r="K673" s="110"/>
      <c r="L673" s="110"/>
      <c r="M673" s="78"/>
      <c r="N673" s="78"/>
      <c r="O673" s="117"/>
      <c r="P673" s="114" t="e">
        <f t="shared" si="9"/>
        <v>#N/A</v>
      </c>
      <c r="Q673" s="77" t="e">
        <f>VLOOKUP($B673,'Component List'!$A$2:$B$30,2,FALSE)</f>
        <v>#N/A</v>
      </c>
      <c r="R673" s="77" t="e">
        <f>VLOOKUP($C673,'Component List'!C$2:D$28,2,FALSE)</f>
        <v>#N/A</v>
      </c>
      <c r="S673" s="77" t="e">
        <f>VLOOKUP($D673,'Component List'!E$2:F$30,2,FALSE)</f>
        <v>#N/A</v>
      </c>
      <c r="T673" s="77" t="e">
        <f>VLOOKUP($E673,'Component List'!G$2:H$30,2,FALSE)</f>
        <v>#N/A</v>
      </c>
      <c r="U673" s="77" t="e">
        <f>VLOOKUP($F673,'Component List'!I$2:J$30,2,FALSE)</f>
        <v>#N/A</v>
      </c>
      <c r="V673" s="77" t="e">
        <f>VLOOKUP(G673,'Component List'!K$2:L$30,2,FALSE)</f>
        <v>#N/A</v>
      </c>
      <c r="W673" s="77" t="e">
        <f>VLOOKUP(H673,'Component List'!M$2:N$31,2,FALSE)</f>
        <v>#N/A</v>
      </c>
      <c r="X673" s="77" t="e">
        <f>VLOOKUP(I673,'Component List'!O$2:P$30,2,FALSE)</f>
        <v>#N/A</v>
      </c>
      <c r="Y673" s="77" t="e">
        <f>VLOOKUP(J673,'Component List'!Q$2:R$30,2,FALSE)</f>
        <v>#N/A</v>
      </c>
      <c r="Z673" s="77" t="e">
        <f>VLOOKUP(K673,'Component List'!S$2:T$30,2,FALSE)</f>
        <v>#N/A</v>
      </c>
      <c r="AA673" s="77" t="e">
        <f>VLOOKUP(L673,'Component List'!U$2:V$30,2,FALSE)</f>
        <v>#N/A</v>
      </c>
      <c r="AB673" s="77" t="e">
        <f>VLOOKUP(M673,'Component List'!AA$2:AB$30,2,FALSE)</f>
        <v>#N/A</v>
      </c>
      <c r="AC673" s="77" t="e">
        <f>VLOOKUP(N673,'Component List'!Y$2:Z$30,2,FALSE)</f>
        <v>#N/A</v>
      </c>
      <c r="AD673" s="159" t="e">
        <f>VLOOKUP(O673,'Component List'!W$3:X$30,2,FALSE)</f>
        <v>#N/A</v>
      </c>
    </row>
    <row r="674" spans="1:30" ht="30" customHeight="1" x14ac:dyDescent="0.3">
      <c r="A674" s="231"/>
      <c r="B674" s="173"/>
      <c r="C674" s="78"/>
      <c r="D674" s="78"/>
      <c r="E674" s="79"/>
      <c r="F674" s="78"/>
      <c r="G674" s="78"/>
      <c r="H674" s="78"/>
      <c r="I674" s="78"/>
      <c r="J674" s="78"/>
      <c r="K674" s="110"/>
      <c r="L674" s="110"/>
      <c r="M674" s="78"/>
      <c r="N674" s="78"/>
      <c r="O674" s="117"/>
      <c r="P674" s="114" t="e">
        <f t="shared" si="9"/>
        <v>#N/A</v>
      </c>
      <c r="Q674" s="77" t="e">
        <f>VLOOKUP($B674,'Component List'!$A$2:$B$30,2,FALSE)</f>
        <v>#N/A</v>
      </c>
      <c r="R674" s="77" t="e">
        <f>VLOOKUP($C674,'Component List'!C$2:D$28,2,FALSE)</f>
        <v>#N/A</v>
      </c>
      <c r="S674" s="77" t="e">
        <f>VLOOKUP($D674,'Component List'!E$2:F$30,2,FALSE)</f>
        <v>#N/A</v>
      </c>
      <c r="T674" s="77" t="e">
        <f>VLOOKUP($E674,'Component List'!G$2:H$30,2,FALSE)</f>
        <v>#N/A</v>
      </c>
      <c r="U674" s="77" t="e">
        <f>VLOOKUP($F674,'Component List'!I$2:J$30,2,FALSE)</f>
        <v>#N/A</v>
      </c>
      <c r="V674" s="77" t="e">
        <f>VLOOKUP(G674,'Component List'!K$2:L$30,2,FALSE)</f>
        <v>#N/A</v>
      </c>
      <c r="W674" s="77" t="e">
        <f>VLOOKUP(H674,'Component List'!M$2:N$31,2,FALSE)</f>
        <v>#N/A</v>
      </c>
      <c r="X674" s="77" t="e">
        <f>VLOOKUP(I674,'Component List'!O$2:P$30,2,FALSE)</f>
        <v>#N/A</v>
      </c>
      <c r="Y674" s="77" t="e">
        <f>VLOOKUP(J674,'Component List'!Q$2:R$30,2,FALSE)</f>
        <v>#N/A</v>
      </c>
      <c r="Z674" s="77" t="e">
        <f>VLOOKUP(K674,'Component List'!S$2:T$30,2,FALSE)</f>
        <v>#N/A</v>
      </c>
      <c r="AA674" s="77" t="e">
        <f>VLOOKUP(L674,'Component List'!U$2:V$30,2,FALSE)</f>
        <v>#N/A</v>
      </c>
      <c r="AB674" s="77" t="e">
        <f>VLOOKUP(M674,'Component List'!AA$2:AB$30,2,FALSE)</f>
        <v>#N/A</v>
      </c>
      <c r="AC674" s="77" t="e">
        <f>VLOOKUP(N674,'Component List'!Y$2:Z$30,2,FALSE)</f>
        <v>#N/A</v>
      </c>
      <c r="AD674" s="159" t="e">
        <f>VLOOKUP(O674,'Component List'!W$3:X$30,2,FALSE)</f>
        <v>#N/A</v>
      </c>
    </row>
    <row r="675" spans="1:30" ht="30" customHeight="1" x14ac:dyDescent="0.3">
      <c r="A675" s="231"/>
      <c r="B675" s="173"/>
      <c r="C675" s="78"/>
      <c r="D675" s="78"/>
      <c r="E675" s="79"/>
      <c r="F675" s="78"/>
      <c r="G675" s="78"/>
      <c r="H675" s="78"/>
      <c r="I675" s="78"/>
      <c r="J675" s="78"/>
      <c r="K675" s="110"/>
      <c r="L675" s="110"/>
      <c r="M675" s="78"/>
      <c r="N675" s="78"/>
      <c r="O675" s="117"/>
      <c r="P675" s="114" t="e">
        <f t="shared" si="9"/>
        <v>#N/A</v>
      </c>
      <c r="Q675" s="77" t="e">
        <f>VLOOKUP($B675,'Component List'!$A$2:$B$30,2,FALSE)</f>
        <v>#N/A</v>
      </c>
      <c r="R675" s="77" t="e">
        <f>VLOOKUP($C675,'Component List'!C$2:D$28,2,FALSE)</f>
        <v>#N/A</v>
      </c>
      <c r="S675" s="77" t="e">
        <f>VLOOKUP($D675,'Component List'!E$2:F$30,2,FALSE)</f>
        <v>#N/A</v>
      </c>
      <c r="T675" s="77" t="e">
        <f>VLOOKUP($E675,'Component List'!G$2:H$30,2,FALSE)</f>
        <v>#N/A</v>
      </c>
      <c r="U675" s="77" t="e">
        <f>VLOOKUP($F675,'Component List'!I$2:J$30,2,FALSE)</f>
        <v>#N/A</v>
      </c>
      <c r="V675" s="77" t="e">
        <f>VLOOKUP(G675,'Component List'!K$2:L$30,2,FALSE)</f>
        <v>#N/A</v>
      </c>
      <c r="W675" s="77" t="e">
        <f>VLOOKUP(H675,'Component List'!M$2:N$31,2,FALSE)</f>
        <v>#N/A</v>
      </c>
      <c r="X675" s="77" t="e">
        <f>VLOOKUP(I675,'Component List'!O$2:P$30,2,FALSE)</f>
        <v>#N/A</v>
      </c>
      <c r="Y675" s="77" t="e">
        <f>VLOOKUP(J675,'Component List'!Q$2:R$30,2,FALSE)</f>
        <v>#N/A</v>
      </c>
      <c r="Z675" s="77" t="e">
        <f>VLOOKUP(K675,'Component List'!S$2:T$30,2,FALSE)</f>
        <v>#N/A</v>
      </c>
      <c r="AA675" s="77" t="e">
        <f>VLOOKUP(L675,'Component List'!U$2:V$30,2,FALSE)</f>
        <v>#N/A</v>
      </c>
      <c r="AB675" s="77" t="e">
        <f>VLOOKUP(M675,'Component List'!AA$2:AB$30,2,FALSE)</f>
        <v>#N/A</v>
      </c>
      <c r="AC675" s="77" t="e">
        <f>VLOOKUP(N675,'Component List'!Y$2:Z$30,2,FALSE)</f>
        <v>#N/A</v>
      </c>
      <c r="AD675" s="159" t="e">
        <f>VLOOKUP(O675,'Component List'!W$3:X$30,2,FALSE)</f>
        <v>#N/A</v>
      </c>
    </row>
    <row r="676" spans="1:30" ht="30" customHeight="1" x14ac:dyDescent="0.3">
      <c r="A676" s="231"/>
      <c r="B676" s="173"/>
      <c r="C676" s="78"/>
      <c r="D676" s="78"/>
      <c r="E676" s="79"/>
      <c r="F676" s="78"/>
      <c r="G676" s="78"/>
      <c r="H676" s="78"/>
      <c r="I676" s="78"/>
      <c r="J676" s="78"/>
      <c r="K676" s="110"/>
      <c r="L676" s="110"/>
      <c r="M676" s="78"/>
      <c r="N676" s="78"/>
      <c r="O676" s="117"/>
      <c r="P676" s="114" t="e">
        <f t="shared" si="9"/>
        <v>#N/A</v>
      </c>
      <c r="Q676" s="77" t="e">
        <f>VLOOKUP($B676,'Component List'!$A$2:$B$30,2,FALSE)</f>
        <v>#N/A</v>
      </c>
      <c r="R676" s="77" t="e">
        <f>VLOOKUP($C676,'Component List'!C$2:D$28,2,FALSE)</f>
        <v>#N/A</v>
      </c>
      <c r="S676" s="77" t="e">
        <f>VLOOKUP($D676,'Component List'!E$2:F$30,2,FALSE)</f>
        <v>#N/A</v>
      </c>
      <c r="T676" s="77" t="e">
        <f>VLOOKUP($E676,'Component List'!G$2:H$30,2,FALSE)</f>
        <v>#N/A</v>
      </c>
      <c r="U676" s="77" t="e">
        <f>VLOOKUP($F676,'Component List'!I$2:J$30,2,FALSE)</f>
        <v>#N/A</v>
      </c>
      <c r="V676" s="77" t="e">
        <f>VLOOKUP(G676,'Component List'!K$2:L$30,2,FALSE)</f>
        <v>#N/A</v>
      </c>
      <c r="W676" s="77" t="e">
        <f>VLOOKUP(H676,'Component List'!M$2:N$31,2,FALSE)</f>
        <v>#N/A</v>
      </c>
      <c r="X676" s="77" t="e">
        <f>VLOOKUP(I676,'Component List'!O$2:P$30,2,FALSE)</f>
        <v>#N/A</v>
      </c>
      <c r="Y676" s="77" t="e">
        <f>VLOOKUP(J676,'Component List'!Q$2:R$30,2,FALSE)</f>
        <v>#N/A</v>
      </c>
      <c r="Z676" s="77" t="e">
        <f>VLOOKUP(K676,'Component List'!S$2:T$30,2,FALSE)</f>
        <v>#N/A</v>
      </c>
      <c r="AA676" s="77" t="e">
        <f>VLOOKUP(L676,'Component List'!U$2:V$30,2,FALSE)</f>
        <v>#N/A</v>
      </c>
      <c r="AB676" s="77" t="e">
        <f>VLOOKUP(M676,'Component List'!AA$2:AB$30,2,FALSE)</f>
        <v>#N/A</v>
      </c>
      <c r="AC676" s="77" t="e">
        <f>VLOOKUP(N676,'Component List'!Y$2:Z$30,2,FALSE)</f>
        <v>#N/A</v>
      </c>
      <c r="AD676" s="159" t="e">
        <f>VLOOKUP(O676,'Component List'!W$3:X$30,2,FALSE)</f>
        <v>#N/A</v>
      </c>
    </row>
    <row r="677" spans="1:30" ht="30" customHeight="1" x14ac:dyDescent="0.3">
      <c r="A677" s="231"/>
      <c r="B677" s="173"/>
      <c r="C677" s="78"/>
      <c r="D677" s="78"/>
      <c r="E677" s="79"/>
      <c r="F677" s="78"/>
      <c r="G677" s="78"/>
      <c r="H677" s="78"/>
      <c r="I677" s="78"/>
      <c r="J677" s="78"/>
      <c r="K677" s="110"/>
      <c r="L677" s="110"/>
      <c r="M677" s="78"/>
      <c r="N677" s="78"/>
      <c r="O677" s="117"/>
      <c r="P677" s="114" t="e">
        <f t="shared" si="9"/>
        <v>#N/A</v>
      </c>
      <c r="Q677" s="77" t="e">
        <f>VLOOKUP($B677,'Component List'!$A$2:$B$30,2,FALSE)</f>
        <v>#N/A</v>
      </c>
      <c r="R677" s="77" t="e">
        <f>VLOOKUP($C677,'Component List'!C$2:D$28,2,FALSE)</f>
        <v>#N/A</v>
      </c>
      <c r="S677" s="77" t="e">
        <f>VLOOKUP($D677,'Component List'!E$2:F$30,2,FALSE)</f>
        <v>#N/A</v>
      </c>
      <c r="T677" s="77" t="e">
        <f>VLOOKUP($E677,'Component List'!G$2:H$30,2,FALSE)</f>
        <v>#N/A</v>
      </c>
      <c r="U677" s="77" t="e">
        <f>VLOOKUP($F677,'Component List'!I$2:J$30,2,FALSE)</f>
        <v>#N/A</v>
      </c>
      <c r="V677" s="77" t="e">
        <f>VLOOKUP(G677,'Component List'!K$2:L$30,2,FALSE)</f>
        <v>#N/A</v>
      </c>
      <c r="W677" s="77" t="e">
        <f>VLOOKUP(H677,'Component List'!M$2:N$31,2,FALSE)</f>
        <v>#N/A</v>
      </c>
      <c r="X677" s="77" t="e">
        <f>VLOOKUP(I677,'Component List'!O$2:P$30,2,FALSE)</f>
        <v>#N/A</v>
      </c>
      <c r="Y677" s="77" t="e">
        <f>VLOOKUP(J677,'Component List'!Q$2:R$30,2,FALSE)</f>
        <v>#N/A</v>
      </c>
      <c r="Z677" s="77" t="e">
        <f>VLOOKUP(K677,'Component List'!S$2:T$30,2,FALSE)</f>
        <v>#N/A</v>
      </c>
      <c r="AA677" s="77" t="e">
        <f>VLOOKUP(L677,'Component List'!U$2:V$30,2,FALSE)</f>
        <v>#N/A</v>
      </c>
      <c r="AB677" s="77" t="e">
        <f>VLOOKUP(M677,'Component List'!AA$2:AB$30,2,FALSE)</f>
        <v>#N/A</v>
      </c>
      <c r="AC677" s="77" t="e">
        <f>VLOOKUP(N677,'Component List'!Y$2:Z$30,2,FALSE)</f>
        <v>#N/A</v>
      </c>
      <c r="AD677" s="159" t="e">
        <f>VLOOKUP(O677,'Component List'!W$3:X$30,2,FALSE)</f>
        <v>#N/A</v>
      </c>
    </row>
    <row r="678" spans="1:30" ht="30" customHeight="1" x14ac:dyDescent="0.3">
      <c r="A678" s="231"/>
      <c r="B678" s="173"/>
      <c r="C678" s="78"/>
      <c r="D678" s="78"/>
      <c r="E678" s="79"/>
      <c r="F678" s="78"/>
      <c r="G678" s="78"/>
      <c r="H678" s="78"/>
      <c r="I678" s="78"/>
      <c r="J678" s="78"/>
      <c r="K678" s="110"/>
      <c r="L678" s="110"/>
      <c r="M678" s="78"/>
      <c r="N678" s="78"/>
      <c r="O678" s="117"/>
      <c r="P678" s="114" t="e">
        <f t="shared" si="9"/>
        <v>#N/A</v>
      </c>
      <c r="Q678" s="77" t="e">
        <f>VLOOKUP($B678,'Component List'!$A$2:$B$30,2,FALSE)</f>
        <v>#N/A</v>
      </c>
      <c r="R678" s="77" t="e">
        <f>VLOOKUP($C678,'Component List'!C$2:D$28,2,FALSE)</f>
        <v>#N/A</v>
      </c>
      <c r="S678" s="77" t="e">
        <f>VLOOKUP($D678,'Component List'!E$2:F$30,2,FALSE)</f>
        <v>#N/A</v>
      </c>
      <c r="T678" s="77" t="e">
        <f>VLOOKUP($E678,'Component List'!G$2:H$30,2,FALSE)</f>
        <v>#N/A</v>
      </c>
      <c r="U678" s="77" t="e">
        <f>VLOOKUP($F678,'Component List'!I$2:J$30,2,FALSE)</f>
        <v>#N/A</v>
      </c>
      <c r="V678" s="77" t="e">
        <f>VLOOKUP(G678,'Component List'!K$2:L$30,2,FALSE)</f>
        <v>#N/A</v>
      </c>
      <c r="W678" s="77" t="e">
        <f>VLOOKUP(H678,'Component List'!M$2:N$31,2,FALSE)</f>
        <v>#N/A</v>
      </c>
      <c r="X678" s="77" t="e">
        <f>VLOOKUP(I678,'Component List'!O$2:P$30,2,FALSE)</f>
        <v>#N/A</v>
      </c>
      <c r="Y678" s="77" t="e">
        <f>VLOOKUP(J678,'Component List'!Q$2:R$30,2,FALSE)</f>
        <v>#N/A</v>
      </c>
      <c r="Z678" s="77" t="e">
        <f>VLOOKUP(K678,'Component List'!S$2:T$30,2,FALSE)</f>
        <v>#N/A</v>
      </c>
      <c r="AA678" s="77" t="e">
        <f>VLOOKUP(L678,'Component List'!U$2:V$30,2,FALSE)</f>
        <v>#N/A</v>
      </c>
      <c r="AB678" s="77" t="e">
        <f>VLOOKUP(M678,'Component List'!AA$2:AB$30,2,FALSE)</f>
        <v>#N/A</v>
      </c>
      <c r="AC678" s="77" t="e">
        <f>VLOOKUP(N678,'Component List'!Y$2:Z$30,2,FALSE)</f>
        <v>#N/A</v>
      </c>
      <c r="AD678" s="159" t="e">
        <f>VLOOKUP(O678,'Component List'!W$3:X$30,2,FALSE)</f>
        <v>#N/A</v>
      </c>
    </row>
    <row r="679" spans="1:30" ht="30" customHeight="1" x14ac:dyDescent="0.3">
      <c r="A679" s="231"/>
      <c r="B679" s="173"/>
      <c r="C679" s="78"/>
      <c r="D679" s="78"/>
      <c r="E679" s="79"/>
      <c r="F679" s="78"/>
      <c r="G679" s="78"/>
      <c r="H679" s="78"/>
      <c r="I679" s="78"/>
      <c r="J679" s="78"/>
      <c r="K679" s="110"/>
      <c r="L679" s="110"/>
      <c r="M679" s="78"/>
      <c r="N679" s="78"/>
      <c r="O679" s="117"/>
      <c r="P679" s="114" t="e">
        <f t="shared" si="9"/>
        <v>#N/A</v>
      </c>
      <c r="Q679" s="77" t="e">
        <f>VLOOKUP($B679,'Component List'!$A$2:$B$30,2,FALSE)</f>
        <v>#N/A</v>
      </c>
      <c r="R679" s="77" t="e">
        <f>VLOOKUP($C679,'Component List'!C$2:D$28,2,FALSE)</f>
        <v>#N/A</v>
      </c>
      <c r="S679" s="77" t="e">
        <f>VLOOKUP($D679,'Component List'!E$2:F$30,2,FALSE)</f>
        <v>#N/A</v>
      </c>
      <c r="T679" s="77" t="e">
        <f>VLOOKUP($E679,'Component List'!G$2:H$30,2,FALSE)</f>
        <v>#N/A</v>
      </c>
      <c r="U679" s="77" t="e">
        <f>VLOOKUP($F679,'Component List'!I$2:J$30,2,FALSE)</f>
        <v>#N/A</v>
      </c>
      <c r="V679" s="77" t="e">
        <f>VLOOKUP(G679,'Component List'!K$2:L$30,2,FALSE)</f>
        <v>#N/A</v>
      </c>
      <c r="W679" s="77" t="e">
        <f>VLOOKUP(H679,'Component List'!M$2:N$31,2,FALSE)</f>
        <v>#N/A</v>
      </c>
      <c r="X679" s="77" t="e">
        <f>VLOOKUP(I679,'Component List'!O$2:P$30,2,FALSE)</f>
        <v>#N/A</v>
      </c>
      <c r="Y679" s="77" t="e">
        <f>VLOOKUP(J679,'Component List'!Q$2:R$30,2,FALSE)</f>
        <v>#N/A</v>
      </c>
      <c r="Z679" s="77" t="e">
        <f>VLOOKUP(K679,'Component List'!S$2:T$30,2,FALSE)</f>
        <v>#N/A</v>
      </c>
      <c r="AA679" s="77" t="e">
        <f>VLOOKUP(L679,'Component List'!U$2:V$30,2,FALSE)</f>
        <v>#N/A</v>
      </c>
      <c r="AB679" s="77" t="e">
        <f>VLOOKUP(M679,'Component List'!AA$2:AB$30,2,FALSE)</f>
        <v>#N/A</v>
      </c>
      <c r="AC679" s="77" t="e">
        <f>VLOOKUP(N679,'Component List'!Y$2:Z$30,2,FALSE)</f>
        <v>#N/A</v>
      </c>
      <c r="AD679" s="159" t="e">
        <f>VLOOKUP(O679,'Component List'!W$3:X$30,2,FALSE)</f>
        <v>#N/A</v>
      </c>
    </row>
    <row r="680" spans="1:30" ht="30" customHeight="1" x14ac:dyDescent="0.3">
      <c r="A680" s="231"/>
      <c r="B680" s="173"/>
      <c r="C680" s="78"/>
      <c r="D680" s="78"/>
      <c r="E680" s="79"/>
      <c r="F680" s="78"/>
      <c r="G680" s="78"/>
      <c r="H680" s="78"/>
      <c r="I680" s="78"/>
      <c r="J680" s="78"/>
      <c r="K680" s="110"/>
      <c r="L680" s="110"/>
      <c r="M680" s="78"/>
      <c r="N680" s="78"/>
      <c r="O680" s="117"/>
      <c r="P680" s="114" t="e">
        <f t="shared" si="9"/>
        <v>#N/A</v>
      </c>
      <c r="Q680" s="77" t="e">
        <f>VLOOKUP($B680,'Component List'!$A$2:$B$30,2,FALSE)</f>
        <v>#N/A</v>
      </c>
      <c r="R680" s="77" t="e">
        <f>VLOOKUP($C680,'Component List'!C$2:D$28,2,FALSE)</f>
        <v>#N/A</v>
      </c>
      <c r="S680" s="77" t="e">
        <f>VLOOKUP($D680,'Component List'!E$2:F$30,2,FALSE)</f>
        <v>#N/A</v>
      </c>
      <c r="T680" s="77" t="e">
        <f>VLOOKUP($E680,'Component List'!G$2:H$30,2,FALSE)</f>
        <v>#N/A</v>
      </c>
      <c r="U680" s="77" t="e">
        <f>VLOOKUP($F680,'Component List'!I$2:J$30,2,FALSE)</f>
        <v>#N/A</v>
      </c>
      <c r="V680" s="77" t="e">
        <f>VLOOKUP(G680,'Component List'!K$2:L$30,2,FALSE)</f>
        <v>#N/A</v>
      </c>
      <c r="W680" s="77" t="e">
        <f>VLOOKUP(H680,'Component List'!M$2:N$31,2,FALSE)</f>
        <v>#N/A</v>
      </c>
      <c r="X680" s="77" t="e">
        <f>VLOOKUP(I680,'Component List'!O$2:P$30,2,FALSE)</f>
        <v>#N/A</v>
      </c>
      <c r="Y680" s="77" t="e">
        <f>VLOOKUP(J680,'Component List'!Q$2:R$30,2,FALSE)</f>
        <v>#N/A</v>
      </c>
      <c r="Z680" s="77" t="e">
        <f>VLOOKUP(K680,'Component List'!S$2:T$30,2,FALSE)</f>
        <v>#N/A</v>
      </c>
      <c r="AA680" s="77" t="e">
        <f>VLOOKUP(L680,'Component List'!U$2:V$30,2,FALSE)</f>
        <v>#N/A</v>
      </c>
      <c r="AB680" s="77" t="e">
        <f>VLOOKUP(M680,'Component List'!AA$2:AB$30,2,FALSE)</f>
        <v>#N/A</v>
      </c>
      <c r="AC680" s="77" t="e">
        <f>VLOOKUP(N680,'Component List'!Y$2:Z$30,2,FALSE)</f>
        <v>#N/A</v>
      </c>
      <c r="AD680" s="159" t="e">
        <f>VLOOKUP(O680,'Component List'!W$3:X$30,2,FALSE)</f>
        <v>#N/A</v>
      </c>
    </row>
    <row r="681" spans="1:30" ht="30" customHeight="1" x14ac:dyDescent="0.3">
      <c r="A681" s="231"/>
      <c r="B681" s="173"/>
      <c r="C681" s="78"/>
      <c r="D681" s="78"/>
      <c r="E681" s="79"/>
      <c r="F681" s="78"/>
      <c r="G681" s="78"/>
      <c r="H681" s="78"/>
      <c r="I681" s="78"/>
      <c r="J681" s="78"/>
      <c r="K681" s="110"/>
      <c r="L681" s="110"/>
      <c r="M681" s="78"/>
      <c r="N681" s="78"/>
      <c r="O681" s="117"/>
      <c r="P681" s="114" t="e">
        <f t="shared" si="9"/>
        <v>#N/A</v>
      </c>
      <c r="Q681" s="77" t="e">
        <f>VLOOKUP($B681,'Component List'!$A$2:$B$30,2,FALSE)</f>
        <v>#N/A</v>
      </c>
      <c r="R681" s="77" t="e">
        <f>VLOOKUP($C681,'Component List'!C$2:D$28,2,FALSE)</f>
        <v>#N/A</v>
      </c>
      <c r="S681" s="77" t="e">
        <f>VLOOKUP($D681,'Component List'!E$2:F$30,2,FALSE)</f>
        <v>#N/A</v>
      </c>
      <c r="T681" s="77" t="e">
        <f>VLOOKUP($E681,'Component List'!G$2:H$30,2,FALSE)</f>
        <v>#N/A</v>
      </c>
      <c r="U681" s="77" t="e">
        <f>VLOOKUP($F681,'Component List'!I$2:J$30,2,FALSE)</f>
        <v>#N/A</v>
      </c>
      <c r="V681" s="77" t="e">
        <f>VLOOKUP(G681,'Component List'!K$2:L$30,2,FALSE)</f>
        <v>#N/A</v>
      </c>
      <c r="W681" s="77" t="e">
        <f>VLOOKUP(H681,'Component List'!M$2:N$31,2,FALSE)</f>
        <v>#N/A</v>
      </c>
      <c r="X681" s="77" t="e">
        <f>VLOOKUP(I681,'Component List'!O$2:P$30,2,FALSE)</f>
        <v>#N/A</v>
      </c>
      <c r="Y681" s="77" t="e">
        <f>VLOOKUP(J681,'Component List'!Q$2:R$30,2,FALSE)</f>
        <v>#N/A</v>
      </c>
      <c r="Z681" s="77" t="e">
        <f>VLOOKUP(K681,'Component List'!S$2:T$30,2,FALSE)</f>
        <v>#N/A</v>
      </c>
      <c r="AA681" s="77" t="e">
        <f>VLOOKUP(L681,'Component List'!U$2:V$30,2,FALSE)</f>
        <v>#N/A</v>
      </c>
      <c r="AB681" s="77" t="e">
        <f>VLOOKUP(M681,'Component List'!AA$2:AB$30,2,FALSE)</f>
        <v>#N/A</v>
      </c>
      <c r="AC681" s="77" t="e">
        <f>VLOOKUP(N681,'Component List'!Y$2:Z$30,2,FALSE)</f>
        <v>#N/A</v>
      </c>
      <c r="AD681" s="159" t="e">
        <f>VLOOKUP(O681,'Component List'!W$3:X$30,2,FALSE)</f>
        <v>#N/A</v>
      </c>
    </row>
    <row r="682" spans="1:30" ht="30" customHeight="1" x14ac:dyDescent="0.3">
      <c r="A682" s="231"/>
      <c r="B682" s="173"/>
      <c r="C682" s="78"/>
      <c r="D682" s="78"/>
      <c r="E682" s="79"/>
      <c r="F682" s="78"/>
      <c r="G682" s="78"/>
      <c r="H682" s="78"/>
      <c r="I682" s="78"/>
      <c r="J682" s="78"/>
      <c r="K682" s="110"/>
      <c r="L682" s="110"/>
      <c r="M682" s="78"/>
      <c r="N682" s="78"/>
      <c r="O682" s="117"/>
      <c r="P682" s="114" t="e">
        <f t="shared" si="9"/>
        <v>#N/A</v>
      </c>
      <c r="Q682" s="77" t="e">
        <f>VLOOKUP($B682,'Component List'!$A$2:$B$30,2,FALSE)</f>
        <v>#N/A</v>
      </c>
      <c r="R682" s="77" t="e">
        <f>VLOOKUP($C682,'Component List'!C$2:D$28,2,FALSE)</f>
        <v>#N/A</v>
      </c>
      <c r="S682" s="77" t="e">
        <f>VLOOKUP($D682,'Component List'!E$2:F$30,2,FALSE)</f>
        <v>#N/A</v>
      </c>
      <c r="T682" s="77" t="e">
        <f>VLOOKUP($E682,'Component List'!G$2:H$30,2,FALSE)</f>
        <v>#N/A</v>
      </c>
      <c r="U682" s="77" t="e">
        <f>VLOOKUP($F682,'Component List'!I$2:J$30,2,FALSE)</f>
        <v>#N/A</v>
      </c>
      <c r="V682" s="77" t="e">
        <f>VLOOKUP(G682,'Component List'!K$2:L$30,2,FALSE)</f>
        <v>#N/A</v>
      </c>
      <c r="W682" s="77" t="e">
        <f>VLOOKUP(H682,'Component List'!M$2:N$31,2,FALSE)</f>
        <v>#N/A</v>
      </c>
      <c r="X682" s="77" t="e">
        <f>VLOOKUP(I682,'Component List'!O$2:P$30,2,FALSE)</f>
        <v>#N/A</v>
      </c>
      <c r="Y682" s="77" t="e">
        <f>VLOOKUP(J682,'Component List'!Q$2:R$30,2,FALSE)</f>
        <v>#N/A</v>
      </c>
      <c r="Z682" s="77" t="e">
        <f>VLOOKUP(K682,'Component List'!S$2:T$30,2,FALSE)</f>
        <v>#N/A</v>
      </c>
      <c r="AA682" s="77" t="e">
        <f>VLOOKUP(L682,'Component List'!U$2:V$30,2,FALSE)</f>
        <v>#N/A</v>
      </c>
      <c r="AB682" s="77" t="e">
        <f>VLOOKUP(M682,'Component List'!AA$2:AB$30,2,FALSE)</f>
        <v>#N/A</v>
      </c>
      <c r="AC682" s="77" t="e">
        <f>VLOOKUP(N682,'Component List'!Y$2:Z$30,2,FALSE)</f>
        <v>#N/A</v>
      </c>
      <c r="AD682" s="159" t="e">
        <f>VLOOKUP(O682,'Component List'!W$3:X$30,2,FALSE)</f>
        <v>#N/A</v>
      </c>
    </row>
    <row r="683" spans="1:30" ht="30" customHeight="1" x14ac:dyDescent="0.3">
      <c r="A683" s="231"/>
      <c r="B683" s="173"/>
      <c r="C683" s="78"/>
      <c r="D683" s="78"/>
      <c r="E683" s="79"/>
      <c r="F683" s="78"/>
      <c r="G683" s="78"/>
      <c r="H683" s="78"/>
      <c r="I683" s="78"/>
      <c r="J683" s="78"/>
      <c r="K683" s="110"/>
      <c r="L683" s="110"/>
      <c r="M683" s="78"/>
      <c r="N683" s="78"/>
      <c r="O683" s="117"/>
      <c r="P683" s="114" t="e">
        <f t="shared" si="9"/>
        <v>#N/A</v>
      </c>
      <c r="Q683" s="77" t="e">
        <f>VLOOKUP($B683,'Component List'!$A$2:$B$30,2,FALSE)</f>
        <v>#N/A</v>
      </c>
      <c r="R683" s="77" t="e">
        <f>VLOOKUP($C683,'Component List'!C$2:D$28,2,FALSE)</f>
        <v>#N/A</v>
      </c>
      <c r="S683" s="77" t="e">
        <f>VLOOKUP($D683,'Component List'!E$2:F$30,2,FALSE)</f>
        <v>#N/A</v>
      </c>
      <c r="T683" s="77" t="e">
        <f>VLOOKUP($E683,'Component List'!G$2:H$30,2,FALSE)</f>
        <v>#N/A</v>
      </c>
      <c r="U683" s="77" t="e">
        <f>VLOOKUP($F683,'Component List'!I$2:J$30,2,FALSE)</f>
        <v>#N/A</v>
      </c>
      <c r="V683" s="77" t="e">
        <f>VLOOKUP(G683,'Component List'!K$2:L$30,2,FALSE)</f>
        <v>#N/A</v>
      </c>
      <c r="W683" s="77" t="e">
        <f>VLOOKUP(H683,'Component List'!M$2:N$31,2,FALSE)</f>
        <v>#N/A</v>
      </c>
      <c r="X683" s="77" t="e">
        <f>VLOOKUP(I683,'Component List'!O$2:P$30,2,FALSE)</f>
        <v>#N/A</v>
      </c>
      <c r="Y683" s="77" t="e">
        <f>VLOOKUP(J683,'Component List'!Q$2:R$30,2,FALSE)</f>
        <v>#N/A</v>
      </c>
      <c r="Z683" s="77" t="e">
        <f>VLOOKUP(K683,'Component List'!S$2:T$30,2,FALSE)</f>
        <v>#N/A</v>
      </c>
      <c r="AA683" s="77" t="e">
        <f>VLOOKUP(L683,'Component List'!U$2:V$30,2,FALSE)</f>
        <v>#N/A</v>
      </c>
      <c r="AB683" s="77" t="e">
        <f>VLOOKUP(M683,'Component List'!AA$2:AB$30,2,FALSE)</f>
        <v>#N/A</v>
      </c>
      <c r="AC683" s="77" t="e">
        <f>VLOOKUP(N683,'Component List'!Y$2:Z$30,2,FALSE)</f>
        <v>#N/A</v>
      </c>
      <c r="AD683" s="159" t="e">
        <f>VLOOKUP(O683,'Component List'!W$3:X$30,2,FALSE)</f>
        <v>#N/A</v>
      </c>
    </row>
    <row r="684" spans="1:30" ht="30" customHeight="1" x14ac:dyDescent="0.3">
      <c r="A684" s="231"/>
      <c r="B684" s="173"/>
      <c r="C684" s="78"/>
      <c r="D684" s="78"/>
      <c r="E684" s="79"/>
      <c r="F684" s="78"/>
      <c r="G684" s="78"/>
      <c r="H684" s="78"/>
      <c r="I684" s="78"/>
      <c r="J684" s="78"/>
      <c r="K684" s="110"/>
      <c r="L684" s="110"/>
      <c r="M684" s="78"/>
      <c r="N684" s="78"/>
      <c r="O684" s="117"/>
      <c r="P684" s="114" t="e">
        <f t="shared" si="9"/>
        <v>#N/A</v>
      </c>
      <c r="Q684" s="77" t="e">
        <f>VLOOKUP($B684,'Component List'!$A$2:$B$30,2,FALSE)</f>
        <v>#N/A</v>
      </c>
      <c r="R684" s="77" t="e">
        <f>VLOOKUP($C684,'Component List'!C$2:D$28,2,FALSE)</f>
        <v>#N/A</v>
      </c>
      <c r="S684" s="77" t="e">
        <f>VLOOKUP($D684,'Component List'!E$2:F$30,2,FALSE)</f>
        <v>#N/A</v>
      </c>
      <c r="T684" s="77" t="e">
        <f>VLOOKUP($E684,'Component List'!G$2:H$30,2,FALSE)</f>
        <v>#N/A</v>
      </c>
      <c r="U684" s="77" t="e">
        <f>VLOOKUP($F684,'Component List'!I$2:J$30,2,FALSE)</f>
        <v>#N/A</v>
      </c>
      <c r="V684" s="77" t="e">
        <f>VLOOKUP(G684,'Component List'!K$2:L$30,2,FALSE)</f>
        <v>#N/A</v>
      </c>
      <c r="W684" s="77" t="e">
        <f>VLOOKUP(H684,'Component List'!M$2:N$31,2,FALSE)</f>
        <v>#N/A</v>
      </c>
      <c r="X684" s="77" t="e">
        <f>VLOOKUP(I684,'Component List'!O$2:P$30,2,FALSE)</f>
        <v>#N/A</v>
      </c>
      <c r="Y684" s="77" t="e">
        <f>VLOOKUP(J684,'Component List'!Q$2:R$30,2,FALSE)</f>
        <v>#N/A</v>
      </c>
      <c r="Z684" s="77" t="e">
        <f>VLOOKUP(K684,'Component List'!S$2:T$30,2,FALSE)</f>
        <v>#N/A</v>
      </c>
      <c r="AA684" s="77" t="e">
        <f>VLOOKUP(L684,'Component List'!U$2:V$30,2,FALSE)</f>
        <v>#N/A</v>
      </c>
      <c r="AB684" s="77" t="e">
        <f>VLOOKUP(M684,'Component List'!AA$2:AB$30,2,FALSE)</f>
        <v>#N/A</v>
      </c>
      <c r="AC684" s="77" t="e">
        <f>VLOOKUP(N684,'Component List'!Y$2:Z$30,2,FALSE)</f>
        <v>#N/A</v>
      </c>
      <c r="AD684" s="159" t="e">
        <f>VLOOKUP(O684,'Component List'!W$3:X$30,2,FALSE)</f>
        <v>#N/A</v>
      </c>
    </row>
    <row r="685" spans="1:30" ht="30" customHeight="1" x14ac:dyDescent="0.3">
      <c r="A685" s="231"/>
      <c r="B685" s="173"/>
      <c r="C685" s="78"/>
      <c r="D685" s="78"/>
      <c r="E685" s="79"/>
      <c r="F685" s="78"/>
      <c r="G685" s="78"/>
      <c r="H685" s="78"/>
      <c r="I685" s="78"/>
      <c r="J685" s="78"/>
      <c r="K685" s="110"/>
      <c r="L685" s="110"/>
      <c r="M685" s="78"/>
      <c r="N685" s="78"/>
      <c r="O685" s="117"/>
      <c r="P685" s="114" t="e">
        <f t="shared" si="9"/>
        <v>#N/A</v>
      </c>
      <c r="Q685" s="77" t="e">
        <f>VLOOKUP($B685,'Component List'!$A$2:$B$30,2,FALSE)</f>
        <v>#N/A</v>
      </c>
      <c r="R685" s="77" t="e">
        <f>VLOOKUP($C685,'Component List'!C$2:D$28,2,FALSE)</f>
        <v>#N/A</v>
      </c>
      <c r="S685" s="77" t="e">
        <f>VLOOKUP($D685,'Component List'!E$2:F$30,2,FALSE)</f>
        <v>#N/A</v>
      </c>
      <c r="T685" s="77" t="e">
        <f>VLOOKUP($E685,'Component List'!G$2:H$30,2,FALSE)</f>
        <v>#N/A</v>
      </c>
      <c r="U685" s="77" t="e">
        <f>VLOOKUP($F685,'Component List'!I$2:J$30,2,FALSE)</f>
        <v>#N/A</v>
      </c>
      <c r="V685" s="77" t="e">
        <f>VLOOKUP(G685,'Component List'!K$2:L$30,2,FALSE)</f>
        <v>#N/A</v>
      </c>
      <c r="W685" s="77" t="e">
        <f>VLOOKUP(H685,'Component List'!M$2:N$31,2,FALSE)</f>
        <v>#N/A</v>
      </c>
      <c r="X685" s="77" t="e">
        <f>VLOOKUP(I685,'Component List'!O$2:P$30,2,FALSE)</f>
        <v>#N/A</v>
      </c>
      <c r="Y685" s="77" t="e">
        <f>VLOOKUP(J685,'Component List'!Q$2:R$30,2,FALSE)</f>
        <v>#N/A</v>
      </c>
      <c r="Z685" s="77" t="e">
        <f>VLOOKUP(K685,'Component List'!S$2:T$30,2,FALSE)</f>
        <v>#N/A</v>
      </c>
      <c r="AA685" s="77" t="e">
        <f>VLOOKUP(L685,'Component List'!U$2:V$30,2,FALSE)</f>
        <v>#N/A</v>
      </c>
      <c r="AB685" s="77" t="e">
        <f>VLOOKUP(M685,'Component List'!AA$2:AB$30,2,FALSE)</f>
        <v>#N/A</v>
      </c>
      <c r="AC685" s="77" t="e">
        <f>VLOOKUP(N685,'Component List'!Y$2:Z$30,2,FALSE)</f>
        <v>#N/A</v>
      </c>
      <c r="AD685" s="159" t="e">
        <f>VLOOKUP(O685,'Component List'!W$3:X$30,2,FALSE)</f>
        <v>#N/A</v>
      </c>
    </row>
    <row r="686" spans="1:30" ht="30" customHeight="1" x14ac:dyDescent="0.3">
      <c r="A686" s="231"/>
      <c r="B686" s="173"/>
      <c r="C686" s="78"/>
      <c r="D686" s="78"/>
      <c r="E686" s="79"/>
      <c r="F686" s="78"/>
      <c r="G686" s="78"/>
      <c r="H686" s="78"/>
      <c r="I686" s="78"/>
      <c r="J686" s="78"/>
      <c r="K686" s="110"/>
      <c r="L686" s="110"/>
      <c r="M686" s="78"/>
      <c r="N686" s="78"/>
      <c r="O686" s="117"/>
      <c r="P686" s="114" t="e">
        <f t="shared" si="9"/>
        <v>#N/A</v>
      </c>
      <c r="Q686" s="77" t="e">
        <f>VLOOKUP($B686,'Component List'!$A$2:$B$30,2,FALSE)</f>
        <v>#N/A</v>
      </c>
      <c r="R686" s="77" t="e">
        <f>VLOOKUP($C686,'Component List'!C$2:D$28,2,FALSE)</f>
        <v>#N/A</v>
      </c>
      <c r="S686" s="77" t="e">
        <f>VLOOKUP($D686,'Component List'!E$2:F$30,2,FALSE)</f>
        <v>#N/A</v>
      </c>
      <c r="T686" s="77" t="e">
        <f>VLOOKUP($E686,'Component List'!G$2:H$30,2,FALSE)</f>
        <v>#N/A</v>
      </c>
      <c r="U686" s="77" t="e">
        <f>VLOOKUP($F686,'Component List'!I$2:J$30,2,FALSE)</f>
        <v>#N/A</v>
      </c>
      <c r="V686" s="77" t="e">
        <f>VLOOKUP(G686,'Component List'!K$2:L$30,2,FALSE)</f>
        <v>#N/A</v>
      </c>
      <c r="W686" s="77" t="e">
        <f>VLOOKUP(H686,'Component List'!M$2:N$31,2,FALSE)</f>
        <v>#N/A</v>
      </c>
      <c r="X686" s="77" t="e">
        <f>VLOOKUP(I686,'Component List'!O$2:P$30,2,FALSE)</f>
        <v>#N/A</v>
      </c>
      <c r="Y686" s="77" t="e">
        <f>VLOOKUP(J686,'Component List'!Q$2:R$30,2,FALSE)</f>
        <v>#N/A</v>
      </c>
      <c r="Z686" s="77" t="e">
        <f>VLOOKUP(K686,'Component List'!S$2:T$30,2,FALSE)</f>
        <v>#N/A</v>
      </c>
      <c r="AA686" s="77" t="e">
        <f>VLOOKUP(L686,'Component List'!U$2:V$30,2,FALSE)</f>
        <v>#N/A</v>
      </c>
      <c r="AB686" s="77" t="e">
        <f>VLOOKUP(M686,'Component List'!AA$2:AB$30,2,FALSE)</f>
        <v>#N/A</v>
      </c>
      <c r="AC686" s="77" t="e">
        <f>VLOOKUP(N686,'Component List'!Y$2:Z$30,2,FALSE)</f>
        <v>#N/A</v>
      </c>
      <c r="AD686" s="159" t="e">
        <f>VLOOKUP(O686,'Component List'!W$3:X$30,2,FALSE)</f>
        <v>#N/A</v>
      </c>
    </row>
    <row r="687" spans="1:30" ht="30" customHeight="1" x14ac:dyDescent="0.3">
      <c r="A687" s="231"/>
      <c r="B687" s="173"/>
      <c r="C687" s="78"/>
      <c r="D687" s="78"/>
      <c r="E687" s="79"/>
      <c r="F687" s="78"/>
      <c r="G687" s="78"/>
      <c r="H687" s="78"/>
      <c r="I687" s="78"/>
      <c r="J687" s="78"/>
      <c r="K687" s="110"/>
      <c r="L687" s="110"/>
      <c r="M687" s="78"/>
      <c r="N687" s="78"/>
      <c r="O687" s="117"/>
      <c r="P687" s="114" t="e">
        <f t="shared" si="9"/>
        <v>#N/A</v>
      </c>
      <c r="Q687" s="77" t="e">
        <f>VLOOKUP($B687,'Component List'!$A$2:$B$30,2,FALSE)</f>
        <v>#N/A</v>
      </c>
      <c r="R687" s="77" t="e">
        <f>VLOOKUP($C687,'Component List'!C$2:D$28,2,FALSE)</f>
        <v>#N/A</v>
      </c>
      <c r="S687" s="77" t="e">
        <f>VLOOKUP($D687,'Component List'!E$2:F$30,2,FALSE)</f>
        <v>#N/A</v>
      </c>
      <c r="T687" s="77" t="e">
        <f>VLOOKUP($E687,'Component List'!G$2:H$30,2,FALSE)</f>
        <v>#N/A</v>
      </c>
      <c r="U687" s="77" t="e">
        <f>VLOOKUP($F687,'Component List'!I$2:J$30,2,FALSE)</f>
        <v>#N/A</v>
      </c>
      <c r="V687" s="77" t="e">
        <f>VLOOKUP(G687,'Component List'!K$2:L$30,2,FALSE)</f>
        <v>#N/A</v>
      </c>
      <c r="W687" s="77" t="e">
        <f>VLOOKUP(H687,'Component List'!M$2:N$31,2,FALSE)</f>
        <v>#N/A</v>
      </c>
      <c r="X687" s="77" t="e">
        <f>VLOOKUP(I687,'Component List'!O$2:P$30,2,FALSE)</f>
        <v>#N/A</v>
      </c>
      <c r="Y687" s="77" t="e">
        <f>VLOOKUP(J687,'Component List'!Q$2:R$30,2,FALSE)</f>
        <v>#N/A</v>
      </c>
      <c r="Z687" s="77" t="e">
        <f>VLOOKUP(K687,'Component List'!S$2:T$30,2,FALSE)</f>
        <v>#N/A</v>
      </c>
      <c r="AA687" s="77" t="e">
        <f>VLOOKUP(L687,'Component List'!U$2:V$30,2,FALSE)</f>
        <v>#N/A</v>
      </c>
      <c r="AB687" s="77" t="e">
        <f>VLOOKUP(M687,'Component List'!AA$2:AB$30,2,FALSE)</f>
        <v>#N/A</v>
      </c>
      <c r="AC687" s="77" t="e">
        <f>VLOOKUP(N687,'Component List'!Y$2:Z$30,2,FALSE)</f>
        <v>#N/A</v>
      </c>
      <c r="AD687" s="159" t="e">
        <f>VLOOKUP(O687,'Component List'!W$3:X$30,2,FALSE)</f>
        <v>#N/A</v>
      </c>
    </row>
    <row r="688" spans="1:30" ht="30" customHeight="1" x14ac:dyDescent="0.3">
      <c r="A688" s="231"/>
      <c r="B688" s="173"/>
      <c r="C688" s="78"/>
      <c r="D688" s="78"/>
      <c r="E688" s="79"/>
      <c r="F688" s="78"/>
      <c r="G688" s="78"/>
      <c r="H688" s="78"/>
      <c r="I688" s="78"/>
      <c r="J688" s="78"/>
      <c r="K688" s="110"/>
      <c r="L688" s="110"/>
      <c r="M688" s="78"/>
      <c r="N688" s="78"/>
      <c r="O688" s="117"/>
      <c r="P688" s="114" t="e">
        <f t="shared" si="9"/>
        <v>#N/A</v>
      </c>
      <c r="Q688" s="77" t="e">
        <f>VLOOKUP($B688,'Component List'!$A$2:$B$30,2,FALSE)</f>
        <v>#N/A</v>
      </c>
      <c r="R688" s="77" t="e">
        <f>VLOOKUP($C688,'Component List'!C$2:D$28,2,FALSE)</f>
        <v>#N/A</v>
      </c>
      <c r="S688" s="77" t="e">
        <f>VLOOKUP($D688,'Component List'!E$2:F$30,2,FALSE)</f>
        <v>#N/A</v>
      </c>
      <c r="T688" s="77" t="e">
        <f>VLOOKUP($E688,'Component List'!G$2:H$30,2,FALSE)</f>
        <v>#N/A</v>
      </c>
      <c r="U688" s="77" t="e">
        <f>VLOOKUP($F688,'Component List'!I$2:J$30,2,FALSE)</f>
        <v>#N/A</v>
      </c>
      <c r="V688" s="77" t="e">
        <f>VLOOKUP(G688,'Component List'!K$2:L$30,2,FALSE)</f>
        <v>#N/A</v>
      </c>
      <c r="W688" s="77" t="e">
        <f>VLOOKUP(H688,'Component List'!M$2:N$31,2,FALSE)</f>
        <v>#N/A</v>
      </c>
      <c r="X688" s="77" t="e">
        <f>VLOOKUP(I688,'Component List'!O$2:P$30,2,FALSE)</f>
        <v>#N/A</v>
      </c>
      <c r="Y688" s="77" t="e">
        <f>VLOOKUP(J688,'Component List'!Q$2:R$30,2,FALSE)</f>
        <v>#N/A</v>
      </c>
      <c r="Z688" s="77" t="e">
        <f>VLOOKUP(K688,'Component List'!S$2:T$30,2,FALSE)</f>
        <v>#N/A</v>
      </c>
      <c r="AA688" s="77" t="e">
        <f>VLOOKUP(L688,'Component List'!U$2:V$30,2,FALSE)</f>
        <v>#N/A</v>
      </c>
      <c r="AB688" s="77" t="e">
        <f>VLOOKUP(M688,'Component List'!AA$2:AB$30,2,FALSE)</f>
        <v>#N/A</v>
      </c>
      <c r="AC688" s="77" t="e">
        <f>VLOOKUP(N688,'Component List'!Y$2:Z$30,2,FALSE)</f>
        <v>#N/A</v>
      </c>
      <c r="AD688" s="159" t="e">
        <f>VLOOKUP(O688,'Component List'!W$3:X$30,2,FALSE)</f>
        <v>#N/A</v>
      </c>
    </row>
    <row r="689" spans="1:30" ht="30" customHeight="1" x14ac:dyDescent="0.3">
      <c r="A689" s="231"/>
      <c r="B689" s="173"/>
      <c r="C689" s="78"/>
      <c r="D689" s="78"/>
      <c r="E689" s="79"/>
      <c r="F689" s="78"/>
      <c r="G689" s="78"/>
      <c r="H689" s="78"/>
      <c r="I689" s="78"/>
      <c r="J689" s="78"/>
      <c r="K689" s="110"/>
      <c r="L689" s="110"/>
      <c r="M689" s="78"/>
      <c r="N689" s="78"/>
      <c r="O689" s="117"/>
      <c r="P689" s="114" t="e">
        <f t="shared" si="9"/>
        <v>#N/A</v>
      </c>
      <c r="Q689" s="77" t="e">
        <f>VLOOKUP($B689,'Component List'!$A$2:$B$30,2,FALSE)</f>
        <v>#N/A</v>
      </c>
      <c r="R689" s="77" t="e">
        <f>VLOOKUP($C689,'Component List'!C$2:D$28,2,FALSE)</f>
        <v>#N/A</v>
      </c>
      <c r="S689" s="77" t="e">
        <f>VLOOKUP($D689,'Component List'!E$2:F$30,2,FALSE)</f>
        <v>#N/A</v>
      </c>
      <c r="T689" s="77" t="e">
        <f>VLOOKUP($E689,'Component List'!G$2:H$30,2,FALSE)</f>
        <v>#N/A</v>
      </c>
      <c r="U689" s="77" t="e">
        <f>VLOOKUP($F689,'Component List'!I$2:J$30,2,FALSE)</f>
        <v>#N/A</v>
      </c>
      <c r="V689" s="77" t="e">
        <f>VLOOKUP(G689,'Component List'!K$2:L$30,2,FALSE)</f>
        <v>#N/A</v>
      </c>
      <c r="W689" s="77" t="e">
        <f>VLOOKUP(H689,'Component List'!M$2:N$31,2,FALSE)</f>
        <v>#N/A</v>
      </c>
      <c r="X689" s="77" t="e">
        <f>VLOOKUP(I689,'Component List'!O$2:P$30,2,FALSE)</f>
        <v>#N/A</v>
      </c>
      <c r="Y689" s="77" t="e">
        <f>VLOOKUP(J689,'Component List'!Q$2:R$30,2,FALSE)</f>
        <v>#N/A</v>
      </c>
      <c r="Z689" s="77" t="e">
        <f>VLOOKUP(K689,'Component List'!S$2:T$30,2,FALSE)</f>
        <v>#N/A</v>
      </c>
      <c r="AA689" s="77" t="e">
        <f>VLOOKUP(L689,'Component List'!U$2:V$30,2,FALSE)</f>
        <v>#N/A</v>
      </c>
      <c r="AB689" s="77" t="e">
        <f>VLOOKUP(M689,'Component List'!AA$2:AB$30,2,FALSE)</f>
        <v>#N/A</v>
      </c>
      <c r="AC689" s="77" t="e">
        <f>VLOOKUP(N689,'Component List'!Y$2:Z$30,2,FALSE)</f>
        <v>#N/A</v>
      </c>
      <c r="AD689" s="159" t="e">
        <f>VLOOKUP(O689,'Component List'!W$3:X$30,2,FALSE)</f>
        <v>#N/A</v>
      </c>
    </row>
    <row r="690" spans="1:30" ht="30" customHeight="1" x14ac:dyDescent="0.3">
      <c r="A690" s="231"/>
      <c r="B690" s="173"/>
      <c r="C690" s="78"/>
      <c r="D690" s="78"/>
      <c r="E690" s="79"/>
      <c r="F690" s="78"/>
      <c r="G690" s="78"/>
      <c r="H690" s="78"/>
      <c r="I690" s="78"/>
      <c r="J690" s="78"/>
      <c r="K690" s="110"/>
      <c r="L690" s="110"/>
      <c r="M690" s="78"/>
      <c r="N690" s="78"/>
      <c r="O690" s="117"/>
      <c r="P690" s="114" t="e">
        <f t="shared" si="9"/>
        <v>#N/A</v>
      </c>
      <c r="Q690" s="77" t="e">
        <f>VLOOKUP($B690,'Component List'!$A$2:$B$30,2,FALSE)</f>
        <v>#N/A</v>
      </c>
      <c r="R690" s="77" t="e">
        <f>VLOOKUP($C690,'Component List'!C$2:D$28,2,FALSE)</f>
        <v>#N/A</v>
      </c>
      <c r="S690" s="77" t="e">
        <f>VLOOKUP($D690,'Component List'!E$2:F$30,2,FALSE)</f>
        <v>#N/A</v>
      </c>
      <c r="T690" s="77" t="e">
        <f>VLOOKUP($E690,'Component List'!G$2:H$30,2,FALSE)</f>
        <v>#N/A</v>
      </c>
      <c r="U690" s="77" t="e">
        <f>VLOOKUP($F690,'Component List'!I$2:J$30,2,FALSE)</f>
        <v>#N/A</v>
      </c>
      <c r="V690" s="77" t="e">
        <f>VLOOKUP(G690,'Component List'!K$2:L$30,2,FALSE)</f>
        <v>#N/A</v>
      </c>
      <c r="W690" s="77" t="e">
        <f>VLOOKUP(H690,'Component List'!M$2:N$31,2,FALSE)</f>
        <v>#N/A</v>
      </c>
      <c r="X690" s="77" t="e">
        <f>VLOOKUP(I690,'Component List'!O$2:P$30,2,FALSE)</f>
        <v>#N/A</v>
      </c>
      <c r="Y690" s="77" t="e">
        <f>VLOOKUP(J690,'Component List'!Q$2:R$30,2,FALSE)</f>
        <v>#N/A</v>
      </c>
      <c r="Z690" s="77" t="e">
        <f>VLOOKUP(K690,'Component List'!S$2:T$30,2,FALSE)</f>
        <v>#N/A</v>
      </c>
      <c r="AA690" s="77" t="e">
        <f>VLOOKUP(L690,'Component List'!U$2:V$30,2,FALSE)</f>
        <v>#N/A</v>
      </c>
      <c r="AB690" s="77" t="e">
        <f>VLOOKUP(M690,'Component List'!AA$2:AB$30,2,FALSE)</f>
        <v>#N/A</v>
      </c>
      <c r="AC690" s="77" t="e">
        <f>VLOOKUP(N690,'Component List'!Y$2:Z$30,2,FALSE)</f>
        <v>#N/A</v>
      </c>
      <c r="AD690" s="159" t="e">
        <f>VLOOKUP(O690,'Component List'!W$3:X$30,2,FALSE)</f>
        <v>#N/A</v>
      </c>
    </row>
    <row r="691" spans="1:30" ht="30" customHeight="1" x14ac:dyDescent="0.3">
      <c r="A691" s="231"/>
      <c r="B691" s="173"/>
      <c r="C691" s="78"/>
      <c r="D691" s="78"/>
      <c r="E691" s="79"/>
      <c r="F691" s="78"/>
      <c r="G691" s="78"/>
      <c r="H691" s="78"/>
      <c r="I691" s="78"/>
      <c r="J691" s="78"/>
      <c r="K691" s="110"/>
      <c r="L691" s="110"/>
      <c r="M691" s="78"/>
      <c r="N691" s="78"/>
      <c r="O691" s="117"/>
      <c r="P691" s="114" t="e">
        <f t="shared" si="9"/>
        <v>#N/A</v>
      </c>
      <c r="Q691" s="77" t="e">
        <f>VLOOKUP($B691,'Component List'!$A$2:$B$30,2,FALSE)</f>
        <v>#N/A</v>
      </c>
      <c r="R691" s="77" t="e">
        <f>VLOOKUP($C691,'Component List'!C$2:D$28,2,FALSE)</f>
        <v>#N/A</v>
      </c>
      <c r="S691" s="77" t="e">
        <f>VLOOKUP($D691,'Component List'!E$2:F$30,2,FALSE)</f>
        <v>#N/A</v>
      </c>
      <c r="T691" s="77" t="e">
        <f>VLOOKUP($E691,'Component List'!G$2:H$30,2,FALSE)</f>
        <v>#N/A</v>
      </c>
      <c r="U691" s="77" t="e">
        <f>VLOOKUP($F691,'Component List'!I$2:J$30,2,FALSE)</f>
        <v>#N/A</v>
      </c>
      <c r="V691" s="77" t="e">
        <f>VLOOKUP(G691,'Component List'!K$2:L$30,2,FALSE)</f>
        <v>#N/A</v>
      </c>
      <c r="W691" s="77" t="e">
        <f>VLOOKUP(H691,'Component List'!M$2:N$31,2,FALSE)</f>
        <v>#N/A</v>
      </c>
      <c r="X691" s="77" t="e">
        <f>VLOOKUP(I691,'Component List'!O$2:P$30,2,FALSE)</f>
        <v>#N/A</v>
      </c>
      <c r="Y691" s="77" t="e">
        <f>VLOOKUP(J691,'Component List'!Q$2:R$30,2,FALSE)</f>
        <v>#N/A</v>
      </c>
      <c r="Z691" s="77" t="e">
        <f>VLOOKUP(K691,'Component List'!S$2:T$30,2,FALSE)</f>
        <v>#N/A</v>
      </c>
      <c r="AA691" s="77" t="e">
        <f>VLOOKUP(L691,'Component List'!U$2:V$30,2,FALSE)</f>
        <v>#N/A</v>
      </c>
      <c r="AB691" s="77" t="e">
        <f>VLOOKUP(M691,'Component List'!AA$2:AB$30,2,FALSE)</f>
        <v>#N/A</v>
      </c>
      <c r="AC691" s="77" t="e">
        <f>VLOOKUP(N691,'Component List'!Y$2:Z$30,2,FALSE)</f>
        <v>#N/A</v>
      </c>
      <c r="AD691" s="159" t="e">
        <f>VLOOKUP(O691,'Component List'!W$3:X$30,2,FALSE)</f>
        <v>#N/A</v>
      </c>
    </row>
    <row r="692" spans="1:30" ht="30" customHeight="1" x14ac:dyDescent="0.3">
      <c r="A692" s="231"/>
      <c r="B692" s="173"/>
      <c r="C692" s="78"/>
      <c r="D692" s="78"/>
      <c r="E692" s="79"/>
      <c r="F692" s="78"/>
      <c r="G692" s="78"/>
      <c r="H692" s="78"/>
      <c r="I692" s="78"/>
      <c r="J692" s="78"/>
      <c r="K692" s="110"/>
      <c r="L692" s="110"/>
      <c r="M692" s="78"/>
      <c r="N692" s="78"/>
      <c r="O692" s="117"/>
      <c r="P692" s="114" t="e">
        <f t="shared" si="9"/>
        <v>#N/A</v>
      </c>
      <c r="Q692" s="77" t="e">
        <f>VLOOKUP($B692,'Component List'!$A$2:$B$30,2,FALSE)</f>
        <v>#N/A</v>
      </c>
      <c r="R692" s="77" t="e">
        <f>VLOOKUP($C692,'Component List'!C$2:D$28,2,FALSE)</f>
        <v>#N/A</v>
      </c>
      <c r="S692" s="77" t="e">
        <f>VLOOKUP($D692,'Component List'!E$2:F$30,2,FALSE)</f>
        <v>#N/A</v>
      </c>
      <c r="T692" s="77" t="e">
        <f>VLOOKUP($E692,'Component List'!G$2:H$30,2,FALSE)</f>
        <v>#N/A</v>
      </c>
      <c r="U692" s="77" t="e">
        <f>VLOOKUP($F692,'Component List'!I$2:J$30,2,FALSE)</f>
        <v>#N/A</v>
      </c>
      <c r="V692" s="77" t="e">
        <f>VLOOKUP(G692,'Component List'!K$2:L$30,2,FALSE)</f>
        <v>#N/A</v>
      </c>
      <c r="W692" s="77" t="e">
        <f>VLOOKUP(H692,'Component List'!M$2:N$31,2,FALSE)</f>
        <v>#N/A</v>
      </c>
      <c r="X692" s="77" t="e">
        <f>VLOOKUP(I692,'Component List'!O$2:P$30,2,FALSE)</f>
        <v>#N/A</v>
      </c>
      <c r="Y692" s="77" t="e">
        <f>VLOOKUP(J692,'Component List'!Q$2:R$30,2,FALSE)</f>
        <v>#N/A</v>
      </c>
      <c r="Z692" s="77" t="e">
        <f>VLOOKUP(K692,'Component List'!S$2:T$30,2,FALSE)</f>
        <v>#N/A</v>
      </c>
      <c r="AA692" s="77" t="e">
        <f>VLOOKUP(L692,'Component List'!U$2:V$30,2,FALSE)</f>
        <v>#N/A</v>
      </c>
      <c r="AB692" s="77" t="e">
        <f>VLOOKUP(M692,'Component List'!AA$2:AB$30,2,FALSE)</f>
        <v>#N/A</v>
      </c>
      <c r="AC692" s="77" t="e">
        <f>VLOOKUP(N692,'Component List'!Y$2:Z$30,2,FALSE)</f>
        <v>#N/A</v>
      </c>
      <c r="AD692" s="159" t="e">
        <f>VLOOKUP(O692,'Component List'!W$3:X$30,2,FALSE)</f>
        <v>#N/A</v>
      </c>
    </row>
    <row r="693" spans="1:30" ht="30" customHeight="1" x14ac:dyDescent="0.3">
      <c r="A693" s="231"/>
      <c r="B693" s="173"/>
      <c r="C693" s="78"/>
      <c r="D693" s="78"/>
      <c r="E693" s="79"/>
      <c r="F693" s="78"/>
      <c r="G693" s="78"/>
      <c r="H693" s="78"/>
      <c r="I693" s="78"/>
      <c r="J693" s="78"/>
      <c r="K693" s="110"/>
      <c r="L693" s="110"/>
      <c r="M693" s="78"/>
      <c r="N693" s="78"/>
      <c r="O693" s="117"/>
      <c r="P693" s="114" t="e">
        <f t="shared" si="9"/>
        <v>#N/A</v>
      </c>
      <c r="Q693" s="77" t="e">
        <f>VLOOKUP($B693,'Component List'!$A$2:$B$30,2,FALSE)</f>
        <v>#N/A</v>
      </c>
      <c r="R693" s="77" t="e">
        <f>VLOOKUP($C693,'Component List'!C$2:D$28,2,FALSE)</f>
        <v>#N/A</v>
      </c>
      <c r="S693" s="77" t="e">
        <f>VLOOKUP($D693,'Component List'!E$2:F$30,2,FALSE)</f>
        <v>#N/A</v>
      </c>
      <c r="T693" s="77" t="e">
        <f>VLOOKUP($E693,'Component List'!G$2:H$30,2,FALSE)</f>
        <v>#N/A</v>
      </c>
      <c r="U693" s="77" t="e">
        <f>VLOOKUP($F693,'Component List'!I$2:J$30,2,FALSE)</f>
        <v>#N/A</v>
      </c>
      <c r="V693" s="77" t="e">
        <f>VLOOKUP(G693,'Component List'!K$2:L$30,2,FALSE)</f>
        <v>#N/A</v>
      </c>
      <c r="W693" s="77" t="e">
        <f>VLOOKUP(H693,'Component List'!M$2:N$31,2,FALSE)</f>
        <v>#N/A</v>
      </c>
      <c r="X693" s="77" t="e">
        <f>VLOOKUP(I693,'Component List'!O$2:P$30,2,FALSE)</f>
        <v>#N/A</v>
      </c>
      <c r="Y693" s="77" t="e">
        <f>VLOOKUP(J693,'Component List'!Q$2:R$30,2,FALSE)</f>
        <v>#N/A</v>
      </c>
      <c r="Z693" s="77" t="e">
        <f>VLOOKUP(K693,'Component List'!S$2:T$30,2,FALSE)</f>
        <v>#N/A</v>
      </c>
      <c r="AA693" s="77" t="e">
        <f>VLOOKUP(L693,'Component List'!U$2:V$30,2,FALSE)</f>
        <v>#N/A</v>
      </c>
      <c r="AB693" s="77" t="e">
        <f>VLOOKUP(M693,'Component List'!AA$2:AB$30,2,FALSE)</f>
        <v>#N/A</v>
      </c>
      <c r="AC693" s="77" t="e">
        <f>VLOOKUP(N693,'Component List'!Y$2:Z$30,2,FALSE)</f>
        <v>#N/A</v>
      </c>
      <c r="AD693" s="159" t="e">
        <f>VLOOKUP(O693,'Component List'!W$3:X$30,2,FALSE)</f>
        <v>#N/A</v>
      </c>
    </row>
    <row r="694" spans="1:30" ht="30" customHeight="1" x14ac:dyDescent="0.3">
      <c r="A694" s="231"/>
      <c r="B694" s="173"/>
      <c r="C694" s="78"/>
      <c r="D694" s="78"/>
      <c r="E694" s="79"/>
      <c r="F694" s="78"/>
      <c r="G694" s="78"/>
      <c r="H694" s="78"/>
      <c r="I694" s="78"/>
      <c r="J694" s="78"/>
      <c r="K694" s="110"/>
      <c r="L694" s="110"/>
      <c r="M694" s="78"/>
      <c r="N694" s="78"/>
      <c r="O694" s="117"/>
      <c r="P694" s="114" t="e">
        <f t="shared" si="9"/>
        <v>#N/A</v>
      </c>
      <c r="Q694" s="77" t="e">
        <f>VLOOKUP($B694,'Component List'!$A$2:$B$30,2,FALSE)</f>
        <v>#N/A</v>
      </c>
      <c r="R694" s="77" t="e">
        <f>VLOOKUP($C694,'Component List'!C$2:D$28,2,FALSE)</f>
        <v>#N/A</v>
      </c>
      <c r="S694" s="77" t="e">
        <f>VLOOKUP($D694,'Component List'!E$2:F$30,2,FALSE)</f>
        <v>#N/A</v>
      </c>
      <c r="T694" s="77" t="e">
        <f>VLOOKUP($E694,'Component List'!G$2:H$30,2,FALSE)</f>
        <v>#N/A</v>
      </c>
      <c r="U694" s="77" t="e">
        <f>VLOOKUP($F694,'Component List'!I$2:J$30,2,FALSE)</f>
        <v>#N/A</v>
      </c>
      <c r="V694" s="77" t="e">
        <f>VLOOKUP(G694,'Component List'!K$2:L$30,2,FALSE)</f>
        <v>#N/A</v>
      </c>
      <c r="W694" s="77" t="e">
        <f>VLOOKUP(H694,'Component List'!M$2:N$31,2,FALSE)</f>
        <v>#N/A</v>
      </c>
      <c r="X694" s="77" t="e">
        <f>VLOOKUP(I694,'Component List'!O$2:P$30,2,FALSE)</f>
        <v>#N/A</v>
      </c>
      <c r="Y694" s="77" t="e">
        <f>VLOOKUP(J694,'Component List'!Q$2:R$30,2,FALSE)</f>
        <v>#N/A</v>
      </c>
      <c r="Z694" s="77" t="e">
        <f>VLOOKUP(K694,'Component List'!S$2:T$30,2,FALSE)</f>
        <v>#N/A</v>
      </c>
      <c r="AA694" s="77" t="e">
        <f>VLOOKUP(L694,'Component List'!U$2:V$30,2,FALSE)</f>
        <v>#N/A</v>
      </c>
      <c r="AB694" s="77" t="e">
        <f>VLOOKUP(M694,'Component List'!AA$2:AB$30,2,FALSE)</f>
        <v>#N/A</v>
      </c>
      <c r="AC694" s="77" t="e">
        <f>VLOOKUP(N694,'Component List'!Y$2:Z$30,2,FALSE)</f>
        <v>#N/A</v>
      </c>
      <c r="AD694" s="159" t="e">
        <f>VLOOKUP(O694,'Component List'!W$3:X$30,2,FALSE)</f>
        <v>#N/A</v>
      </c>
    </row>
    <row r="695" spans="1:30" ht="30" customHeight="1" x14ac:dyDescent="0.3">
      <c r="A695" s="231"/>
      <c r="B695" s="173"/>
      <c r="C695" s="78"/>
      <c r="D695" s="78"/>
      <c r="E695" s="79"/>
      <c r="F695" s="78"/>
      <c r="G695" s="78"/>
      <c r="H695" s="78"/>
      <c r="I695" s="78"/>
      <c r="J695" s="78"/>
      <c r="K695" s="110"/>
      <c r="L695" s="110"/>
      <c r="M695" s="78"/>
      <c r="N695" s="78"/>
      <c r="O695" s="117"/>
      <c r="P695" s="114" t="e">
        <f t="shared" si="9"/>
        <v>#N/A</v>
      </c>
      <c r="Q695" s="77" t="e">
        <f>VLOOKUP($B695,'Component List'!$A$2:$B$30,2,FALSE)</f>
        <v>#N/A</v>
      </c>
      <c r="R695" s="77" t="e">
        <f>VLOOKUP($C695,'Component List'!C$2:D$28,2,FALSE)</f>
        <v>#N/A</v>
      </c>
      <c r="S695" s="77" t="e">
        <f>VLOOKUP($D695,'Component List'!E$2:F$30,2,FALSE)</f>
        <v>#N/A</v>
      </c>
      <c r="T695" s="77" t="e">
        <f>VLOOKUP($E695,'Component List'!G$2:H$30,2,FALSE)</f>
        <v>#N/A</v>
      </c>
      <c r="U695" s="77" t="e">
        <f>VLOOKUP($F695,'Component List'!I$2:J$30,2,FALSE)</f>
        <v>#N/A</v>
      </c>
      <c r="V695" s="77" t="e">
        <f>VLOOKUP(G695,'Component List'!K$2:L$30,2,FALSE)</f>
        <v>#N/A</v>
      </c>
      <c r="W695" s="77" t="e">
        <f>VLOOKUP(H695,'Component List'!M$2:N$31,2,FALSE)</f>
        <v>#N/A</v>
      </c>
      <c r="X695" s="77" t="e">
        <f>VLOOKUP(I695,'Component List'!O$2:P$30,2,FALSE)</f>
        <v>#N/A</v>
      </c>
      <c r="Y695" s="77" t="e">
        <f>VLOOKUP(J695,'Component List'!Q$2:R$30,2,FALSE)</f>
        <v>#N/A</v>
      </c>
      <c r="Z695" s="77" t="e">
        <f>VLOOKUP(K695,'Component List'!S$2:T$30,2,FALSE)</f>
        <v>#N/A</v>
      </c>
      <c r="AA695" s="77" t="e">
        <f>VLOOKUP(L695,'Component List'!U$2:V$30,2,FALSE)</f>
        <v>#N/A</v>
      </c>
      <c r="AB695" s="77" t="e">
        <f>VLOOKUP(M695,'Component List'!AA$2:AB$30,2,FALSE)</f>
        <v>#N/A</v>
      </c>
      <c r="AC695" s="77" t="e">
        <f>VLOOKUP(N695,'Component List'!Y$2:Z$30,2,FALSE)</f>
        <v>#N/A</v>
      </c>
      <c r="AD695" s="159" t="e">
        <f>VLOOKUP(O695,'Component List'!W$3:X$30,2,FALSE)</f>
        <v>#N/A</v>
      </c>
    </row>
    <row r="696" spans="1:30" ht="30" customHeight="1" x14ac:dyDescent="0.3">
      <c r="A696" s="231"/>
      <c r="B696" s="173"/>
      <c r="C696" s="78"/>
      <c r="D696" s="78"/>
      <c r="E696" s="79"/>
      <c r="F696" s="78"/>
      <c r="G696" s="78"/>
      <c r="H696" s="78"/>
      <c r="I696" s="78"/>
      <c r="J696" s="78"/>
      <c r="K696" s="110"/>
      <c r="L696" s="110"/>
      <c r="M696" s="78"/>
      <c r="N696" s="78"/>
      <c r="O696" s="117"/>
      <c r="P696" s="114" t="e">
        <f t="shared" si="9"/>
        <v>#N/A</v>
      </c>
      <c r="Q696" s="77" t="e">
        <f>VLOOKUP($B696,'Component List'!$A$2:$B$30,2,FALSE)</f>
        <v>#N/A</v>
      </c>
      <c r="R696" s="77" t="e">
        <f>VLOOKUP($C696,'Component List'!C$2:D$28,2,FALSE)</f>
        <v>#N/A</v>
      </c>
      <c r="S696" s="77" t="e">
        <f>VLOOKUP($D696,'Component List'!E$2:F$30,2,FALSE)</f>
        <v>#N/A</v>
      </c>
      <c r="T696" s="77" t="e">
        <f>VLOOKUP($E696,'Component List'!G$2:H$30,2,FALSE)</f>
        <v>#N/A</v>
      </c>
      <c r="U696" s="77" t="e">
        <f>VLOOKUP($F696,'Component List'!I$2:J$30,2,FALSE)</f>
        <v>#N/A</v>
      </c>
      <c r="V696" s="77" t="e">
        <f>VLOOKUP(G696,'Component List'!K$2:L$30,2,FALSE)</f>
        <v>#N/A</v>
      </c>
      <c r="W696" s="77" t="e">
        <f>VLOOKUP(H696,'Component List'!M$2:N$31,2,FALSE)</f>
        <v>#N/A</v>
      </c>
      <c r="X696" s="77" t="e">
        <f>VLOOKUP(I696,'Component List'!O$2:P$30,2,FALSE)</f>
        <v>#N/A</v>
      </c>
      <c r="Y696" s="77" t="e">
        <f>VLOOKUP(J696,'Component List'!Q$2:R$30,2,FALSE)</f>
        <v>#N/A</v>
      </c>
      <c r="Z696" s="77" t="e">
        <f>VLOOKUP(K696,'Component List'!S$2:T$30,2,FALSE)</f>
        <v>#N/A</v>
      </c>
      <c r="AA696" s="77" t="e">
        <f>VLOOKUP(L696,'Component List'!U$2:V$30,2,FALSE)</f>
        <v>#N/A</v>
      </c>
      <c r="AB696" s="77" t="e">
        <f>VLOOKUP(M696,'Component List'!AA$2:AB$30,2,FALSE)</f>
        <v>#N/A</v>
      </c>
      <c r="AC696" s="77" t="e">
        <f>VLOOKUP(N696,'Component List'!Y$2:Z$30,2,FALSE)</f>
        <v>#N/A</v>
      </c>
      <c r="AD696" s="159" t="e">
        <f>VLOOKUP(O696,'Component List'!W$3:X$30,2,FALSE)</f>
        <v>#N/A</v>
      </c>
    </row>
    <row r="697" spans="1:30" ht="30" customHeight="1" x14ac:dyDescent="0.3">
      <c r="A697" s="231"/>
      <c r="B697" s="173"/>
      <c r="C697" s="78"/>
      <c r="D697" s="78"/>
      <c r="E697" s="79"/>
      <c r="F697" s="78"/>
      <c r="G697" s="78"/>
      <c r="H697" s="78"/>
      <c r="I697" s="78"/>
      <c r="J697" s="78"/>
      <c r="K697" s="110"/>
      <c r="L697" s="110"/>
      <c r="M697" s="78"/>
      <c r="N697" s="78"/>
      <c r="O697" s="117"/>
      <c r="P697" s="114" t="e">
        <f t="shared" si="9"/>
        <v>#N/A</v>
      </c>
      <c r="Q697" s="77" t="e">
        <f>VLOOKUP($B697,'Component List'!$A$2:$B$30,2,FALSE)</f>
        <v>#N/A</v>
      </c>
      <c r="R697" s="77" t="e">
        <f>VLOOKUP($C697,'Component List'!C$2:D$28,2,FALSE)</f>
        <v>#N/A</v>
      </c>
      <c r="S697" s="77" t="e">
        <f>VLOOKUP($D697,'Component List'!E$2:F$30,2,FALSE)</f>
        <v>#N/A</v>
      </c>
      <c r="T697" s="77" t="e">
        <f>VLOOKUP($E697,'Component List'!G$2:H$30,2,FALSE)</f>
        <v>#N/A</v>
      </c>
      <c r="U697" s="77" t="e">
        <f>VLOOKUP($F697,'Component List'!I$2:J$30,2,FALSE)</f>
        <v>#N/A</v>
      </c>
      <c r="V697" s="77" t="e">
        <f>VLOOKUP(G697,'Component List'!K$2:L$30,2,FALSE)</f>
        <v>#N/A</v>
      </c>
      <c r="W697" s="77" t="e">
        <f>VLOOKUP(H697,'Component List'!M$2:N$31,2,FALSE)</f>
        <v>#N/A</v>
      </c>
      <c r="X697" s="77" t="e">
        <f>VLOOKUP(I697,'Component List'!O$2:P$30,2,FALSE)</f>
        <v>#N/A</v>
      </c>
      <c r="Y697" s="77" t="e">
        <f>VLOOKUP(J697,'Component List'!Q$2:R$30,2,FALSE)</f>
        <v>#N/A</v>
      </c>
      <c r="Z697" s="77" t="e">
        <f>VLOOKUP(K697,'Component List'!S$2:T$30,2,FALSE)</f>
        <v>#N/A</v>
      </c>
      <c r="AA697" s="77" t="e">
        <f>VLOOKUP(L697,'Component List'!U$2:V$30,2,FALSE)</f>
        <v>#N/A</v>
      </c>
      <c r="AB697" s="77" t="e">
        <f>VLOOKUP(M697,'Component List'!AA$2:AB$30,2,FALSE)</f>
        <v>#N/A</v>
      </c>
      <c r="AC697" s="77" t="e">
        <f>VLOOKUP(N697,'Component List'!Y$2:Z$30,2,FALSE)</f>
        <v>#N/A</v>
      </c>
      <c r="AD697" s="159" t="e">
        <f>VLOOKUP(O697,'Component List'!W$3:X$30,2,FALSE)</f>
        <v>#N/A</v>
      </c>
    </row>
    <row r="698" spans="1:30" ht="30" customHeight="1" x14ac:dyDescent="0.3">
      <c r="A698" s="231"/>
      <c r="B698" s="173"/>
      <c r="C698" s="78"/>
      <c r="D698" s="78"/>
      <c r="E698" s="79"/>
      <c r="F698" s="78"/>
      <c r="G698" s="78"/>
      <c r="H698" s="78"/>
      <c r="I698" s="78"/>
      <c r="J698" s="78"/>
      <c r="K698" s="110"/>
      <c r="L698" s="110"/>
      <c r="M698" s="78"/>
      <c r="N698" s="78"/>
      <c r="O698" s="117"/>
      <c r="P698" s="114" t="e">
        <f t="shared" si="9"/>
        <v>#N/A</v>
      </c>
      <c r="Q698" s="77" t="e">
        <f>VLOOKUP($B698,'Component List'!$A$2:$B$30,2,FALSE)</f>
        <v>#N/A</v>
      </c>
      <c r="R698" s="77" t="e">
        <f>VLOOKUP($C698,'Component List'!C$2:D$28,2,FALSE)</f>
        <v>#N/A</v>
      </c>
      <c r="S698" s="77" t="e">
        <f>VLOOKUP($D698,'Component List'!E$2:F$30,2,FALSE)</f>
        <v>#N/A</v>
      </c>
      <c r="T698" s="77" t="e">
        <f>VLOOKUP($E698,'Component List'!G$2:H$30,2,FALSE)</f>
        <v>#N/A</v>
      </c>
      <c r="U698" s="77" t="e">
        <f>VLOOKUP($F698,'Component List'!I$2:J$30,2,FALSE)</f>
        <v>#N/A</v>
      </c>
      <c r="V698" s="77" t="e">
        <f>VLOOKUP(G698,'Component List'!K$2:L$30,2,FALSE)</f>
        <v>#N/A</v>
      </c>
      <c r="W698" s="77" t="e">
        <f>VLOOKUP(H698,'Component List'!M$2:N$31,2,FALSE)</f>
        <v>#N/A</v>
      </c>
      <c r="X698" s="77" t="e">
        <f>VLOOKUP(I698,'Component List'!O$2:P$30,2,FALSE)</f>
        <v>#N/A</v>
      </c>
      <c r="Y698" s="77" t="e">
        <f>VLOOKUP(J698,'Component List'!Q$2:R$30,2,FALSE)</f>
        <v>#N/A</v>
      </c>
      <c r="Z698" s="77" t="e">
        <f>VLOOKUP(K698,'Component List'!S$2:T$30,2,FALSE)</f>
        <v>#N/A</v>
      </c>
      <c r="AA698" s="77" t="e">
        <f>VLOOKUP(L698,'Component List'!U$2:V$30,2,FALSE)</f>
        <v>#N/A</v>
      </c>
      <c r="AB698" s="77" t="e">
        <f>VLOOKUP(M698,'Component List'!AA$2:AB$30,2,FALSE)</f>
        <v>#N/A</v>
      </c>
      <c r="AC698" s="77" t="e">
        <f>VLOOKUP(N698,'Component List'!Y$2:Z$30,2,FALSE)</f>
        <v>#N/A</v>
      </c>
      <c r="AD698" s="159" t="e">
        <f>VLOOKUP(O698,'Component List'!W$3:X$30,2,FALSE)</f>
        <v>#N/A</v>
      </c>
    </row>
    <row r="699" spans="1:30" ht="30" customHeight="1" x14ac:dyDescent="0.3">
      <c r="A699" s="231"/>
      <c r="B699" s="173"/>
      <c r="C699" s="78"/>
      <c r="D699" s="78"/>
      <c r="E699" s="79"/>
      <c r="F699" s="78"/>
      <c r="G699" s="78"/>
      <c r="H699" s="78"/>
      <c r="I699" s="78"/>
      <c r="J699" s="78"/>
      <c r="K699" s="110"/>
      <c r="L699" s="110"/>
      <c r="M699" s="78"/>
      <c r="N699" s="78"/>
      <c r="O699" s="117"/>
      <c r="P699" s="114" t="e">
        <f t="shared" si="9"/>
        <v>#N/A</v>
      </c>
      <c r="Q699" s="77" t="e">
        <f>VLOOKUP($B699,'Component List'!$A$2:$B$30,2,FALSE)</f>
        <v>#N/A</v>
      </c>
      <c r="R699" s="77" t="e">
        <f>VLOOKUP($C699,'Component List'!C$2:D$28,2,FALSE)</f>
        <v>#N/A</v>
      </c>
      <c r="S699" s="77" t="e">
        <f>VLOOKUP($D699,'Component List'!E$2:F$30,2,FALSE)</f>
        <v>#N/A</v>
      </c>
      <c r="T699" s="77" t="e">
        <f>VLOOKUP($E699,'Component List'!G$2:H$30,2,FALSE)</f>
        <v>#N/A</v>
      </c>
      <c r="U699" s="77" t="e">
        <f>VLOOKUP($F699,'Component List'!I$2:J$30,2,FALSE)</f>
        <v>#N/A</v>
      </c>
      <c r="V699" s="77" t="e">
        <f>VLOOKUP(G699,'Component List'!K$2:L$30,2,FALSE)</f>
        <v>#N/A</v>
      </c>
      <c r="W699" s="77" t="e">
        <f>VLOOKUP(H699,'Component List'!M$2:N$31,2,FALSE)</f>
        <v>#N/A</v>
      </c>
      <c r="X699" s="77" t="e">
        <f>VLOOKUP(I699,'Component List'!O$2:P$30,2,FALSE)</f>
        <v>#N/A</v>
      </c>
      <c r="Y699" s="77" t="e">
        <f>VLOOKUP(J699,'Component List'!Q$2:R$30,2,FALSE)</f>
        <v>#N/A</v>
      </c>
      <c r="Z699" s="77" t="e">
        <f>VLOOKUP(K699,'Component List'!S$2:T$30,2,FALSE)</f>
        <v>#N/A</v>
      </c>
      <c r="AA699" s="77" t="e">
        <f>VLOOKUP(L699,'Component List'!U$2:V$30,2,FALSE)</f>
        <v>#N/A</v>
      </c>
      <c r="AB699" s="77" t="e">
        <f>VLOOKUP(M699,'Component List'!AA$2:AB$30,2,FALSE)</f>
        <v>#N/A</v>
      </c>
      <c r="AC699" s="77" t="e">
        <f>VLOOKUP(N699,'Component List'!Y$2:Z$30,2,FALSE)</f>
        <v>#N/A</v>
      </c>
      <c r="AD699" s="159" t="e">
        <f>VLOOKUP(O699,'Component List'!W$3:X$30,2,FALSE)</f>
        <v>#N/A</v>
      </c>
    </row>
    <row r="700" spans="1:30" ht="30" customHeight="1" x14ac:dyDescent="0.3">
      <c r="A700" s="231"/>
      <c r="B700" s="173"/>
      <c r="C700" s="78"/>
      <c r="D700" s="78"/>
      <c r="E700" s="79"/>
      <c r="F700" s="78"/>
      <c r="G700" s="78"/>
      <c r="H700" s="78"/>
      <c r="I700" s="78"/>
      <c r="J700" s="78"/>
      <c r="K700" s="110"/>
      <c r="L700" s="110"/>
      <c r="M700" s="78"/>
      <c r="N700" s="78"/>
      <c r="O700" s="117"/>
      <c r="P700" s="114" t="e">
        <f t="shared" si="9"/>
        <v>#N/A</v>
      </c>
      <c r="Q700" s="77" t="e">
        <f>VLOOKUP($B700,'Component List'!$A$2:$B$30,2,FALSE)</f>
        <v>#N/A</v>
      </c>
      <c r="R700" s="77" t="e">
        <f>VLOOKUP($C700,'Component List'!C$2:D$28,2,FALSE)</f>
        <v>#N/A</v>
      </c>
      <c r="S700" s="77" t="e">
        <f>VLOOKUP($D700,'Component List'!E$2:F$30,2,FALSE)</f>
        <v>#N/A</v>
      </c>
      <c r="T700" s="77" t="e">
        <f>VLOOKUP($E700,'Component List'!G$2:H$30,2,FALSE)</f>
        <v>#N/A</v>
      </c>
      <c r="U700" s="77" t="e">
        <f>VLOOKUP($F700,'Component List'!I$2:J$30,2,FALSE)</f>
        <v>#N/A</v>
      </c>
      <c r="V700" s="77" t="e">
        <f>VLOOKUP(G700,'Component List'!K$2:L$30,2,FALSE)</f>
        <v>#N/A</v>
      </c>
      <c r="W700" s="77" t="e">
        <f>VLOOKUP(H700,'Component List'!M$2:N$31,2,FALSE)</f>
        <v>#N/A</v>
      </c>
      <c r="X700" s="77" t="e">
        <f>VLOOKUP(I700,'Component List'!O$2:P$30,2,FALSE)</f>
        <v>#N/A</v>
      </c>
      <c r="Y700" s="77" t="e">
        <f>VLOOKUP(J700,'Component List'!Q$2:R$30,2,FALSE)</f>
        <v>#N/A</v>
      </c>
      <c r="Z700" s="77" t="e">
        <f>VLOOKUP(K700,'Component List'!S$2:T$30,2,FALSE)</f>
        <v>#N/A</v>
      </c>
      <c r="AA700" s="77" t="e">
        <f>VLOOKUP(L700,'Component List'!U$2:V$30,2,FALSE)</f>
        <v>#N/A</v>
      </c>
      <c r="AB700" s="77" t="e">
        <f>VLOOKUP(M700,'Component List'!AA$2:AB$30,2,FALSE)</f>
        <v>#N/A</v>
      </c>
      <c r="AC700" s="77" t="e">
        <f>VLOOKUP(N700,'Component List'!Y$2:Z$30,2,FALSE)</f>
        <v>#N/A</v>
      </c>
      <c r="AD700" s="159" t="e">
        <f>VLOOKUP(O700,'Component List'!W$3:X$30,2,FALSE)</f>
        <v>#N/A</v>
      </c>
    </row>
    <row r="701" spans="1:30" ht="30" customHeight="1" x14ac:dyDescent="0.3">
      <c r="A701" s="231"/>
      <c r="B701" s="173"/>
      <c r="C701" s="78"/>
      <c r="D701" s="78"/>
      <c r="E701" s="79"/>
      <c r="F701" s="78"/>
      <c r="G701" s="78"/>
      <c r="H701" s="78"/>
      <c r="I701" s="78"/>
      <c r="J701" s="78"/>
      <c r="K701" s="110"/>
      <c r="L701" s="110"/>
      <c r="M701" s="78"/>
      <c r="N701" s="78"/>
      <c r="O701" s="117"/>
      <c r="P701" s="114" t="e">
        <f t="shared" si="9"/>
        <v>#N/A</v>
      </c>
      <c r="Q701" s="77" t="e">
        <f>VLOOKUP($B701,'Component List'!$A$2:$B$30,2,FALSE)</f>
        <v>#N/A</v>
      </c>
      <c r="R701" s="77" t="e">
        <f>VLOOKUP($C701,'Component List'!C$2:D$28,2,FALSE)</f>
        <v>#N/A</v>
      </c>
      <c r="S701" s="77" t="e">
        <f>VLOOKUP($D701,'Component List'!E$2:F$30,2,FALSE)</f>
        <v>#N/A</v>
      </c>
      <c r="T701" s="77" t="e">
        <f>VLOOKUP($E701,'Component List'!G$2:H$30,2,FALSE)</f>
        <v>#N/A</v>
      </c>
      <c r="U701" s="77" t="e">
        <f>VLOOKUP($F701,'Component List'!I$2:J$30,2,FALSE)</f>
        <v>#N/A</v>
      </c>
      <c r="V701" s="77" t="e">
        <f>VLOOKUP(G701,'Component List'!K$2:L$30,2,FALSE)</f>
        <v>#N/A</v>
      </c>
      <c r="W701" s="77" t="e">
        <f>VLOOKUP(H701,'Component List'!M$2:N$31,2,FALSE)</f>
        <v>#N/A</v>
      </c>
      <c r="X701" s="77" t="e">
        <f>VLOOKUP(I701,'Component List'!O$2:P$30,2,FALSE)</f>
        <v>#N/A</v>
      </c>
      <c r="Y701" s="77" t="e">
        <f>VLOOKUP(J701,'Component List'!Q$2:R$30,2,FALSE)</f>
        <v>#N/A</v>
      </c>
      <c r="Z701" s="77" t="e">
        <f>VLOOKUP(K701,'Component List'!S$2:T$30,2,FALSE)</f>
        <v>#N/A</v>
      </c>
      <c r="AA701" s="77" t="e">
        <f>VLOOKUP(L701,'Component List'!U$2:V$30,2,FALSE)</f>
        <v>#N/A</v>
      </c>
      <c r="AB701" s="77" t="e">
        <f>VLOOKUP(M701,'Component List'!AA$2:AB$30,2,FALSE)</f>
        <v>#N/A</v>
      </c>
      <c r="AC701" s="77" t="e">
        <f>VLOOKUP(N701,'Component List'!Y$2:Z$30,2,FALSE)</f>
        <v>#N/A</v>
      </c>
      <c r="AD701" s="159" t="e">
        <f>VLOOKUP(O701,'Component List'!W$3:X$30,2,FALSE)</f>
        <v>#N/A</v>
      </c>
    </row>
    <row r="702" spans="1:30" ht="30" customHeight="1" x14ac:dyDescent="0.3">
      <c r="A702" s="231"/>
      <c r="B702" s="173"/>
      <c r="C702" s="78"/>
      <c r="D702" s="78"/>
      <c r="E702" s="79"/>
      <c r="F702" s="78"/>
      <c r="G702" s="78"/>
      <c r="H702" s="78"/>
      <c r="I702" s="78"/>
      <c r="J702" s="78"/>
      <c r="K702" s="110"/>
      <c r="L702" s="110"/>
      <c r="M702" s="78"/>
      <c r="N702" s="78"/>
      <c r="O702" s="117"/>
      <c r="P702" s="114" t="e">
        <f t="shared" si="9"/>
        <v>#N/A</v>
      </c>
      <c r="Q702" s="77" t="e">
        <f>VLOOKUP($B702,'Component List'!$A$2:$B$30,2,FALSE)</f>
        <v>#N/A</v>
      </c>
      <c r="R702" s="77" t="e">
        <f>VLOOKUP($C702,'Component List'!C$2:D$28,2,FALSE)</f>
        <v>#N/A</v>
      </c>
      <c r="S702" s="77" t="e">
        <f>VLOOKUP($D702,'Component List'!E$2:F$30,2,FALSE)</f>
        <v>#N/A</v>
      </c>
      <c r="T702" s="77" t="e">
        <f>VLOOKUP($E702,'Component List'!G$2:H$30,2,FALSE)</f>
        <v>#N/A</v>
      </c>
      <c r="U702" s="77" t="e">
        <f>VLOOKUP($F702,'Component List'!I$2:J$30,2,FALSE)</f>
        <v>#N/A</v>
      </c>
      <c r="V702" s="77" t="e">
        <f>VLOOKUP(G702,'Component List'!K$2:L$30,2,FALSE)</f>
        <v>#N/A</v>
      </c>
      <c r="W702" s="77" t="e">
        <f>VLOOKUP(H702,'Component List'!M$2:N$31,2,FALSE)</f>
        <v>#N/A</v>
      </c>
      <c r="X702" s="77" t="e">
        <f>VLOOKUP(I702,'Component List'!O$2:P$30,2,FALSE)</f>
        <v>#N/A</v>
      </c>
      <c r="Y702" s="77" t="e">
        <f>VLOOKUP(J702,'Component List'!Q$2:R$30,2,FALSE)</f>
        <v>#N/A</v>
      </c>
      <c r="Z702" s="77" t="e">
        <f>VLOOKUP(K702,'Component List'!S$2:T$30,2,FALSE)</f>
        <v>#N/A</v>
      </c>
      <c r="AA702" s="77" t="e">
        <f>VLOOKUP(L702,'Component List'!U$2:V$30,2,FALSE)</f>
        <v>#N/A</v>
      </c>
      <c r="AB702" s="77" t="e">
        <f>VLOOKUP(M702,'Component List'!AA$2:AB$30,2,FALSE)</f>
        <v>#N/A</v>
      </c>
      <c r="AC702" s="77" t="e">
        <f>VLOOKUP(N702,'Component List'!Y$2:Z$30,2,FALSE)</f>
        <v>#N/A</v>
      </c>
      <c r="AD702" s="159" t="e">
        <f>VLOOKUP(O702,'Component List'!W$3:X$30,2,FALSE)</f>
        <v>#N/A</v>
      </c>
    </row>
    <row r="703" spans="1:30" ht="30" customHeight="1" x14ac:dyDescent="0.3">
      <c r="A703" s="231"/>
      <c r="B703" s="173"/>
      <c r="C703" s="78"/>
      <c r="D703" s="78"/>
      <c r="E703" s="79"/>
      <c r="F703" s="78"/>
      <c r="G703" s="78"/>
      <c r="H703" s="78"/>
      <c r="I703" s="78"/>
      <c r="J703" s="78"/>
      <c r="K703" s="110"/>
      <c r="L703" s="110"/>
      <c r="M703" s="78"/>
      <c r="N703" s="78"/>
      <c r="O703" s="117"/>
      <c r="P703" s="114" t="e">
        <f t="shared" si="9"/>
        <v>#N/A</v>
      </c>
      <c r="Q703" s="77" t="e">
        <f>VLOOKUP($B703,'Component List'!$A$2:$B$30,2,FALSE)</f>
        <v>#N/A</v>
      </c>
      <c r="R703" s="77" t="e">
        <f>VLOOKUP($C703,'Component List'!C$2:D$28,2,FALSE)</f>
        <v>#N/A</v>
      </c>
      <c r="S703" s="77" t="e">
        <f>VLOOKUP($D703,'Component List'!E$2:F$30,2,FALSE)</f>
        <v>#N/A</v>
      </c>
      <c r="T703" s="77" t="e">
        <f>VLOOKUP($E703,'Component List'!G$2:H$30,2,FALSE)</f>
        <v>#N/A</v>
      </c>
      <c r="U703" s="77" t="e">
        <f>VLOOKUP($F703,'Component List'!I$2:J$30,2,FALSE)</f>
        <v>#N/A</v>
      </c>
      <c r="V703" s="77" t="e">
        <f>VLOOKUP(G703,'Component List'!K$2:L$30,2,FALSE)</f>
        <v>#N/A</v>
      </c>
      <c r="W703" s="77" t="e">
        <f>VLOOKUP(H703,'Component List'!M$2:N$31,2,FALSE)</f>
        <v>#N/A</v>
      </c>
      <c r="X703" s="77" t="e">
        <f>VLOOKUP(I703,'Component List'!O$2:P$30,2,FALSE)</f>
        <v>#N/A</v>
      </c>
      <c r="Y703" s="77" t="e">
        <f>VLOOKUP(J703,'Component List'!Q$2:R$30,2,FALSE)</f>
        <v>#N/A</v>
      </c>
      <c r="Z703" s="77" t="e">
        <f>VLOOKUP(K703,'Component List'!S$2:T$30,2,FALSE)</f>
        <v>#N/A</v>
      </c>
      <c r="AA703" s="77" t="e">
        <f>VLOOKUP(L703,'Component List'!U$2:V$30,2,FALSE)</f>
        <v>#N/A</v>
      </c>
      <c r="AB703" s="77" t="e">
        <f>VLOOKUP(M703,'Component List'!AA$2:AB$30,2,FALSE)</f>
        <v>#N/A</v>
      </c>
      <c r="AC703" s="77" t="e">
        <f>VLOOKUP(N703,'Component List'!Y$2:Z$30,2,FALSE)</f>
        <v>#N/A</v>
      </c>
      <c r="AD703" s="159" t="e">
        <f>VLOOKUP(O703,'Component List'!W$3:X$30,2,FALSE)</f>
        <v>#N/A</v>
      </c>
    </row>
    <row r="704" spans="1:30" ht="30" customHeight="1" x14ac:dyDescent="0.3">
      <c r="A704" s="231"/>
      <c r="B704" s="173"/>
      <c r="C704" s="78"/>
      <c r="D704" s="78"/>
      <c r="E704" s="79"/>
      <c r="F704" s="78"/>
      <c r="G704" s="78"/>
      <c r="H704" s="78"/>
      <c r="I704" s="78"/>
      <c r="J704" s="78"/>
      <c r="K704" s="110"/>
      <c r="L704" s="110"/>
      <c r="M704" s="78"/>
      <c r="N704" s="78"/>
      <c r="O704" s="117"/>
      <c r="P704" s="114" t="e">
        <f t="shared" si="9"/>
        <v>#N/A</v>
      </c>
      <c r="Q704" s="77" t="e">
        <f>VLOOKUP($B704,'Component List'!$A$2:$B$30,2,FALSE)</f>
        <v>#N/A</v>
      </c>
      <c r="R704" s="77" t="e">
        <f>VLOOKUP($C704,'Component List'!C$2:D$28,2,FALSE)</f>
        <v>#N/A</v>
      </c>
      <c r="S704" s="77" t="e">
        <f>VLOOKUP($D704,'Component List'!E$2:F$30,2,FALSE)</f>
        <v>#N/A</v>
      </c>
      <c r="T704" s="77" t="e">
        <f>VLOOKUP($E704,'Component List'!G$2:H$30,2,FALSE)</f>
        <v>#N/A</v>
      </c>
      <c r="U704" s="77" t="e">
        <f>VLOOKUP($F704,'Component List'!I$2:J$30,2,FALSE)</f>
        <v>#N/A</v>
      </c>
      <c r="V704" s="77" t="e">
        <f>VLOOKUP(G704,'Component List'!K$2:L$30,2,FALSE)</f>
        <v>#N/A</v>
      </c>
      <c r="W704" s="77" t="e">
        <f>VLOOKUP(H704,'Component List'!M$2:N$31,2,FALSE)</f>
        <v>#N/A</v>
      </c>
      <c r="X704" s="77" t="e">
        <f>VLOOKUP(I704,'Component List'!O$2:P$30,2,FALSE)</f>
        <v>#N/A</v>
      </c>
      <c r="Y704" s="77" t="e">
        <f>VLOOKUP(J704,'Component List'!Q$2:R$30,2,FALSE)</f>
        <v>#N/A</v>
      </c>
      <c r="Z704" s="77" t="e">
        <f>VLOOKUP(K704,'Component List'!S$2:T$30,2,FALSE)</f>
        <v>#N/A</v>
      </c>
      <c r="AA704" s="77" t="e">
        <f>VLOOKUP(L704,'Component List'!U$2:V$30,2,FALSE)</f>
        <v>#N/A</v>
      </c>
      <c r="AB704" s="77" t="e">
        <f>VLOOKUP(M704,'Component List'!AA$2:AB$30,2,FALSE)</f>
        <v>#N/A</v>
      </c>
      <c r="AC704" s="77" t="e">
        <f>VLOOKUP(N704,'Component List'!Y$2:Z$30,2,FALSE)</f>
        <v>#N/A</v>
      </c>
      <c r="AD704" s="159" t="e">
        <f>VLOOKUP(O704,'Component List'!W$3:X$30,2,FALSE)</f>
        <v>#N/A</v>
      </c>
    </row>
    <row r="705" spans="1:30" ht="30" customHeight="1" x14ac:dyDescent="0.3">
      <c r="A705" s="231"/>
      <c r="B705" s="173"/>
      <c r="C705" s="78"/>
      <c r="D705" s="78"/>
      <c r="E705" s="79"/>
      <c r="F705" s="78"/>
      <c r="G705" s="78"/>
      <c r="H705" s="78"/>
      <c r="I705" s="78"/>
      <c r="J705" s="78"/>
      <c r="K705" s="110"/>
      <c r="L705" s="110"/>
      <c r="M705" s="78"/>
      <c r="N705" s="78"/>
      <c r="O705" s="117"/>
      <c r="P705" s="114" t="e">
        <f t="shared" si="9"/>
        <v>#N/A</v>
      </c>
      <c r="Q705" s="77" t="e">
        <f>VLOOKUP($B705,'Component List'!$A$2:$B$30,2,FALSE)</f>
        <v>#N/A</v>
      </c>
      <c r="R705" s="77" t="e">
        <f>VLOOKUP($C705,'Component List'!C$2:D$28,2,FALSE)</f>
        <v>#N/A</v>
      </c>
      <c r="S705" s="77" t="e">
        <f>VLOOKUP($D705,'Component List'!E$2:F$30,2,FALSE)</f>
        <v>#N/A</v>
      </c>
      <c r="T705" s="77" t="e">
        <f>VLOOKUP($E705,'Component List'!G$2:H$30,2,FALSE)</f>
        <v>#N/A</v>
      </c>
      <c r="U705" s="77" t="e">
        <f>VLOOKUP($F705,'Component List'!I$2:J$30,2,FALSE)</f>
        <v>#N/A</v>
      </c>
      <c r="V705" s="77" t="e">
        <f>VLOOKUP(G705,'Component List'!K$2:L$30,2,FALSE)</f>
        <v>#N/A</v>
      </c>
      <c r="W705" s="77" t="e">
        <f>VLOOKUP(H705,'Component List'!M$2:N$31,2,FALSE)</f>
        <v>#N/A</v>
      </c>
      <c r="X705" s="77" t="e">
        <f>VLOOKUP(I705,'Component List'!O$2:P$30,2,FALSE)</f>
        <v>#N/A</v>
      </c>
      <c r="Y705" s="77" t="e">
        <f>VLOOKUP(J705,'Component List'!Q$2:R$30,2,FALSE)</f>
        <v>#N/A</v>
      </c>
      <c r="Z705" s="77" t="e">
        <f>VLOOKUP(K705,'Component List'!S$2:T$30,2,FALSE)</f>
        <v>#N/A</v>
      </c>
      <c r="AA705" s="77" t="e">
        <f>VLOOKUP(L705,'Component List'!U$2:V$30,2,FALSE)</f>
        <v>#N/A</v>
      </c>
      <c r="AB705" s="77" t="e">
        <f>VLOOKUP(M705,'Component List'!AA$2:AB$30,2,FALSE)</f>
        <v>#N/A</v>
      </c>
      <c r="AC705" s="77" t="e">
        <f>VLOOKUP(N705,'Component List'!Y$2:Z$30,2,FALSE)</f>
        <v>#N/A</v>
      </c>
      <c r="AD705" s="159" t="e">
        <f>VLOOKUP(O705,'Component List'!W$3:X$30,2,FALSE)</f>
        <v>#N/A</v>
      </c>
    </row>
    <row r="706" spans="1:30" ht="30" customHeight="1" x14ac:dyDescent="0.3">
      <c r="A706" s="231"/>
      <c r="B706" s="173"/>
      <c r="C706" s="78"/>
      <c r="D706" s="78"/>
      <c r="E706" s="79"/>
      <c r="F706" s="78"/>
      <c r="G706" s="78"/>
      <c r="H706" s="78"/>
      <c r="I706" s="78"/>
      <c r="J706" s="78"/>
      <c r="K706" s="110"/>
      <c r="L706" s="110"/>
      <c r="M706" s="78"/>
      <c r="N706" s="78"/>
      <c r="O706" s="117"/>
      <c r="P706" s="114" t="e">
        <f t="shared" si="9"/>
        <v>#N/A</v>
      </c>
      <c r="Q706" s="77" t="e">
        <f>VLOOKUP($B706,'Component List'!$A$2:$B$30,2,FALSE)</f>
        <v>#N/A</v>
      </c>
      <c r="R706" s="77" t="e">
        <f>VLOOKUP($C706,'Component List'!C$2:D$28,2,FALSE)</f>
        <v>#N/A</v>
      </c>
      <c r="S706" s="77" t="e">
        <f>VLOOKUP($D706,'Component List'!E$2:F$30,2,FALSE)</f>
        <v>#N/A</v>
      </c>
      <c r="T706" s="77" t="e">
        <f>VLOOKUP($E706,'Component List'!G$2:H$30,2,FALSE)</f>
        <v>#N/A</v>
      </c>
      <c r="U706" s="77" t="e">
        <f>VLOOKUP($F706,'Component List'!I$2:J$30,2,FALSE)</f>
        <v>#N/A</v>
      </c>
      <c r="V706" s="77" t="e">
        <f>VLOOKUP(G706,'Component List'!K$2:L$30,2,FALSE)</f>
        <v>#N/A</v>
      </c>
      <c r="W706" s="77" t="e">
        <f>VLOOKUP(H706,'Component List'!M$2:N$31,2,FALSE)</f>
        <v>#N/A</v>
      </c>
      <c r="X706" s="77" t="e">
        <f>VLOOKUP(I706,'Component List'!O$2:P$30,2,FALSE)</f>
        <v>#N/A</v>
      </c>
      <c r="Y706" s="77" t="e">
        <f>VLOOKUP(J706,'Component List'!Q$2:R$30,2,FALSE)</f>
        <v>#N/A</v>
      </c>
      <c r="Z706" s="77" t="e">
        <f>VLOOKUP(K706,'Component List'!S$2:T$30,2,FALSE)</f>
        <v>#N/A</v>
      </c>
      <c r="AA706" s="77" t="e">
        <f>VLOOKUP(L706,'Component List'!U$2:V$30,2,FALSE)</f>
        <v>#N/A</v>
      </c>
      <c r="AB706" s="77" t="e">
        <f>VLOOKUP(M706,'Component List'!AA$2:AB$30,2,FALSE)</f>
        <v>#N/A</v>
      </c>
      <c r="AC706" s="77" t="e">
        <f>VLOOKUP(N706,'Component List'!Y$2:Z$30,2,FALSE)</f>
        <v>#N/A</v>
      </c>
      <c r="AD706" s="159" t="e">
        <f>VLOOKUP(O706,'Component List'!W$3:X$30,2,FALSE)</f>
        <v>#N/A</v>
      </c>
    </row>
    <row r="707" spans="1:30" ht="30" customHeight="1" x14ac:dyDescent="0.3">
      <c r="A707" s="231"/>
      <c r="B707" s="173"/>
      <c r="C707" s="78"/>
      <c r="D707" s="78"/>
      <c r="E707" s="79"/>
      <c r="F707" s="78"/>
      <c r="G707" s="78"/>
      <c r="H707" s="78"/>
      <c r="I707" s="78"/>
      <c r="J707" s="78"/>
      <c r="K707" s="110"/>
      <c r="L707" s="110"/>
      <c r="M707" s="78"/>
      <c r="N707" s="78"/>
      <c r="O707" s="117"/>
      <c r="P707" s="114" t="e">
        <f t="shared" si="9"/>
        <v>#N/A</v>
      </c>
      <c r="Q707" s="77" t="e">
        <f>VLOOKUP($B707,'Component List'!$A$2:$B$30,2,FALSE)</f>
        <v>#N/A</v>
      </c>
      <c r="R707" s="77" t="e">
        <f>VLOOKUP($C707,'Component List'!C$2:D$28,2,FALSE)</f>
        <v>#N/A</v>
      </c>
      <c r="S707" s="77" t="e">
        <f>VLOOKUP($D707,'Component List'!E$2:F$30,2,FALSE)</f>
        <v>#N/A</v>
      </c>
      <c r="T707" s="77" t="e">
        <f>VLOOKUP($E707,'Component List'!G$2:H$30,2,FALSE)</f>
        <v>#N/A</v>
      </c>
      <c r="U707" s="77" t="e">
        <f>VLOOKUP($F707,'Component List'!I$2:J$30,2,FALSE)</f>
        <v>#N/A</v>
      </c>
      <c r="V707" s="77" t="e">
        <f>VLOOKUP(G707,'Component List'!K$2:L$30,2,FALSE)</f>
        <v>#N/A</v>
      </c>
      <c r="W707" s="77" t="e">
        <f>VLOOKUP(H707,'Component List'!M$2:N$31,2,FALSE)</f>
        <v>#N/A</v>
      </c>
      <c r="X707" s="77" t="e">
        <f>VLOOKUP(I707,'Component List'!O$2:P$30,2,FALSE)</f>
        <v>#N/A</v>
      </c>
      <c r="Y707" s="77" t="e">
        <f>VLOOKUP(J707,'Component List'!Q$2:R$30,2,FALSE)</f>
        <v>#N/A</v>
      </c>
      <c r="Z707" s="77" t="e">
        <f>VLOOKUP(K707,'Component List'!S$2:T$30,2,FALSE)</f>
        <v>#N/A</v>
      </c>
      <c r="AA707" s="77" t="e">
        <f>VLOOKUP(L707,'Component List'!U$2:V$30,2,FALSE)</f>
        <v>#N/A</v>
      </c>
      <c r="AB707" s="77" t="e">
        <f>VLOOKUP(M707,'Component List'!AA$2:AB$30,2,FALSE)</f>
        <v>#N/A</v>
      </c>
      <c r="AC707" s="77" t="e">
        <f>VLOOKUP(N707,'Component List'!Y$2:Z$30,2,FALSE)</f>
        <v>#N/A</v>
      </c>
      <c r="AD707" s="159" t="e">
        <f>VLOOKUP(O707,'Component List'!W$3:X$30,2,FALSE)</f>
        <v>#N/A</v>
      </c>
    </row>
    <row r="708" spans="1:30" ht="30" customHeight="1" x14ac:dyDescent="0.3">
      <c r="A708" s="231"/>
      <c r="B708" s="173"/>
      <c r="C708" s="78"/>
      <c r="D708" s="78"/>
      <c r="E708" s="79"/>
      <c r="F708" s="78"/>
      <c r="G708" s="78"/>
      <c r="H708" s="78"/>
      <c r="I708" s="78"/>
      <c r="J708" s="78"/>
      <c r="K708" s="110"/>
      <c r="L708" s="110"/>
      <c r="M708" s="78"/>
      <c r="N708" s="78"/>
      <c r="O708" s="117"/>
      <c r="P708" s="114" t="e">
        <f t="shared" si="9"/>
        <v>#N/A</v>
      </c>
      <c r="Q708" s="77" t="e">
        <f>VLOOKUP($B708,'Component List'!$A$2:$B$30,2,FALSE)</f>
        <v>#N/A</v>
      </c>
      <c r="R708" s="77" t="e">
        <f>VLOOKUP($C708,'Component List'!C$2:D$28,2,FALSE)</f>
        <v>#N/A</v>
      </c>
      <c r="S708" s="77" t="e">
        <f>VLOOKUP($D708,'Component List'!E$2:F$30,2,FALSE)</f>
        <v>#N/A</v>
      </c>
      <c r="T708" s="77" t="e">
        <f>VLOOKUP($E708,'Component List'!G$2:H$30,2,FALSE)</f>
        <v>#N/A</v>
      </c>
      <c r="U708" s="77" t="e">
        <f>VLOOKUP($F708,'Component List'!I$2:J$30,2,FALSE)</f>
        <v>#N/A</v>
      </c>
      <c r="V708" s="77" t="e">
        <f>VLOOKUP(G708,'Component List'!K$2:L$30,2,FALSE)</f>
        <v>#N/A</v>
      </c>
      <c r="W708" s="77" t="e">
        <f>VLOOKUP(H708,'Component List'!M$2:N$31,2,FALSE)</f>
        <v>#N/A</v>
      </c>
      <c r="X708" s="77" t="e">
        <f>VLOOKUP(I708,'Component List'!O$2:P$30,2,FALSE)</f>
        <v>#N/A</v>
      </c>
      <c r="Y708" s="77" t="e">
        <f>VLOOKUP(J708,'Component List'!Q$2:R$30,2,FALSE)</f>
        <v>#N/A</v>
      </c>
      <c r="Z708" s="77" t="e">
        <f>VLOOKUP(K708,'Component List'!S$2:T$30,2,FALSE)</f>
        <v>#N/A</v>
      </c>
      <c r="AA708" s="77" t="e">
        <f>VLOOKUP(L708,'Component List'!U$2:V$30,2,FALSE)</f>
        <v>#N/A</v>
      </c>
      <c r="AB708" s="77" t="e">
        <f>VLOOKUP(M708,'Component List'!AA$2:AB$30,2,FALSE)</f>
        <v>#N/A</v>
      </c>
      <c r="AC708" s="77" t="e">
        <f>VLOOKUP(N708,'Component List'!Y$2:Z$30,2,FALSE)</f>
        <v>#N/A</v>
      </c>
      <c r="AD708" s="159" t="e">
        <f>VLOOKUP(O708,'Component List'!W$3:X$30,2,FALSE)</f>
        <v>#N/A</v>
      </c>
    </row>
    <row r="709" spans="1:30" ht="30" customHeight="1" x14ac:dyDescent="0.3">
      <c r="A709" s="231"/>
      <c r="B709" s="173"/>
      <c r="C709" s="78"/>
      <c r="D709" s="78"/>
      <c r="E709" s="79"/>
      <c r="F709" s="78"/>
      <c r="G709" s="78"/>
      <c r="H709" s="78"/>
      <c r="I709" s="78"/>
      <c r="J709" s="78"/>
      <c r="K709" s="110"/>
      <c r="L709" s="110"/>
      <c r="M709" s="78"/>
      <c r="N709" s="78"/>
      <c r="O709" s="117"/>
      <c r="P709" s="114" t="e">
        <f t="shared" si="9"/>
        <v>#N/A</v>
      </c>
      <c r="Q709" s="77" t="e">
        <f>VLOOKUP($B709,'Component List'!$A$2:$B$30,2,FALSE)</f>
        <v>#N/A</v>
      </c>
      <c r="R709" s="77" t="e">
        <f>VLOOKUP($C709,'Component List'!C$2:D$28,2,FALSE)</f>
        <v>#N/A</v>
      </c>
      <c r="S709" s="77" t="e">
        <f>VLOOKUP($D709,'Component List'!E$2:F$30,2,FALSE)</f>
        <v>#N/A</v>
      </c>
      <c r="T709" s="77" t="e">
        <f>VLOOKUP($E709,'Component List'!G$2:H$30,2,FALSE)</f>
        <v>#N/A</v>
      </c>
      <c r="U709" s="77" t="e">
        <f>VLOOKUP($F709,'Component List'!I$2:J$30,2,FALSE)</f>
        <v>#N/A</v>
      </c>
      <c r="V709" s="77" t="e">
        <f>VLOOKUP(G709,'Component List'!K$2:L$30,2,FALSE)</f>
        <v>#N/A</v>
      </c>
      <c r="W709" s="77" t="e">
        <f>VLOOKUP(H709,'Component List'!M$2:N$31,2,FALSE)</f>
        <v>#N/A</v>
      </c>
      <c r="X709" s="77" t="e">
        <f>VLOOKUP(I709,'Component List'!O$2:P$30,2,FALSE)</f>
        <v>#N/A</v>
      </c>
      <c r="Y709" s="77" t="e">
        <f>VLOOKUP(J709,'Component List'!Q$2:R$30,2,FALSE)</f>
        <v>#N/A</v>
      </c>
      <c r="Z709" s="77" t="e">
        <f>VLOOKUP(K709,'Component List'!S$2:T$30,2,FALSE)</f>
        <v>#N/A</v>
      </c>
      <c r="AA709" s="77" t="e">
        <f>VLOOKUP(L709,'Component List'!U$2:V$30,2,FALSE)</f>
        <v>#N/A</v>
      </c>
      <c r="AB709" s="77" t="e">
        <f>VLOOKUP(M709,'Component List'!AA$2:AB$30,2,FALSE)</f>
        <v>#N/A</v>
      </c>
      <c r="AC709" s="77" t="e">
        <f>VLOOKUP(N709,'Component List'!Y$2:Z$30,2,FALSE)</f>
        <v>#N/A</v>
      </c>
      <c r="AD709" s="159" t="e">
        <f>VLOOKUP(O709,'Component List'!W$3:X$30,2,FALSE)</f>
        <v>#N/A</v>
      </c>
    </row>
    <row r="710" spans="1:30" ht="30" customHeight="1" x14ac:dyDescent="0.3">
      <c r="A710" s="231"/>
      <c r="B710" s="173"/>
      <c r="C710" s="78"/>
      <c r="D710" s="78"/>
      <c r="E710" s="79"/>
      <c r="F710" s="78"/>
      <c r="G710" s="78"/>
      <c r="H710" s="78"/>
      <c r="I710" s="78"/>
      <c r="J710" s="78"/>
      <c r="K710" s="110"/>
      <c r="L710" s="110"/>
      <c r="M710" s="78"/>
      <c r="N710" s="78"/>
      <c r="O710" s="117"/>
      <c r="P710" s="114" t="e">
        <f t="shared" si="9"/>
        <v>#N/A</v>
      </c>
      <c r="Q710" s="77" t="e">
        <f>VLOOKUP($B710,'Component List'!$A$2:$B$30,2,FALSE)</f>
        <v>#N/A</v>
      </c>
      <c r="R710" s="77" t="e">
        <f>VLOOKUP($C710,'Component List'!C$2:D$28,2,FALSE)</f>
        <v>#N/A</v>
      </c>
      <c r="S710" s="77" t="e">
        <f>VLOOKUP($D710,'Component List'!E$2:F$30,2,FALSE)</f>
        <v>#N/A</v>
      </c>
      <c r="T710" s="77" t="e">
        <f>VLOOKUP($E710,'Component List'!G$2:H$30,2,FALSE)</f>
        <v>#N/A</v>
      </c>
      <c r="U710" s="77" t="e">
        <f>VLOOKUP($F710,'Component List'!I$2:J$30,2,FALSE)</f>
        <v>#N/A</v>
      </c>
      <c r="V710" s="77" t="e">
        <f>VLOOKUP(G710,'Component List'!K$2:L$30,2,FALSE)</f>
        <v>#N/A</v>
      </c>
      <c r="W710" s="77" t="e">
        <f>VLOOKUP(H710,'Component List'!M$2:N$31,2,FALSE)</f>
        <v>#N/A</v>
      </c>
      <c r="X710" s="77" t="e">
        <f>VLOOKUP(I710,'Component List'!O$2:P$30,2,FALSE)</f>
        <v>#N/A</v>
      </c>
      <c r="Y710" s="77" t="e">
        <f>VLOOKUP(J710,'Component List'!Q$2:R$30,2,FALSE)</f>
        <v>#N/A</v>
      </c>
      <c r="Z710" s="77" t="e">
        <f>VLOOKUP(K710,'Component List'!S$2:T$30,2,FALSE)</f>
        <v>#N/A</v>
      </c>
      <c r="AA710" s="77" t="e">
        <f>VLOOKUP(L710,'Component List'!U$2:V$30,2,FALSE)</f>
        <v>#N/A</v>
      </c>
      <c r="AB710" s="77" t="e">
        <f>VLOOKUP(M710,'Component List'!AA$2:AB$30,2,FALSE)</f>
        <v>#N/A</v>
      </c>
      <c r="AC710" s="77" t="e">
        <f>VLOOKUP(N710,'Component List'!Y$2:Z$30,2,FALSE)</f>
        <v>#N/A</v>
      </c>
      <c r="AD710" s="159" t="e">
        <f>VLOOKUP(O710,'Component List'!W$3:X$30,2,FALSE)</f>
        <v>#N/A</v>
      </c>
    </row>
    <row r="711" spans="1:30" ht="30" customHeight="1" x14ac:dyDescent="0.3">
      <c r="A711" s="231"/>
      <c r="B711" s="173"/>
      <c r="C711" s="78"/>
      <c r="D711" s="78"/>
      <c r="E711" s="79"/>
      <c r="F711" s="78"/>
      <c r="G711" s="78"/>
      <c r="H711" s="78"/>
      <c r="I711" s="78"/>
      <c r="J711" s="78"/>
      <c r="K711" s="110"/>
      <c r="L711" s="110"/>
      <c r="M711" s="78"/>
      <c r="N711" s="78"/>
      <c r="O711" s="117"/>
      <c r="P711" s="114" t="e">
        <f t="shared" si="9"/>
        <v>#N/A</v>
      </c>
      <c r="Q711" s="77" t="e">
        <f>VLOOKUP($B711,'Component List'!$A$2:$B$30,2,FALSE)</f>
        <v>#N/A</v>
      </c>
      <c r="R711" s="77" t="e">
        <f>VLOOKUP($C711,'Component List'!C$2:D$28,2,FALSE)</f>
        <v>#N/A</v>
      </c>
      <c r="S711" s="77" t="e">
        <f>VLOOKUP($D711,'Component List'!E$2:F$30,2,FALSE)</f>
        <v>#N/A</v>
      </c>
      <c r="T711" s="77" t="e">
        <f>VLOOKUP($E711,'Component List'!G$2:H$30,2,FALSE)</f>
        <v>#N/A</v>
      </c>
      <c r="U711" s="77" t="e">
        <f>VLOOKUP($F711,'Component List'!I$2:J$30,2,FALSE)</f>
        <v>#N/A</v>
      </c>
      <c r="V711" s="77" t="e">
        <f>VLOOKUP(G711,'Component List'!K$2:L$30,2,FALSE)</f>
        <v>#N/A</v>
      </c>
      <c r="W711" s="77" t="e">
        <f>VLOOKUP(H711,'Component List'!M$2:N$31,2,FALSE)</f>
        <v>#N/A</v>
      </c>
      <c r="X711" s="77" t="e">
        <f>VLOOKUP(I711,'Component List'!O$2:P$30,2,FALSE)</f>
        <v>#N/A</v>
      </c>
      <c r="Y711" s="77" t="e">
        <f>VLOOKUP(J711,'Component List'!Q$2:R$30,2,FALSE)</f>
        <v>#N/A</v>
      </c>
      <c r="Z711" s="77" t="e">
        <f>VLOOKUP(K711,'Component List'!S$2:T$30,2,FALSE)</f>
        <v>#N/A</v>
      </c>
      <c r="AA711" s="77" t="e">
        <f>VLOOKUP(L711,'Component List'!U$2:V$30,2,FALSE)</f>
        <v>#N/A</v>
      </c>
      <c r="AB711" s="77" t="e">
        <f>VLOOKUP(M711,'Component List'!AA$2:AB$30,2,FALSE)</f>
        <v>#N/A</v>
      </c>
      <c r="AC711" s="77" t="e">
        <f>VLOOKUP(N711,'Component List'!Y$2:Z$30,2,FALSE)</f>
        <v>#N/A</v>
      </c>
      <c r="AD711" s="159" t="e">
        <f>VLOOKUP(O711,'Component List'!W$3:X$30,2,FALSE)</f>
        <v>#N/A</v>
      </c>
    </row>
    <row r="712" spans="1:30" ht="30" customHeight="1" x14ac:dyDescent="0.3">
      <c r="A712" s="231"/>
      <c r="B712" s="173"/>
      <c r="C712" s="78"/>
      <c r="D712" s="78"/>
      <c r="E712" s="79"/>
      <c r="F712" s="78"/>
      <c r="G712" s="78"/>
      <c r="H712" s="78"/>
      <c r="I712" s="78"/>
      <c r="J712" s="78"/>
      <c r="K712" s="110"/>
      <c r="L712" s="110"/>
      <c r="M712" s="78"/>
      <c r="N712" s="78"/>
      <c r="O712" s="117"/>
      <c r="P712" s="114" t="e">
        <f t="shared" si="9"/>
        <v>#N/A</v>
      </c>
      <c r="Q712" s="77" t="e">
        <f>VLOOKUP($B712,'Component List'!$A$2:$B$30,2,FALSE)</f>
        <v>#N/A</v>
      </c>
      <c r="R712" s="77" t="e">
        <f>VLOOKUP($C712,'Component List'!C$2:D$28,2,FALSE)</f>
        <v>#N/A</v>
      </c>
      <c r="S712" s="77" t="e">
        <f>VLOOKUP($D712,'Component List'!E$2:F$30,2,FALSE)</f>
        <v>#N/A</v>
      </c>
      <c r="T712" s="77" t="e">
        <f>VLOOKUP($E712,'Component List'!G$2:H$30,2,FALSE)</f>
        <v>#N/A</v>
      </c>
      <c r="U712" s="77" t="e">
        <f>VLOOKUP($F712,'Component List'!I$2:J$30,2,FALSE)</f>
        <v>#N/A</v>
      </c>
      <c r="V712" s="77" t="e">
        <f>VLOOKUP(G712,'Component List'!K$2:L$30,2,FALSE)</f>
        <v>#N/A</v>
      </c>
      <c r="W712" s="77" t="e">
        <f>VLOOKUP(H712,'Component List'!M$2:N$31,2,FALSE)</f>
        <v>#N/A</v>
      </c>
      <c r="X712" s="77" t="e">
        <f>VLOOKUP(I712,'Component List'!O$2:P$30,2,FALSE)</f>
        <v>#N/A</v>
      </c>
      <c r="Y712" s="77" t="e">
        <f>VLOOKUP(J712,'Component List'!Q$2:R$30,2,FALSE)</f>
        <v>#N/A</v>
      </c>
      <c r="Z712" s="77" t="e">
        <f>VLOOKUP(K712,'Component List'!S$2:T$30,2,FALSE)</f>
        <v>#N/A</v>
      </c>
      <c r="AA712" s="77" t="e">
        <f>VLOOKUP(L712,'Component List'!U$2:V$30,2,FALSE)</f>
        <v>#N/A</v>
      </c>
      <c r="AB712" s="77" t="e">
        <f>VLOOKUP(M712,'Component List'!AA$2:AB$30,2,FALSE)</f>
        <v>#N/A</v>
      </c>
      <c r="AC712" s="77" t="e">
        <f>VLOOKUP(N712,'Component List'!Y$2:Z$30,2,FALSE)</f>
        <v>#N/A</v>
      </c>
      <c r="AD712" s="159" t="e">
        <f>VLOOKUP(O712,'Component List'!W$3:X$30,2,FALSE)</f>
        <v>#N/A</v>
      </c>
    </row>
    <row r="713" spans="1:30" ht="30" customHeight="1" x14ac:dyDescent="0.3">
      <c r="A713" s="231"/>
      <c r="B713" s="173"/>
      <c r="C713" s="78"/>
      <c r="D713" s="78"/>
      <c r="E713" s="79"/>
      <c r="F713" s="78"/>
      <c r="G713" s="78"/>
      <c r="H713" s="78"/>
      <c r="I713" s="78"/>
      <c r="J713" s="78"/>
      <c r="K713" s="110"/>
      <c r="L713" s="110"/>
      <c r="M713" s="78"/>
      <c r="N713" s="78"/>
      <c r="O713" s="117"/>
      <c r="P713" s="114" t="e">
        <f t="shared" si="9"/>
        <v>#N/A</v>
      </c>
      <c r="Q713" s="77" t="e">
        <f>VLOOKUP($B713,'Component List'!$A$2:$B$30,2,FALSE)</f>
        <v>#N/A</v>
      </c>
      <c r="R713" s="77" t="e">
        <f>VLOOKUP($C713,'Component List'!C$2:D$28,2,FALSE)</f>
        <v>#N/A</v>
      </c>
      <c r="S713" s="77" t="e">
        <f>VLOOKUP($D713,'Component List'!E$2:F$30,2,FALSE)</f>
        <v>#N/A</v>
      </c>
      <c r="T713" s="77" t="e">
        <f>VLOOKUP($E713,'Component List'!G$2:H$30,2,FALSE)</f>
        <v>#N/A</v>
      </c>
      <c r="U713" s="77" t="e">
        <f>VLOOKUP($F713,'Component List'!I$2:J$30,2,FALSE)</f>
        <v>#N/A</v>
      </c>
      <c r="V713" s="77" t="e">
        <f>VLOOKUP(G713,'Component List'!K$2:L$30,2,FALSE)</f>
        <v>#N/A</v>
      </c>
      <c r="W713" s="77" t="e">
        <f>VLOOKUP(H713,'Component List'!M$2:N$31,2,FALSE)</f>
        <v>#N/A</v>
      </c>
      <c r="X713" s="77" t="e">
        <f>VLOOKUP(I713,'Component List'!O$2:P$30,2,FALSE)</f>
        <v>#N/A</v>
      </c>
      <c r="Y713" s="77" t="e">
        <f>VLOOKUP(J713,'Component List'!Q$2:R$30,2,FALSE)</f>
        <v>#N/A</v>
      </c>
      <c r="Z713" s="77" t="e">
        <f>VLOOKUP(K713,'Component List'!S$2:T$30,2,FALSE)</f>
        <v>#N/A</v>
      </c>
      <c r="AA713" s="77" t="e">
        <f>VLOOKUP(L713,'Component List'!U$2:V$30,2,FALSE)</f>
        <v>#N/A</v>
      </c>
      <c r="AB713" s="77" t="e">
        <f>VLOOKUP(M713,'Component List'!AA$2:AB$30,2,FALSE)</f>
        <v>#N/A</v>
      </c>
      <c r="AC713" s="77" t="e">
        <f>VLOOKUP(N713,'Component List'!Y$2:Z$30,2,FALSE)</f>
        <v>#N/A</v>
      </c>
      <c r="AD713" s="159" t="e">
        <f>VLOOKUP(O713,'Component List'!W$3:X$30,2,FALSE)</f>
        <v>#N/A</v>
      </c>
    </row>
    <row r="714" spans="1:30" ht="30" customHeight="1" x14ac:dyDescent="0.3">
      <c r="A714" s="231"/>
      <c r="B714" s="173"/>
      <c r="C714" s="78"/>
      <c r="D714" s="78"/>
      <c r="E714" s="79"/>
      <c r="F714" s="78"/>
      <c r="G714" s="78"/>
      <c r="H714" s="78"/>
      <c r="I714" s="78"/>
      <c r="J714" s="78"/>
      <c r="K714" s="110"/>
      <c r="L714" s="110"/>
      <c r="M714" s="78"/>
      <c r="N714" s="78"/>
      <c r="O714" s="117"/>
      <c r="P714" s="114" t="e">
        <f t="shared" si="9"/>
        <v>#N/A</v>
      </c>
      <c r="Q714" s="77" t="e">
        <f>VLOOKUP($B714,'Component List'!$A$2:$B$30,2,FALSE)</f>
        <v>#N/A</v>
      </c>
      <c r="R714" s="77" t="e">
        <f>VLOOKUP($C714,'Component List'!C$2:D$28,2,FALSE)</f>
        <v>#N/A</v>
      </c>
      <c r="S714" s="77" t="e">
        <f>VLOOKUP($D714,'Component List'!E$2:F$30,2,FALSE)</f>
        <v>#N/A</v>
      </c>
      <c r="T714" s="77" t="e">
        <f>VLOOKUP($E714,'Component List'!G$2:H$30,2,FALSE)</f>
        <v>#N/A</v>
      </c>
      <c r="U714" s="77" t="e">
        <f>VLOOKUP($F714,'Component List'!I$2:J$30,2,FALSE)</f>
        <v>#N/A</v>
      </c>
      <c r="V714" s="77" t="e">
        <f>VLOOKUP(G714,'Component List'!K$2:L$30,2,FALSE)</f>
        <v>#N/A</v>
      </c>
      <c r="W714" s="77" t="e">
        <f>VLOOKUP(H714,'Component List'!M$2:N$31,2,FALSE)</f>
        <v>#N/A</v>
      </c>
      <c r="X714" s="77" t="e">
        <f>VLOOKUP(I714,'Component List'!O$2:P$30,2,FALSE)</f>
        <v>#N/A</v>
      </c>
      <c r="Y714" s="77" t="e">
        <f>VLOOKUP(J714,'Component List'!Q$2:R$30,2,FALSE)</f>
        <v>#N/A</v>
      </c>
      <c r="Z714" s="77" t="e">
        <f>VLOOKUP(K714,'Component List'!S$2:T$30,2,FALSE)</f>
        <v>#N/A</v>
      </c>
      <c r="AA714" s="77" t="e">
        <f>VLOOKUP(L714,'Component List'!U$2:V$30,2,FALSE)</f>
        <v>#N/A</v>
      </c>
      <c r="AB714" s="77" t="e">
        <f>VLOOKUP(M714,'Component List'!AA$2:AB$30,2,FALSE)</f>
        <v>#N/A</v>
      </c>
      <c r="AC714" s="77" t="e">
        <f>VLOOKUP(N714,'Component List'!Y$2:Z$30,2,FALSE)</f>
        <v>#N/A</v>
      </c>
      <c r="AD714" s="159" t="e">
        <f>VLOOKUP(O714,'Component List'!W$3:X$30,2,FALSE)</f>
        <v>#N/A</v>
      </c>
    </row>
    <row r="715" spans="1:30" ht="30" customHeight="1" x14ac:dyDescent="0.3">
      <c r="A715" s="231"/>
      <c r="B715" s="173"/>
      <c r="C715" s="78"/>
      <c r="D715" s="78"/>
      <c r="E715" s="79"/>
      <c r="F715" s="78"/>
      <c r="G715" s="78"/>
      <c r="H715" s="78"/>
      <c r="I715" s="78"/>
      <c r="J715" s="78"/>
      <c r="K715" s="110"/>
      <c r="L715" s="110"/>
      <c r="M715" s="78"/>
      <c r="N715" s="78"/>
      <c r="O715" s="117"/>
      <c r="P715" s="114" t="e">
        <f t="shared" si="9"/>
        <v>#N/A</v>
      </c>
      <c r="Q715" s="77" t="e">
        <f>VLOOKUP($B715,'Component List'!$A$2:$B$30,2,FALSE)</f>
        <v>#N/A</v>
      </c>
      <c r="R715" s="77" t="e">
        <f>VLOOKUP($C715,'Component List'!C$2:D$28,2,FALSE)</f>
        <v>#N/A</v>
      </c>
      <c r="S715" s="77" t="e">
        <f>VLOOKUP($D715,'Component List'!E$2:F$30,2,FALSE)</f>
        <v>#N/A</v>
      </c>
      <c r="T715" s="77" t="e">
        <f>VLOOKUP($E715,'Component List'!G$2:H$30,2,FALSE)</f>
        <v>#N/A</v>
      </c>
      <c r="U715" s="77" t="e">
        <f>VLOOKUP($F715,'Component List'!I$2:J$30,2,FALSE)</f>
        <v>#N/A</v>
      </c>
      <c r="V715" s="77" t="e">
        <f>VLOOKUP(G715,'Component List'!K$2:L$30,2,FALSE)</f>
        <v>#N/A</v>
      </c>
      <c r="W715" s="77" t="e">
        <f>VLOOKUP(H715,'Component List'!M$2:N$31,2,FALSE)</f>
        <v>#N/A</v>
      </c>
      <c r="X715" s="77" t="e">
        <f>VLOOKUP(I715,'Component List'!O$2:P$30,2,FALSE)</f>
        <v>#N/A</v>
      </c>
      <c r="Y715" s="77" t="e">
        <f>VLOOKUP(J715,'Component List'!Q$2:R$30,2,FALSE)</f>
        <v>#N/A</v>
      </c>
      <c r="Z715" s="77" t="e">
        <f>VLOOKUP(K715,'Component List'!S$2:T$30,2,FALSE)</f>
        <v>#N/A</v>
      </c>
      <c r="AA715" s="77" t="e">
        <f>VLOOKUP(L715,'Component List'!U$2:V$30,2,FALSE)</f>
        <v>#N/A</v>
      </c>
      <c r="AB715" s="77" t="e">
        <f>VLOOKUP(M715,'Component List'!AA$2:AB$30,2,FALSE)</f>
        <v>#N/A</v>
      </c>
      <c r="AC715" s="77" t="e">
        <f>VLOOKUP(N715,'Component List'!Y$2:Z$30,2,FALSE)</f>
        <v>#N/A</v>
      </c>
      <c r="AD715" s="159" t="e">
        <f>VLOOKUP(O715,'Component List'!W$3:X$30,2,FALSE)</f>
        <v>#N/A</v>
      </c>
    </row>
    <row r="716" spans="1:30" ht="30" customHeight="1" x14ac:dyDescent="0.3">
      <c r="A716" s="231"/>
      <c r="B716" s="173"/>
      <c r="C716" s="78"/>
      <c r="D716" s="78"/>
      <c r="E716" s="79"/>
      <c r="F716" s="78"/>
      <c r="G716" s="78"/>
      <c r="H716" s="78"/>
      <c r="I716" s="78"/>
      <c r="J716" s="78"/>
      <c r="K716" s="110"/>
      <c r="L716" s="110"/>
      <c r="M716" s="78"/>
      <c r="N716" s="78"/>
      <c r="O716" s="117"/>
      <c r="P716" s="114" t="e">
        <f t="shared" si="9"/>
        <v>#N/A</v>
      </c>
      <c r="Q716" s="77" t="e">
        <f>VLOOKUP($B716,'Component List'!$A$2:$B$30,2,FALSE)</f>
        <v>#N/A</v>
      </c>
      <c r="R716" s="77" t="e">
        <f>VLOOKUP($C716,'Component List'!C$2:D$28,2,FALSE)</f>
        <v>#N/A</v>
      </c>
      <c r="S716" s="77" t="e">
        <f>VLOOKUP($D716,'Component List'!E$2:F$30,2,FALSE)</f>
        <v>#N/A</v>
      </c>
      <c r="T716" s="77" t="e">
        <f>VLOOKUP($E716,'Component List'!G$2:H$30,2,FALSE)</f>
        <v>#N/A</v>
      </c>
      <c r="U716" s="77" t="e">
        <f>VLOOKUP($F716,'Component List'!I$2:J$30,2,FALSE)</f>
        <v>#N/A</v>
      </c>
      <c r="V716" s="77" t="e">
        <f>VLOOKUP(G716,'Component List'!K$2:L$30,2,FALSE)</f>
        <v>#N/A</v>
      </c>
      <c r="W716" s="77" t="e">
        <f>VLOOKUP(H716,'Component List'!M$2:N$31,2,FALSE)</f>
        <v>#N/A</v>
      </c>
      <c r="X716" s="77" t="e">
        <f>VLOOKUP(I716,'Component List'!O$2:P$30,2,FALSE)</f>
        <v>#N/A</v>
      </c>
      <c r="Y716" s="77" t="e">
        <f>VLOOKUP(J716,'Component List'!Q$2:R$30,2,FALSE)</f>
        <v>#N/A</v>
      </c>
      <c r="Z716" s="77" t="e">
        <f>VLOOKUP(K716,'Component List'!S$2:T$30,2,FALSE)</f>
        <v>#N/A</v>
      </c>
      <c r="AA716" s="77" t="e">
        <f>VLOOKUP(L716,'Component List'!U$2:V$30,2,FALSE)</f>
        <v>#N/A</v>
      </c>
      <c r="AB716" s="77" t="e">
        <f>VLOOKUP(M716,'Component List'!AA$2:AB$30,2,FALSE)</f>
        <v>#N/A</v>
      </c>
      <c r="AC716" s="77" t="e">
        <f>VLOOKUP(N716,'Component List'!Y$2:Z$30,2,FALSE)</f>
        <v>#N/A</v>
      </c>
      <c r="AD716" s="159" t="e">
        <f>VLOOKUP(O716,'Component List'!W$3:X$30,2,FALSE)</f>
        <v>#N/A</v>
      </c>
    </row>
    <row r="717" spans="1:30" ht="30" customHeight="1" x14ac:dyDescent="0.3">
      <c r="A717" s="231"/>
      <c r="B717" s="173"/>
      <c r="C717" s="78"/>
      <c r="D717" s="78"/>
      <c r="E717" s="79"/>
      <c r="F717" s="78"/>
      <c r="G717" s="78"/>
      <c r="H717" s="78"/>
      <c r="I717" s="78"/>
      <c r="J717" s="78"/>
      <c r="K717" s="110"/>
      <c r="L717" s="110"/>
      <c r="M717" s="78"/>
      <c r="N717" s="78"/>
      <c r="O717" s="117"/>
      <c r="P717" s="114" t="e">
        <f t="shared" ref="P717:P780" si="10">Q717&amp;R717&amp;S717&amp;T717&amp;U717&amp;V717&amp;W717&amp;X717&amp;Y717&amp;Z717&amp;AA717&amp;AD717&amp;AC717&amp;AB717</f>
        <v>#N/A</v>
      </c>
      <c r="Q717" s="77" t="e">
        <f>VLOOKUP($B717,'Component List'!$A$2:$B$30,2,FALSE)</f>
        <v>#N/A</v>
      </c>
      <c r="R717" s="77" t="e">
        <f>VLOOKUP($C717,'Component List'!C$2:D$28,2,FALSE)</f>
        <v>#N/A</v>
      </c>
      <c r="S717" s="77" t="e">
        <f>VLOOKUP($D717,'Component List'!E$2:F$30,2,FALSE)</f>
        <v>#N/A</v>
      </c>
      <c r="T717" s="77" t="e">
        <f>VLOOKUP($E717,'Component List'!G$2:H$30,2,FALSE)</f>
        <v>#N/A</v>
      </c>
      <c r="U717" s="77" t="e">
        <f>VLOOKUP($F717,'Component List'!I$2:J$30,2,FALSE)</f>
        <v>#N/A</v>
      </c>
      <c r="V717" s="77" t="e">
        <f>VLOOKUP(G717,'Component List'!K$2:L$30,2,FALSE)</f>
        <v>#N/A</v>
      </c>
      <c r="W717" s="77" t="e">
        <f>VLOOKUP(H717,'Component List'!M$2:N$31,2,FALSE)</f>
        <v>#N/A</v>
      </c>
      <c r="X717" s="77" t="e">
        <f>VLOOKUP(I717,'Component List'!O$2:P$30,2,FALSE)</f>
        <v>#N/A</v>
      </c>
      <c r="Y717" s="77" t="e">
        <f>VLOOKUP(J717,'Component List'!Q$2:R$30,2,FALSE)</f>
        <v>#N/A</v>
      </c>
      <c r="Z717" s="77" t="e">
        <f>VLOOKUP(K717,'Component List'!S$2:T$30,2,FALSE)</f>
        <v>#N/A</v>
      </c>
      <c r="AA717" s="77" t="e">
        <f>VLOOKUP(L717,'Component List'!U$2:V$30,2,FALSE)</f>
        <v>#N/A</v>
      </c>
      <c r="AB717" s="77" t="e">
        <f>VLOOKUP(M717,'Component List'!AA$2:AB$30,2,FALSE)</f>
        <v>#N/A</v>
      </c>
      <c r="AC717" s="77" t="e">
        <f>VLOOKUP(N717,'Component List'!Y$2:Z$30,2,FALSE)</f>
        <v>#N/A</v>
      </c>
      <c r="AD717" s="159" t="e">
        <f>VLOOKUP(O717,'Component List'!W$3:X$30,2,FALSE)</f>
        <v>#N/A</v>
      </c>
    </row>
    <row r="718" spans="1:30" ht="30" customHeight="1" x14ac:dyDescent="0.3">
      <c r="A718" s="231"/>
      <c r="B718" s="173"/>
      <c r="C718" s="78"/>
      <c r="D718" s="78"/>
      <c r="E718" s="79"/>
      <c r="F718" s="78"/>
      <c r="G718" s="78"/>
      <c r="H718" s="78"/>
      <c r="I718" s="78"/>
      <c r="J718" s="78"/>
      <c r="K718" s="110"/>
      <c r="L718" s="110"/>
      <c r="M718" s="78"/>
      <c r="N718" s="78"/>
      <c r="O718" s="117"/>
      <c r="P718" s="114" t="e">
        <f t="shared" si="10"/>
        <v>#N/A</v>
      </c>
      <c r="Q718" s="77" t="e">
        <f>VLOOKUP($B718,'Component List'!$A$2:$B$30,2,FALSE)</f>
        <v>#N/A</v>
      </c>
      <c r="R718" s="77" t="e">
        <f>VLOOKUP($C718,'Component List'!C$2:D$28,2,FALSE)</f>
        <v>#N/A</v>
      </c>
      <c r="S718" s="77" t="e">
        <f>VLOOKUP($D718,'Component List'!E$2:F$30,2,FALSE)</f>
        <v>#N/A</v>
      </c>
      <c r="T718" s="77" t="e">
        <f>VLOOKUP($E718,'Component List'!G$2:H$30,2,FALSE)</f>
        <v>#N/A</v>
      </c>
      <c r="U718" s="77" t="e">
        <f>VLOOKUP($F718,'Component List'!I$2:J$30,2,FALSE)</f>
        <v>#N/A</v>
      </c>
      <c r="V718" s="77" t="e">
        <f>VLOOKUP(G718,'Component List'!K$2:L$30,2,FALSE)</f>
        <v>#N/A</v>
      </c>
      <c r="W718" s="77" t="e">
        <f>VLOOKUP(H718,'Component List'!M$2:N$31,2,FALSE)</f>
        <v>#N/A</v>
      </c>
      <c r="X718" s="77" t="e">
        <f>VLOOKUP(I718,'Component List'!O$2:P$30,2,FALSE)</f>
        <v>#N/A</v>
      </c>
      <c r="Y718" s="77" t="e">
        <f>VLOOKUP(J718,'Component List'!Q$2:R$30,2,FALSE)</f>
        <v>#N/A</v>
      </c>
      <c r="Z718" s="77" t="e">
        <f>VLOOKUP(K718,'Component List'!S$2:T$30,2,FALSE)</f>
        <v>#N/A</v>
      </c>
      <c r="AA718" s="77" t="e">
        <f>VLOOKUP(L718,'Component List'!U$2:V$30,2,FALSE)</f>
        <v>#N/A</v>
      </c>
      <c r="AB718" s="77" t="e">
        <f>VLOOKUP(M718,'Component List'!AA$2:AB$30,2,FALSE)</f>
        <v>#N/A</v>
      </c>
      <c r="AC718" s="77" t="e">
        <f>VLOOKUP(N718,'Component List'!Y$2:Z$30,2,FALSE)</f>
        <v>#N/A</v>
      </c>
      <c r="AD718" s="159" t="e">
        <f>VLOOKUP(O718,'Component List'!W$3:X$30,2,FALSE)</f>
        <v>#N/A</v>
      </c>
    </row>
    <row r="719" spans="1:30" ht="30" customHeight="1" x14ac:dyDescent="0.3">
      <c r="A719" s="231"/>
      <c r="B719" s="173"/>
      <c r="C719" s="78"/>
      <c r="D719" s="78"/>
      <c r="E719" s="79"/>
      <c r="F719" s="78"/>
      <c r="G719" s="78"/>
      <c r="H719" s="78"/>
      <c r="I719" s="78"/>
      <c r="J719" s="78"/>
      <c r="K719" s="110"/>
      <c r="L719" s="110"/>
      <c r="M719" s="78"/>
      <c r="N719" s="78"/>
      <c r="O719" s="117"/>
      <c r="P719" s="114" t="e">
        <f t="shared" si="10"/>
        <v>#N/A</v>
      </c>
      <c r="Q719" s="77" t="e">
        <f>VLOOKUP($B719,'Component List'!$A$2:$B$30,2,FALSE)</f>
        <v>#N/A</v>
      </c>
      <c r="R719" s="77" t="e">
        <f>VLOOKUP($C719,'Component List'!C$2:D$28,2,FALSE)</f>
        <v>#N/A</v>
      </c>
      <c r="S719" s="77" t="e">
        <f>VLOOKUP($D719,'Component List'!E$2:F$30,2,FALSE)</f>
        <v>#N/A</v>
      </c>
      <c r="T719" s="77" t="e">
        <f>VLOOKUP($E719,'Component List'!G$2:H$30,2,FALSE)</f>
        <v>#N/A</v>
      </c>
      <c r="U719" s="77" t="e">
        <f>VLOOKUP($F719,'Component List'!I$2:J$30,2,FALSE)</f>
        <v>#N/A</v>
      </c>
      <c r="V719" s="77" t="e">
        <f>VLOOKUP(G719,'Component List'!K$2:L$30,2,FALSE)</f>
        <v>#N/A</v>
      </c>
      <c r="W719" s="77" t="e">
        <f>VLOOKUP(H719,'Component List'!M$2:N$31,2,FALSE)</f>
        <v>#N/A</v>
      </c>
      <c r="X719" s="77" t="e">
        <f>VLOOKUP(I719,'Component List'!O$2:P$30,2,FALSE)</f>
        <v>#N/A</v>
      </c>
      <c r="Y719" s="77" t="e">
        <f>VLOOKUP(J719,'Component List'!Q$2:R$30,2,FALSE)</f>
        <v>#N/A</v>
      </c>
      <c r="Z719" s="77" t="e">
        <f>VLOOKUP(K719,'Component List'!S$2:T$30,2,FALSE)</f>
        <v>#N/A</v>
      </c>
      <c r="AA719" s="77" t="e">
        <f>VLOOKUP(L719,'Component List'!U$2:V$30,2,FALSE)</f>
        <v>#N/A</v>
      </c>
      <c r="AB719" s="77" t="e">
        <f>VLOOKUP(M719,'Component List'!AA$2:AB$30,2,FALSE)</f>
        <v>#N/A</v>
      </c>
      <c r="AC719" s="77" t="e">
        <f>VLOOKUP(N719,'Component List'!Y$2:Z$30,2,FALSE)</f>
        <v>#N/A</v>
      </c>
      <c r="AD719" s="159" t="e">
        <f>VLOOKUP(O719,'Component List'!W$3:X$30,2,FALSE)</f>
        <v>#N/A</v>
      </c>
    </row>
    <row r="720" spans="1:30" ht="30" customHeight="1" x14ac:dyDescent="0.3">
      <c r="A720" s="231"/>
      <c r="B720" s="173"/>
      <c r="C720" s="78"/>
      <c r="D720" s="78"/>
      <c r="E720" s="79"/>
      <c r="F720" s="78"/>
      <c r="G720" s="78"/>
      <c r="H720" s="78"/>
      <c r="I720" s="78"/>
      <c r="J720" s="78"/>
      <c r="K720" s="110"/>
      <c r="L720" s="110"/>
      <c r="M720" s="78"/>
      <c r="N720" s="78"/>
      <c r="O720" s="117"/>
      <c r="P720" s="114" t="e">
        <f t="shared" si="10"/>
        <v>#N/A</v>
      </c>
      <c r="Q720" s="77" t="e">
        <f>VLOOKUP($B720,'Component List'!$A$2:$B$30,2,FALSE)</f>
        <v>#N/A</v>
      </c>
      <c r="R720" s="77" t="e">
        <f>VLOOKUP($C720,'Component List'!C$2:D$28,2,FALSE)</f>
        <v>#N/A</v>
      </c>
      <c r="S720" s="77" t="e">
        <f>VLOOKUP($D720,'Component List'!E$2:F$30,2,FALSE)</f>
        <v>#N/A</v>
      </c>
      <c r="T720" s="77" t="e">
        <f>VLOOKUP($E720,'Component List'!G$2:H$30,2,FALSE)</f>
        <v>#N/A</v>
      </c>
      <c r="U720" s="77" t="e">
        <f>VLOOKUP($F720,'Component List'!I$2:J$30,2,FALSE)</f>
        <v>#N/A</v>
      </c>
      <c r="V720" s="77" t="e">
        <f>VLOOKUP(G720,'Component List'!K$2:L$30,2,FALSE)</f>
        <v>#N/A</v>
      </c>
      <c r="W720" s="77" t="e">
        <f>VLOOKUP(H720,'Component List'!M$2:N$31,2,FALSE)</f>
        <v>#N/A</v>
      </c>
      <c r="X720" s="77" t="e">
        <f>VLOOKUP(I720,'Component List'!O$2:P$30,2,FALSE)</f>
        <v>#N/A</v>
      </c>
      <c r="Y720" s="77" t="e">
        <f>VLOOKUP(J720,'Component List'!Q$2:R$30,2,FALSE)</f>
        <v>#N/A</v>
      </c>
      <c r="Z720" s="77" t="e">
        <f>VLOOKUP(K720,'Component List'!S$2:T$30,2,FALSE)</f>
        <v>#N/A</v>
      </c>
      <c r="AA720" s="77" t="e">
        <f>VLOOKUP(L720,'Component List'!U$2:V$30,2,FALSE)</f>
        <v>#N/A</v>
      </c>
      <c r="AB720" s="77" t="e">
        <f>VLOOKUP(M720,'Component List'!AA$2:AB$30,2,FALSE)</f>
        <v>#N/A</v>
      </c>
      <c r="AC720" s="77" t="e">
        <f>VLOOKUP(N720,'Component List'!Y$2:Z$30,2,FALSE)</f>
        <v>#N/A</v>
      </c>
      <c r="AD720" s="159" t="e">
        <f>VLOOKUP(O720,'Component List'!W$3:X$30,2,FALSE)</f>
        <v>#N/A</v>
      </c>
    </row>
    <row r="721" spans="1:30" ht="30" customHeight="1" x14ac:dyDescent="0.3">
      <c r="A721" s="231"/>
      <c r="B721" s="173"/>
      <c r="C721" s="78"/>
      <c r="D721" s="78"/>
      <c r="E721" s="79"/>
      <c r="F721" s="78"/>
      <c r="G721" s="78"/>
      <c r="H721" s="78"/>
      <c r="I721" s="78"/>
      <c r="J721" s="78"/>
      <c r="K721" s="110"/>
      <c r="L721" s="110"/>
      <c r="M721" s="78"/>
      <c r="N721" s="78"/>
      <c r="O721" s="117"/>
      <c r="P721" s="114" t="e">
        <f t="shared" si="10"/>
        <v>#N/A</v>
      </c>
      <c r="Q721" s="77" t="e">
        <f>VLOOKUP($B721,'Component List'!$A$2:$B$30,2,FALSE)</f>
        <v>#N/A</v>
      </c>
      <c r="R721" s="77" t="e">
        <f>VLOOKUP($C721,'Component List'!C$2:D$28,2,FALSE)</f>
        <v>#N/A</v>
      </c>
      <c r="S721" s="77" t="e">
        <f>VLOOKUP($D721,'Component List'!E$2:F$30,2,FALSE)</f>
        <v>#N/A</v>
      </c>
      <c r="T721" s="77" t="e">
        <f>VLOOKUP($E721,'Component List'!G$2:H$30,2,FALSE)</f>
        <v>#N/A</v>
      </c>
      <c r="U721" s="77" t="e">
        <f>VLOOKUP($F721,'Component List'!I$2:J$30,2,FALSE)</f>
        <v>#N/A</v>
      </c>
      <c r="V721" s="77" t="e">
        <f>VLOOKUP(G721,'Component List'!K$2:L$30,2,FALSE)</f>
        <v>#N/A</v>
      </c>
      <c r="W721" s="77" t="e">
        <f>VLOOKUP(H721,'Component List'!M$2:N$31,2,FALSE)</f>
        <v>#N/A</v>
      </c>
      <c r="X721" s="77" t="e">
        <f>VLOOKUP(I721,'Component List'!O$2:P$30,2,FALSE)</f>
        <v>#N/A</v>
      </c>
      <c r="Y721" s="77" t="e">
        <f>VLOOKUP(J721,'Component List'!Q$2:R$30,2,FALSE)</f>
        <v>#N/A</v>
      </c>
      <c r="Z721" s="77" t="e">
        <f>VLOOKUP(K721,'Component List'!S$2:T$30,2,FALSE)</f>
        <v>#N/A</v>
      </c>
      <c r="AA721" s="77" t="e">
        <f>VLOOKUP(L721,'Component List'!U$2:V$30,2,FALSE)</f>
        <v>#N/A</v>
      </c>
      <c r="AB721" s="77" t="e">
        <f>VLOOKUP(M721,'Component List'!AA$2:AB$30,2,FALSE)</f>
        <v>#N/A</v>
      </c>
      <c r="AC721" s="77" t="e">
        <f>VLOOKUP(N721,'Component List'!Y$2:Z$30,2,FALSE)</f>
        <v>#N/A</v>
      </c>
      <c r="AD721" s="159" t="e">
        <f>VLOOKUP(O721,'Component List'!W$3:X$30,2,FALSE)</f>
        <v>#N/A</v>
      </c>
    </row>
    <row r="722" spans="1:30" ht="30" customHeight="1" x14ac:dyDescent="0.3">
      <c r="A722" s="231"/>
      <c r="B722" s="173"/>
      <c r="C722" s="78"/>
      <c r="D722" s="78"/>
      <c r="E722" s="79"/>
      <c r="F722" s="78"/>
      <c r="G722" s="78"/>
      <c r="H722" s="78"/>
      <c r="I722" s="78"/>
      <c r="J722" s="78"/>
      <c r="K722" s="110"/>
      <c r="L722" s="110"/>
      <c r="M722" s="78"/>
      <c r="N722" s="78"/>
      <c r="O722" s="117"/>
      <c r="P722" s="114" t="e">
        <f t="shared" si="10"/>
        <v>#N/A</v>
      </c>
      <c r="Q722" s="77" t="e">
        <f>VLOOKUP($B722,'Component List'!$A$2:$B$30,2,FALSE)</f>
        <v>#N/A</v>
      </c>
      <c r="R722" s="77" t="e">
        <f>VLOOKUP($C722,'Component List'!C$2:D$28,2,FALSE)</f>
        <v>#N/A</v>
      </c>
      <c r="S722" s="77" t="e">
        <f>VLOOKUP($D722,'Component List'!E$2:F$30,2,FALSE)</f>
        <v>#N/A</v>
      </c>
      <c r="T722" s="77" t="e">
        <f>VLOOKUP($E722,'Component List'!G$2:H$30,2,FALSE)</f>
        <v>#N/A</v>
      </c>
      <c r="U722" s="77" t="e">
        <f>VLOOKUP($F722,'Component List'!I$2:J$30,2,FALSE)</f>
        <v>#N/A</v>
      </c>
      <c r="V722" s="77" t="e">
        <f>VLOOKUP(G722,'Component List'!K$2:L$30,2,FALSE)</f>
        <v>#N/A</v>
      </c>
      <c r="W722" s="77" t="e">
        <f>VLOOKUP(H722,'Component List'!M$2:N$31,2,FALSE)</f>
        <v>#N/A</v>
      </c>
      <c r="X722" s="77" t="e">
        <f>VLOOKUP(I722,'Component List'!O$2:P$30,2,FALSE)</f>
        <v>#N/A</v>
      </c>
      <c r="Y722" s="77" t="e">
        <f>VLOOKUP(J722,'Component List'!Q$2:R$30,2,FALSE)</f>
        <v>#N/A</v>
      </c>
      <c r="Z722" s="77" t="e">
        <f>VLOOKUP(K722,'Component List'!S$2:T$30,2,FALSE)</f>
        <v>#N/A</v>
      </c>
      <c r="AA722" s="77" t="e">
        <f>VLOOKUP(L722,'Component List'!U$2:V$30,2,FALSE)</f>
        <v>#N/A</v>
      </c>
      <c r="AB722" s="77" t="e">
        <f>VLOOKUP(M722,'Component List'!AA$2:AB$30,2,FALSE)</f>
        <v>#N/A</v>
      </c>
      <c r="AC722" s="77" t="e">
        <f>VLOOKUP(N722,'Component List'!Y$2:Z$30,2,FALSE)</f>
        <v>#N/A</v>
      </c>
      <c r="AD722" s="159" t="e">
        <f>VLOOKUP(O722,'Component List'!W$3:X$30,2,FALSE)</f>
        <v>#N/A</v>
      </c>
    </row>
    <row r="723" spans="1:30" ht="30" customHeight="1" x14ac:dyDescent="0.3">
      <c r="A723" s="231"/>
      <c r="B723" s="173"/>
      <c r="C723" s="78"/>
      <c r="D723" s="78"/>
      <c r="E723" s="79"/>
      <c r="F723" s="78"/>
      <c r="G723" s="78"/>
      <c r="H723" s="78"/>
      <c r="I723" s="78"/>
      <c r="J723" s="78"/>
      <c r="K723" s="110"/>
      <c r="L723" s="110"/>
      <c r="M723" s="78"/>
      <c r="N723" s="78"/>
      <c r="O723" s="117"/>
      <c r="P723" s="114" t="e">
        <f t="shared" si="10"/>
        <v>#N/A</v>
      </c>
      <c r="Q723" s="77" t="e">
        <f>VLOOKUP($B723,'Component List'!$A$2:$B$30,2,FALSE)</f>
        <v>#N/A</v>
      </c>
      <c r="R723" s="77" t="e">
        <f>VLOOKUP($C723,'Component List'!C$2:D$28,2,FALSE)</f>
        <v>#N/A</v>
      </c>
      <c r="S723" s="77" t="e">
        <f>VLOOKUP($D723,'Component List'!E$2:F$30,2,FALSE)</f>
        <v>#N/A</v>
      </c>
      <c r="T723" s="77" t="e">
        <f>VLOOKUP($E723,'Component List'!G$2:H$30,2,FALSE)</f>
        <v>#N/A</v>
      </c>
      <c r="U723" s="77" t="e">
        <f>VLOOKUP($F723,'Component List'!I$2:J$30,2,FALSE)</f>
        <v>#N/A</v>
      </c>
      <c r="V723" s="77" t="e">
        <f>VLOOKUP(G723,'Component List'!K$2:L$30,2,FALSE)</f>
        <v>#N/A</v>
      </c>
      <c r="W723" s="77" t="e">
        <f>VLOOKUP(H723,'Component List'!M$2:N$31,2,FALSE)</f>
        <v>#N/A</v>
      </c>
      <c r="X723" s="77" t="e">
        <f>VLOOKUP(I723,'Component List'!O$2:P$30,2,FALSE)</f>
        <v>#N/A</v>
      </c>
      <c r="Y723" s="77" t="e">
        <f>VLOOKUP(J723,'Component List'!Q$2:R$30,2,FALSE)</f>
        <v>#N/A</v>
      </c>
      <c r="Z723" s="77" t="e">
        <f>VLOOKUP(K723,'Component List'!S$2:T$30,2,FALSE)</f>
        <v>#N/A</v>
      </c>
      <c r="AA723" s="77" t="e">
        <f>VLOOKUP(L723,'Component List'!U$2:V$30,2,FALSE)</f>
        <v>#N/A</v>
      </c>
      <c r="AB723" s="77" t="e">
        <f>VLOOKUP(M723,'Component List'!AA$2:AB$30,2,FALSE)</f>
        <v>#N/A</v>
      </c>
      <c r="AC723" s="77" t="e">
        <f>VLOOKUP(N723,'Component List'!Y$2:Z$30,2,FALSE)</f>
        <v>#N/A</v>
      </c>
      <c r="AD723" s="159" t="e">
        <f>VLOOKUP(O723,'Component List'!W$3:X$30,2,FALSE)</f>
        <v>#N/A</v>
      </c>
    </row>
    <row r="724" spans="1:30" ht="30" customHeight="1" x14ac:dyDescent="0.3">
      <c r="A724" s="231"/>
      <c r="B724" s="173"/>
      <c r="C724" s="78"/>
      <c r="D724" s="78"/>
      <c r="E724" s="79"/>
      <c r="F724" s="78"/>
      <c r="G724" s="78"/>
      <c r="H724" s="78"/>
      <c r="I724" s="78"/>
      <c r="J724" s="78"/>
      <c r="K724" s="110"/>
      <c r="L724" s="110"/>
      <c r="M724" s="78"/>
      <c r="N724" s="78"/>
      <c r="O724" s="117"/>
      <c r="P724" s="114" t="e">
        <f t="shared" si="10"/>
        <v>#N/A</v>
      </c>
      <c r="Q724" s="77" t="e">
        <f>VLOOKUP($B724,'Component List'!$A$2:$B$30,2,FALSE)</f>
        <v>#N/A</v>
      </c>
      <c r="R724" s="77" t="e">
        <f>VLOOKUP($C724,'Component List'!C$2:D$28,2,FALSE)</f>
        <v>#N/A</v>
      </c>
      <c r="S724" s="77" t="e">
        <f>VLOOKUP($D724,'Component List'!E$2:F$30,2,FALSE)</f>
        <v>#N/A</v>
      </c>
      <c r="T724" s="77" t="e">
        <f>VLOOKUP($E724,'Component List'!G$2:H$30,2,FALSE)</f>
        <v>#N/A</v>
      </c>
      <c r="U724" s="77" t="e">
        <f>VLOOKUP($F724,'Component List'!I$2:J$30,2,FALSE)</f>
        <v>#N/A</v>
      </c>
      <c r="V724" s="77" t="e">
        <f>VLOOKUP(G724,'Component List'!K$2:L$30,2,FALSE)</f>
        <v>#N/A</v>
      </c>
      <c r="W724" s="77" t="e">
        <f>VLOOKUP(H724,'Component List'!M$2:N$31,2,FALSE)</f>
        <v>#N/A</v>
      </c>
      <c r="X724" s="77" t="e">
        <f>VLOOKUP(I724,'Component List'!O$2:P$30,2,FALSE)</f>
        <v>#N/A</v>
      </c>
      <c r="Y724" s="77" t="e">
        <f>VLOOKUP(J724,'Component List'!Q$2:R$30,2,FALSE)</f>
        <v>#N/A</v>
      </c>
      <c r="Z724" s="77" t="e">
        <f>VLOOKUP(K724,'Component List'!S$2:T$30,2,FALSE)</f>
        <v>#N/A</v>
      </c>
      <c r="AA724" s="77" t="e">
        <f>VLOOKUP(L724,'Component List'!U$2:V$30,2,FALSE)</f>
        <v>#N/A</v>
      </c>
      <c r="AB724" s="77" t="e">
        <f>VLOOKUP(M724,'Component List'!AA$2:AB$30,2,FALSE)</f>
        <v>#N/A</v>
      </c>
      <c r="AC724" s="77" t="e">
        <f>VLOOKUP(N724,'Component List'!Y$2:Z$30,2,FALSE)</f>
        <v>#N/A</v>
      </c>
      <c r="AD724" s="159" t="e">
        <f>VLOOKUP(O724,'Component List'!W$3:X$30,2,FALSE)</f>
        <v>#N/A</v>
      </c>
    </row>
    <row r="725" spans="1:30" ht="30" customHeight="1" x14ac:dyDescent="0.3">
      <c r="A725" s="231"/>
      <c r="B725" s="173"/>
      <c r="C725" s="78"/>
      <c r="D725" s="78"/>
      <c r="E725" s="79"/>
      <c r="F725" s="78"/>
      <c r="G725" s="78"/>
      <c r="H725" s="78"/>
      <c r="I725" s="78"/>
      <c r="J725" s="78"/>
      <c r="K725" s="110"/>
      <c r="L725" s="110"/>
      <c r="M725" s="78"/>
      <c r="N725" s="78"/>
      <c r="O725" s="117"/>
      <c r="P725" s="114" t="e">
        <f t="shared" si="10"/>
        <v>#N/A</v>
      </c>
      <c r="Q725" s="77" t="e">
        <f>VLOOKUP($B725,'Component List'!$A$2:$B$30,2,FALSE)</f>
        <v>#N/A</v>
      </c>
      <c r="R725" s="77" t="e">
        <f>VLOOKUP($C725,'Component List'!C$2:D$28,2,FALSE)</f>
        <v>#N/A</v>
      </c>
      <c r="S725" s="77" t="e">
        <f>VLOOKUP($D725,'Component List'!E$2:F$30,2,FALSE)</f>
        <v>#N/A</v>
      </c>
      <c r="T725" s="77" t="e">
        <f>VLOOKUP($E725,'Component List'!G$2:H$30,2,FALSE)</f>
        <v>#N/A</v>
      </c>
      <c r="U725" s="77" t="e">
        <f>VLOOKUP($F725,'Component List'!I$2:J$30,2,FALSE)</f>
        <v>#N/A</v>
      </c>
      <c r="V725" s="77" t="e">
        <f>VLOOKUP(G725,'Component List'!K$2:L$30,2,FALSE)</f>
        <v>#N/A</v>
      </c>
      <c r="W725" s="77" t="e">
        <f>VLOOKUP(H725,'Component List'!M$2:N$31,2,FALSE)</f>
        <v>#N/A</v>
      </c>
      <c r="X725" s="77" t="e">
        <f>VLOOKUP(I725,'Component List'!O$2:P$30,2,FALSE)</f>
        <v>#N/A</v>
      </c>
      <c r="Y725" s="77" t="e">
        <f>VLOOKUP(J725,'Component List'!Q$2:R$30,2,FALSE)</f>
        <v>#N/A</v>
      </c>
      <c r="Z725" s="77" t="e">
        <f>VLOOKUP(K725,'Component List'!S$2:T$30,2,FALSE)</f>
        <v>#N/A</v>
      </c>
      <c r="AA725" s="77" t="e">
        <f>VLOOKUP(L725,'Component List'!U$2:V$30,2,FALSE)</f>
        <v>#N/A</v>
      </c>
      <c r="AB725" s="77" t="e">
        <f>VLOOKUP(M725,'Component List'!AA$2:AB$30,2,FALSE)</f>
        <v>#N/A</v>
      </c>
      <c r="AC725" s="77" t="e">
        <f>VLOOKUP(N725,'Component List'!Y$2:Z$30,2,FALSE)</f>
        <v>#N/A</v>
      </c>
      <c r="AD725" s="159" t="e">
        <f>VLOOKUP(O725,'Component List'!W$3:X$30,2,FALSE)</f>
        <v>#N/A</v>
      </c>
    </row>
    <row r="726" spans="1:30" ht="30" customHeight="1" x14ac:dyDescent="0.3">
      <c r="A726" s="231"/>
      <c r="B726" s="173"/>
      <c r="C726" s="78"/>
      <c r="D726" s="78"/>
      <c r="E726" s="79"/>
      <c r="F726" s="78"/>
      <c r="G726" s="78"/>
      <c r="H726" s="78"/>
      <c r="I726" s="78"/>
      <c r="J726" s="78"/>
      <c r="K726" s="110"/>
      <c r="L726" s="110"/>
      <c r="M726" s="78"/>
      <c r="N726" s="78"/>
      <c r="O726" s="117"/>
      <c r="P726" s="114" t="e">
        <f t="shared" si="10"/>
        <v>#N/A</v>
      </c>
      <c r="Q726" s="77" t="e">
        <f>VLOOKUP($B726,'Component List'!$A$2:$B$30,2,FALSE)</f>
        <v>#N/A</v>
      </c>
      <c r="R726" s="77" t="e">
        <f>VLOOKUP($C726,'Component List'!C$2:D$28,2,FALSE)</f>
        <v>#N/A</v>
      </c>
      <c r="S726" s="77" t="e">
        <f>VLOOKUP($D726,'Component List'!E$2:F$30,2,FALSE)</f>
        <v>#N/A</v>
      </c>
      <c r="T726" s="77" t="e">
        <f>VLOOKUP($E726,'Component List'!G$2:H$30,2,FALSE)</f>
        <v>#N/A</v>
      </c>
      <c r="U726" s="77" t="e">
        <f>VLOOKUP($F726,'Component List'!I$2:J$30,2,FALSE)</f>
        <v>#N/A</v>
      </c>
      <c r="V726" s="77" t="e">
        <f>VLOOKUP(G726,'Component List'!K$2:L$30,2,FALSE)</f>
        <v>#N/A</v>
      </c>
      <c r="W726" s="77" t="e">
        <f>VLOOKUP(H726,'Component List'!M$2:N$31,2,FALSE)</f>
        <v>#N/A</v>
      </c>
      <c r="X726" s="77" t="e">
        <f>VLOOKUP(I726,'Component List'!O$2:P$30,2,FALSE)</f>
        <v>#N/A</v>
      </c>
      <c r="Y726" s="77" t="e">
        <f>VLOOKUP(J726,'Component List'!Q$2:R$30,2,FALSE)</f>
        <v>#N/A</v>
      </c>
      <c r="Z726" s="77" t="e">
        <f>VLOOKUP(K726,'Component List'!S$2:T$30,2,FALSE)</f>
        <v>#N/A</v>
      </c>
      <c r="AA726" s="77" t="e">
        <f>VLOOKUP(L726,'Component List'!U$2:V$30,2,FALSE)</f>
        <v>#N/A</v>
      </c>
      <c r="AB726" s="77" t="e">
        <f>VLOOKUP(M726,'Component List'!AA$2:AB$30,2,FALSE)</f>
        <v>#N/A</v>
      </c>
      <c r="AC726" s="77" t="e">
        <f>VLOOKUP(N726,'Component List'!Y$2:Z$30,2,FALSE)</f>
        <v>#N/A</v>
      </c>
      <c r="AD726" s="159" t="e">
        <f>VLOOKUP(O726,'Component List'!W$3:X$30,2,FALSE)</f>
        <v>#N/A</v>
      </c>
    </row>
    <row r="727" spans="1:30" ht="30" customHeight="1" x14ac:dyDescent="0.3">
      <c r="A727" s="231"/>
      <c r="B727" s="173"/>
      <c r="C727" s="78"/>
      <c r="D727" s="78"/>
      <c r="E727" s="79"/>
      <c r="F727" s="78"/>
      <c r="G727" s="78"/>
      <c r="H727" s="78"/>
      <c r="I727" s="78"/>
      <c r="J727" s="78"/>
      <c r="K727" s="110"/>
      <c r="L727" s="110"/>
      <c r="M727" s="78"/>
      <c r="N727" s="78"/>
      <c r="O727" s="117"/>
      <c r="P727" s="114" t="e">
        <f t="shared" si="10"/>
        <v>#N/A</v>
      </c>
      <c r="Q727" s="77" t="e">
        <f>VLOOKUP($B727,'Component List'!$A$2:$B$30,2,FALSE)</f>
        <v>#N/A</v>
      </c>
      <c r="R727" s="77" t="e">
        <f>VLOOKUP($C727,'Component List'!C$2:D$28,2,FALSE)</f>
        <v>#N/A</v>
      </c>
      <c r="S727" s="77" t="e">
        <f>VLOOKUP($D727,'Component List'!E$2:F$30,2,FALSE)</f>
        <v>#N/A</v>
      </c>
      <c r="T727" s="77" t="e">
        <f>VLOOKUP($E727,'Component List'!G$2:H$30,2,FALSE)</f>
        <v>#N/A</v>
      </c>
      <c r="U727" s="77" t="e">
        <f>VLOOKUP($F727,'Component List'!I$2:J$30,2,FALSE)</f>
        <v>#N/A</v>
      </c>
      <c r="V727" s="77" t="e">
        <f>VLOOKUP(G727,'Component List'!K$2:L$30,2,FALSE)</f>
        <v>#N/A</v>
      </c>
      <c r="W727" s="77" t="e">
        <f>VLOOKUP(H727,'Component List'!M$2:N$31,2,FALSE)</f>
        <v>#N/A</v>
      </c>
      <c r="X727" s="77" t="e">
        <f>VLOOKUP(I727,'Component List'!O$2:P$30,2,FALSE)</f>
        <v>#N/A</v>
      </c>
      <c r="Y727" s="77" t="e">
        <f>VLOOKUP(J727,'Component List'!Q$2:R$30,2,FALSE)</f>
        <v>#N/A</v>
      </c>
      <c r="Z727" s="77" t="e">
        <f>VLOOKUP(K727,'Component List'!S$2:T$30,2,FALSE)</f>
        <v>#N/A</v>
      </c>
      <c r="AA727" s="77" t="e">
        <f>VLOOKUP(L727,'Component List'!U$2:V$30,2,FALSE)</f>
        <v>#N/A</v>
      </c>
      <c r="AB727" s="77" t="e">
        <f>VLOOKUP(M727,'Component List'!AA$2:AB$30,2,FALSE)</f>
        <v>#N/A</v>
      </c>
      <c r="AC727" s="77" t="e">
        <f>VLOOKUP(N727,'Component List'!Y$2:Z$30,2,FALSE)</f>
        <v>#N/A</v>
      </c>
      <c r="AD727" s="159" t="e">
        <f>VLOOKUP(O727,'Component List'!W$3:X$30,2,FALSE)</f>
        <v>#N/A</v>
      </c>
    </row>
    <row r="728" spans="1:30" ht="30" customHeight="1" x14ac:dyDescent="0.3">
      <c r="A728" s="231"/>
      <c r="B728" s="173"/>
      <c r="C728" s="78"/>
      <c r="D728" s="78"/>
      <c r="E728" s="79"/>
      <c r="F728" s="78"/>
      <c r="G728" s="78"/>
      <c r="H728" s="78"/>
      <c r="I728" s="78"/>
      <c r="J728" s="78"/>
      <c r="K728" s="110"/>
      <c r="L728" s="110"/>
      <c r="M728" s="78"/>
      <c r="N728" s="78"/>
      <c r="O728" s="117"/>
      <c r="P728" s="114" t="e">
        <f t="shared" si="10"/>
        <v>#N/A</v>
      </c>
      <c r="Q728" s="77" t="e">
        <f>VLOOKUP($B728,'Component List'!$A$2:$B$30,2,FALSE)</f>
        <v>#N/A</v>
      </c>
      <c r="R728" s="77" t="e">
        <f>VLOOKUP($C728,'Component List'!C$2:D$28,2,FALSE)</f>
        <v>#N/A</v>
      </c>
      <c r="S728" s="77" t="e">
        <f>VLOOKUP($D728,'Component List'!E$2:F$30,2,FALSE)</f>
        <v>#N/A</v>
      </c>
      <c r="T728" s="77" t="e">
        <f>VLOOKUP($E728,'Component List'!G$2:H$30,2,FALSE)</f>
        <v>#N/A</v>
      </c>
      <c r="U728" s="77" t="e">
        <f>VLOOKUP($F728,'Component List'!I$2:J$30,2,FALSE)</f>
        <v>#N/A</v>
      </c>
      <c r="V728" s="77" t="e">
        <f>VLOOKUP(G728,'Component List'!K$2:L$30,2,FALSE)</f>
        <v>#N/A</v>
      </c>
      <c r="W728" s="77" t="e">
        <f>VLOOKUP(H728,'Component List'!M$2:N$31,2,FALSE)</f>
        <v>#N/A</v>
      </c>
      <c r="X728" s="77" t="e">
        <f>VLOOKUP(I728,'Component List'!O$2:P$30,2,FALSE)</f>
        <v>#N/A</v>
      </c>
      <c r="Y728" s="77" t="e">
        <f>VLOOKUP(J728,'Component List'!Q$2:R$30,2,FALSE)</f>
        <v>#N/A</v>
      </c>
      <c r="Z728" s="77" t="e">
        <f>VLOOKUP(K728,'Component List'!S$2:T$30,2,FALSE)</f>
        <v>#N/A</v>
      </c>
      <c r="AA728" s="77" t="e">
        <f>VLOOKUP(L728,'Component List'!U$2:V$30,2,FALSE)</f>
        <v>#N/A</v>
      </c>
      <c r="AB728" s="77" t="e">
        <f>VLOOKUP(M728,'Component List'!AA$2:AB$30,2,FALSE)</f>
        <v>#N/A</v>
      </c>
      <c r="AC728" s="77" t="e">
        <f>VLOOKUP(N728,'Component List'!Y$2:Z$30,2,FALSE)</f>
        <v>#N/A</v>
      </c>
      <c r="AD728" s="159" t="e">
        <f>VLOOKUP(O728,'Component List'!W$3:X$30,2,FALSE)</f>
        <v>#N/A</v>
      </c>
    </row>
    <row r="729" spans="1:30" ht="30" customHeight="1" x14ac:dyDescent="0.3">
      <c r="A729" s="231"/>
      <c r="B729" s="173"/>
      <c r="C729" s="78"/>
      <c r="D729" s="78"/>
      <c r="E729" s="79"/>
      <c r="F729" s="78"/>
      <c r="G729" s="78"/>
      <c r="H729" s="78"/>
      <c r="I729" s="78"/>
      <c r="J729" s="78"/>
      <c r="K729" s="110"/>
      <c r="L729" s="110"/>
      <c r="M729" s="78"/>
      <c r="N729" s="78"/>
      <c r="O729" s="117"/>
      <c r="P729" s="114" t="e">
        <f t="shared" si="10"/>
        <v>#N/A</v>
      </c>
      <c r="Q729" s="77" t="e">
        <f>VLOOKUP($B729,'Component List'!$A$2:$B$30,2,FALSE)</f>
        <v>#N/A</v>
      </c>
      <c r="R729" s="77" t="e">
        <f>VLOOKUP($C729,'Component List'!C$2:D$28,2,FALSE)</f>
        <v>#N/A</v>
      </c>
      <c r="S729" s="77" t="e">
        <f>VLOOKUP($D729,'Component List'!E$2:F$30,2,FALSE)</f>
        <v>#N/A</v>
      </c>
      <c r="T729" s="77" t="e">
        <f>VLOOKUP($E729,'Component List'!G$2:H$30,2,FALSE)</f>
        <v>#N/A</v>
      </c>
      <c r="U729" s="77" t="e">
        <f>VLOOKUP($F729,'Component List'!I$2:J$30,2,FALSE)</f>
        <v>#N/A</v>
      </c>
      <c r="V729" s="77" t="e">
        <f>VLOOKUP(G729,'Component List'!K$2:L$30,2,FALSE)</f>
        <v>#N/A</v>
      </c>
      <c r="W729" s="77" t="e">
        <f>VLOOKUP(H729,'Component List'!M$2:N$31,2,FALSE)</f>
        <v>#N/A</v>
      </c>
      <c r="X729" s="77" t="e">
        <f>VLOOKUP(I729,'Component List'!O$2:P$30,2,FALSE)</f>
        <v>#N/A</v>
      </c>
      <c r="Y729" s="77" t="e">
        <f>VLOOKUP(J729,'Component List'!Q$2:R$30,2,FALSE)</f>
        <v>#N/A</v>
      </c>
      <c r="Z729" s="77" t="e">
        <f>VLOOKUP(K729,'Component List'!S$2:T$30,2,FALSE)</f>
        <v>#N/A</v>
      </c>
      <c r="AA729" s="77" t="e">
        <f>VLOOKUP(L729,'Component List'!U$2:V$30,2,FALSE)</f>
        <v>#N/A</v>
      </c>
      <c r="AB729" s="77" t="e">
        <f>VLOOKUP(M729,'Component List'!AA$2:AB$30,2,FALSE)</f>
        <v>#N/A</v>
      </c>
      <c r="AC729" s="77" t="e">
        <f>VLOOKUP(N729,'Component List'!Y$2:Z$30,2,FALSE)</f>
        <v>#N/A</v>
      </c>
      <c r="AD729" s="159" t="e">
        <f>VLOOKUP(O729,'Component List'!W$3:X$30,2,FALSE)</f>
        <v>#N/A</v>
      </c>
    </row>
    <row r="730" spans="1:30" ht="30" customHeight="1" x14ac:dyDescent="0.3">
      <c r="A730" s="231"/>
      <c r="B730" s="173"/>
      <c r="C730" s="78"/>
      <c r="D730" s="78"/>
      <c r="E730" s="79"/>
      <c r="F730" s="78"/>
      <c r="G730" s="78"/>
      <c r="H730" s="78"/>
      <c r="I730" s="78"/>
      <c r="J730" s="78"/>
      <c r="K730" s="110"/>
      <c r="L730" s="110"/>
      <c r="M730" s="78"/>
      <c r="N730" s="78"/>
      <c r="O730" s="117"/>
      <c r="P730" s="114" t="e">
        <f t="shared" si="10"/>
        <v>#N/A</v>
      </c>
      <c r="Q730" s="77" t="e">
        <f>VLOOKUP($B730,'Component List'!$A$2:$B$30,2,FALSE)</f>
        <v>#N/A</v>
      </c>
      <c r="R730" s="77" t="e">
        <f>VLOOKUP($C730,'Component List'!C$2:D$28,2,FALSE)</f>
        <v>#N/A</v>
      </c>
      <c r="S730" s="77" t="e">
        <f>VLOOKUP($D730,'Component List'!E$2:F$30,2,FALSE)</f>
        <v>#N/A</v>
      </c>
      <c r="T730" s="77" t="e">
        <f>VLOOKUP($E730,'Component List'!G$2:H$30,2,FALSE)</f>
        <v>#N/A</v>
      </c>
      <c r="U730" s="77" t="e">
        <f>VLOOKUP($F730,'Component List'!I$2:J$30,2,FALSE)</f>
        <v>#N/A</v>
      </c>
      <c r="V730" s="77" t="e">
        <f>VLOOKUP(G730,'Component List'!K$2:L$30,2,FALSE)</f>
        <v>#N/A</v>
      </c>
      <c r="W730" s="77" t="e">
        <f>VLOOKUP(H730,'Component List'!M$2:N$31,2,FALSE)</f>
        <v>#N/A</v>
      </c>
      <c r="X730" s="77" t="e">
        <f>VLOOKUP(I730,'Component List'!O$2:P$30,2,FALSE)</f>
        <v>#N/A</v>
      </c>
      <c r="Y730" s="77" t="e">
        <f>VLOOKUP(J730,'Component List'!Q$2:R$30,2,FALSE)</f>
        <v>#N/A</v>
      </c>
      <c r="Z730" s="77" t="e">
        <f>VLOOKUP(K730,'Component List'!S$2:T$30,2,FALSE)</f>
        <v>#N/A</v>
      </c>
      <c r="AA730" s="77" t="e">
        <f>VLOOKUP(L730,'Component List'!U$2:V$30,2,FALSE)</f>
        <v>#N/A</v>
      </c>
      <c r="AB730" s="77" t="e">
        <f>VLOOKUP(M730,'Component List'!AA$2:AB$30,2,FALSE)</f>
        <v>#N/A</v>
      </c>
      <c r="AC730" s="77" t="e">
        <f>VLOOKUP(N730,'Component List'!Y$2:Z$30,2,FALSE)</f>
        <v>#N/A</v>
      </c>
      <c r="AD730" s="159" t="e">
        <f>VLOOKUP(O730,'Component List'!W$3:X$30,2,FALSE)</f>
        <v>#N/A</v>
      </c>
    </row>
    <row r="731" spans="1:30" ht="30" customHeight="1" x14ac:dyDescent="0.3">
      <c r="A731" s="231"/>
      <c r="B731" s="173"/>
      <c r="C731" s="78"/>
      <c r="D731" s="78"/>
      <c r="E731" s="79"/>
      <c r="F731" s="78"/>
      <c r="G731" s="78"/>
      <c r="H731" s="78"/>
      <c r="I731" s="78"/>
      <c r="J731" s="78"/>
      <c r="K731" s="110"/>
      <c r="L731" s="110"/>
      <c r="M731" s="78"/>
      <c r="N731" s="78"/>
      <c r="O731" s="117"/>
      <c r="P731" s="114" t="e">
        <f t="shared" si="10"/>
        <v>#N/A</v>
      </c>
      <c r="Q731" s="77" t="e">
        <f>VLOOKUP($B731,'Component List'!$A$2:$B$30,2,FALSE)</f>
        <v>#N/A</v>
      </c>
      <c r="R731" s="77" t="e">
        <f>VLOOKUP($C731,'Component List'!C$2:D$28,2,FALSE)</f>
        <v>#N/A</v>
      </c>
      <c r="S731" s="77" t="e">
        <f>VLOOKUP($D731,'Component List'!E$2:F$30,2,FALSE)</f>
        <v>#N/A</v>
      </c>
      <c r="T731" s="77" t="e">
        <f>VLOOKUP($E731,'Component List'!G$2:H$30,2,FALSE)</f>
        <v>#N/A</v>
      </c>
      <c r="U731" s="77" t="e">
        <f>VLOOKUP($F731,'Component List'!I$2:J$30,2,FALSE)</f>
        <v>#N/A</v>
      </c>
      <c r="V731" s="77" t="e">
        <f>VLOOKUP(G731,'Component List'!K$2:L$30,2,FALSE)</f>
        <v>#N/A</v>
      </c>
      <c r="W731" s="77" t="e">
        <f>VLOOKUP(H731,'Component List'!M$2:N$31,2,FALSE)</f>
        <v>#N/A</v>
      </c>
      <c r="X731" s="77" t="e">
        <f>VLOOKUP(I731,'Component List'!O$2:P$30,2,FALSE)</f>
        <v>#N/A</v>
      </c>
      <c r="Y731" s="77" t="e">
        <f>VLOOKUP(J731,'Component List'!Q$2:R$30,2,FALSE)</f>
        <v>#N/A</v>
      </c>
      <c r="Z731" s="77" t="e">
        <f>VLOOKUP(K731,'Component List'!S$2:T$30,2,FALSE)</f>
        <v>#N/A</v>
      </c>
      <c r="AA731" s="77" t="e">
        <f>VLOOKUP(L731,'Component List'!U$2:V$30,2,FALSE)</f>
        <v>#N/A</v>
      </c>
      <c r="AB731" s="77" t="e">
        <f>VLOOKUP(M731,'Component List'!AA$2:AB$30,2,FALSE)</f>
        <v>#N/A</v>
      </c>
      <c r="AC731" s="77" t="e">
        <f>VLOOKUP(N731,'Component List'!Y$2:Z$30,2,FALSE)</f>
        <v>#N/A</v>
      </c>
      <c r="AD731" s="159" t="e">
        <f>VLOOKUP(O731,'Component List'!W$3:X$30,2,FALSE)</f>
        <v>#N/A</v>
      </c>
    </row>
    <row r="732" spans="1:30" ht="30" customHeight="1" x14ac:dyDescent="0.3">
      <c r="A732" s="231"/>
      <c r="B732" s="173"/>
      <c r="C732" s="78"/>
      <c r="D732" s="78"/>
      <c r="E732" s="79"/>
      <c r="F732" s="78"/>
      <c r="G732" s="78"/>
      <c r="H732" s="78"/>
      <c r="I732" s="78"/>
      <c r="J732" s="78"/>
      <c r="K732" s="110"/>
      <c r="L732" s="110"/>
      <c r="M732" s="78"/>
      <c r="N732" s="78"/>
      <c r="O732" s="117"/>
      <c r="P732" s="114" t="e">
        <f t="shared" si="10"/>
        <v>#N/A</v>
      </c>
      <c r="Q732" s="77" t="e">
        <f>VLOOKUP($B732,'Component List'!$A$2:$B$30,2,FALSE)</f>
        <v>#N/A</v>
      </c>
      <c r="R732" s="77" t="e">
        <f>VLOOKUP($C732,'Component List'!C$2:D$28,2,FALSE)</f>
        <v>#N/A</v>
      </c>
      <c r="S732" s="77" t="e">
        <f>VLOOKUP($D732,'Component List'!E$2:F$30,2,FALSE)</f>
        <v>#N/A</v>
      </c>
      <c r="T732" s="77" t="e">
        <f>VLOOKUP($E732,'Component List'!G$2:H$30,2,FALSE)</f>
        <v>#N/A</v>
      </c>
      <c r="U732" s="77" t="e">
        <f>VLOOKUP($F732,'Component List'!I$2:J$30,2,FALSE)</f>
        <v>#N/A</v>
      </c>
      <c r="V732" s="77" t="e">
        <f>VLOOKUP(G732,'Component List'!K$2:L$30,2,FALSE)</f>
        <v>#N/A</v>
      </c>
      <c r="W732" s="77" t="e">
        <f>VLOOKUP(H732,'Component List'!M$2:N$31,2,FALSE)</f>
        <v>#N/A</v>
      </c>
      <c r="X732" s="77" t="e">
        <f>VLOOKUP(I732,'Component List'!O$2:P$30,2,FALSE)</f>
        <v>#N/A</v>
      </c>
      <c r="Y732" s="77" t="e">
        <f>VLOOKUP(J732,'Component List'!Q$2:R$30,2,FALSE)</f>
        <v>#N/A</v>
      </c>
      <c r="Z732" s="77" t="e">
        <f>VLOOKUP(K732,'Component List'!S$2:T$30,2,FALSE)</f>
        <v>#N/A</v>
      </c>
      <c r="AA732" s="77" t="e">
        <f>VLOOKUP(L732,'Component List'!U$2:V$30,2,FALSE)</f>
        <v>#N/A</v>
      </c>
      <c r="AB732" s="77" t="e">
        <f>VLOOKUP(M732,'Component List'!AA$2:AB$30,2,FALSE)</f>
        <v>#N/A</v>
      </c>
      <c r="AC732" s="77" t="e">
        <f>VLOOKUP(N732,'Component List'!Y$2:Z$30,2,FALSE)</f>
        <v>#N/A</v>
      </c>
      <c r="AD732" s="159" t="e">
        <f>VLOOKUP(O732,'Component List'!W$3:X$30,2,FALSE)</f>
        <v>#N/A</v>
      </c>
    </row>
    <row r="733" spans="1:30" ht="30" customHeight="1" x14ac:dyDescent="0.3">
      <c r="A733" s="231"/>
      <c r="B733" s="173"/>
      <c r="C733" s="78"/>
      <c r="D733" s="78"/>
      <c r="E733" s="79"/>
      <c r="F733" s="78"/>
      <c r="G733" s="78"/>
      <c r="H733" s="78"/>
      <c r="I733" s="78"/>
      <c r="J733" s="78"/>
      <c r="K733" s="110"/>
      <c r="L733" s="110"/>
      <c r="M733" s="78"/>
      <c r="N733" s="78"/>
      <c r="O733" s="117"/>
      <c r="P733" s="114" t="e">
        <f t="shared" si="10"/>
        <v>#N/A</v>
      </c>
      <c r="Q733" s="77" t="e">
        <f>VLOOKUP($B733,'Component List'!$A$2:$B$30,2,FALSE)</f>
        <v>#N/A</v>
      </c>
      <c r="R733" s="77" t="e">
        <f>VLOOKUP($C733,'Component List'!C$2:D$28,2,FALSE)</f>
        <v>#N/A</v>
      </c>
      <c r="S733" s="77" t="e">
        <f>VLOOKUP($D733,'Component List'!E$2:F$30,2,FALSE)</f>
        <v>#N/A</v>
      </c>
      <c r="T733" s="77" t="e">
        <f>VLOOKUP($E733,'Component List'!G$2:H$30,2,FALSE)</f>
        <v>#N/A</v>
      </c>
      <c r="U733" s="77" t="e">
        <f>VLOOKUP($F733,'Component List'!I$2:J$30,2,FALSE)</f>
        <v>#N/A</v>
      </c>
      <c r="V733" s="77" t="e">
        <f>VLOOKUP(G733,'Component List'!K$2:L$30,2,FALSE)</f>
        <v>#N/A</v>
      </c>
      <c r="W733" s="77" t="e">
        <f>VLOOKUP(H733,'Component List'!M$2:N$31,2,FALSE)</f>
        <v>#N/A</v>
      </c>
      <c r="X733" s="77" t="e">
        <f>VLOOKUP(I733,'Component List'!O$2:P$30,2,FALSE)</f>
        <v>#N/A</v>
      </c>
      <c r="Y733" s="77" t="e">
        <f>VLOOKUP(J733,'Component List'!Q$2:R$30,2,FALSE)</f>
        <v>#N/A</v>
      </c>
      <c r="Z733" s="77" t="e">
        <f>VLOOKUP(K733,'Component List'!S$2:T$30,2,FALSE)</f>
        <v>#N/A</v>
      </c>
      <c r="AA733" s="77" t="e">
        <f>VLOOKUP(L733,'Component List'!U$2:V$30,2,FALSE)</f>
        <v>#N/A</v>
      </c>
      <c r="AB733" s="77" t="e">
        <f>VLOOKUP(M733,'Component List'!AA$2:AB$30,2,FALSE)</f>
        <v>#N/A</v>
      </c>
      <c r="AC733" s="77" t="e">
        <f>VLOOKUP(N733,'Component List'!Y$2:Z$30,2,FALSE)</f>
        <v>#N/A</v>
      </c>
      <c r="AD733" s="159" t="e">
        <f>VLOOKUP(O733,'Component List'!W$3:X$30,2,FALSE)</f>
        <v>#N/A</v>
      </c>
    </row>
    <row r="734" spans="1:30" ht="30" customHeight="1" x14ac:dyDescent="0.3">
      <c r="A734" s="231"/>
      <c r="B734" s="173"/>
      <c r="C734" s="78"/>
      <c r="D734" s="78"/>
      <c r="E734" s="79"/>
      <c r="F734" s="78"/>
      <c r="G734" s="78"/>
      <c r="H734" s="78"/>
      <c r="I734" s="78"/>
      <c r="J734" s="78"/>
      <c r="K734" s="110"/>
      <c r="L734" s="110"/>
      <c r="M734" s="78"/>
      <c r="N734" s="78"/>
      <c r="O734" s="117"/>
      <c r="P734" s="114" t="e">
        <f t="shared" si="10"/>
        <v>#N/A</v>
      </c>
      <c r="Q734" s="77" t="e">
        <f>VLOOKUP($B734,'Component List'!$A$2:$B$30,2,FALSE)</f>
        <v>#N/A</v>
      </c>
      <c r="R734" s="77" t="e">
        <f>VLOOKUP($C734,'Component List'!C$2:D$28,2,FALSE)</f>
        <v>#N/A</v>
      </c>
      <c r="S734" s="77" t="e">
        <f>VLOOKUP($D734,'Component List'!E$2:F$30,2,FALSE)</f>
        <v>#N/A</v>
      </c>
      <c r="T734" s="77" t="e">
        <f>VLOOKUP($E734,'Component List'!G$2:H$30,2,FALSE)</f>
        <v>#N/A</v>
      </c>
      <c r="U734" s="77" t="e">
        <f>VLOOKUP($F734,'Component List'!I$2:J$30,2,FALSE)</f>
        <v>#N/A</v>
      </c>
      <c r="V734" s="77" t="e">
        <f>VLOOKUP(G734,'Component List'!K$2:L$30,2,FALSE)</f>
        <v>#N/A</v>
      </c>
      <c r="W734" s="77" t="e">
        <f>VLOOKUP(H734,'Component List'!M$2:N$31,2,FALSE)</f>
        <v>#N/A</v>
      </c>
      <c r="X734" s="77" t="e">
        <f>VLOOKUP(I734,'Component List'!O$2:P$30,2,FALSE)</f>
        <v>#N/A</v>
      </c>
      <c r="Y734" s="77" t="e">
        <f>VLOOKUP(J734,'Component List'!Q$2:R$30,2,FALSE)</f>
        <v>#N/A</v>
      </c>
      <c r="Z734" s="77" t="e">
        <f>VLOOKUP(K734,'Component List'!S$2:T$30,2,FALSE)</f>
        <v>#N/A</v>
      </c>
      <c r="AA734" s="77" t="e">
        <f>VLOOKUP(L734,'Component List'!U$2:V$30,2,FALSE)</f>
        <v>#N/A</v>
      </c>
      <c r="AB734" s="77" t="e">
        <f>VLOOKUP(M734,'Component List'!AA$2:AB$30,2,FALSE)</f>
        <v>#N/A</v>
      </c>
      <c r="AC734" s="77" t="e">
        <f>VLOOKUP(N734,'Component List'!Y$2:Z$30,2,FALSE)</f>
        <v>#N/A</v>
      </c>
      <c r="AD734" s="159" t="e">
        <f>VLOOKUP(O734,'Component List'!W$3:X$30,2,FALSE)</f>
        <v>#N/A</v>
      </c>
    </row>
    <row r="735" spans="1:30" ht="30" customHeight="1" x14ac:dyDescent="0.3">
      <c r="A735" s="231"/>
      <c r="B735" s="173"/>
      <c r="C735" s="78"/>
      <c r="D735" s="78"/>
      <c r="E735" s="79"/>
      <c r="F735" s="78"/>
      <c r="G735" s="78"/>
      <c r="H735" s="78"/>
      <c r="I735" s="78"/>
      <c r="J735" s="78"/>
      <c r="K735" s="110"/>
      <c r="L735" s="110"/>
      <c r="M735" s="78"/>
      <c r="N735" s="78"/>
      <c r="O735" s="117"/>
      <c r="P735" s="114" t="e">
        <f t="shared" si="10"/>
        <v>#N/A</v>
      </c>
      <c r="Q735" s="77" t="e">
        <f>VLOOKUP($B735,'Component List'!$A$2:$B$30,2,FALSE)</f>
        <v>#N/A</v>
      </c>
      <c r="R735" s="77" t="e">
        <f>VLOOKUP($C735,'Component List'!C$2:D$28,2,FALSE)</f>
        <v>#N/A</v>
      </c>
      <c r="S735" s="77" t="e">
        <f>VLOOKUP($D735,'Component List'!E$2:F$30,2,FALSE)</f>
        <v>#N/A</v>
      </c>
      <c r="T735" s="77" t="e">
        <f>VLOOKUP($E735,'Component List'!G$2:H$30,2,FALSE)</f>
        <v>#N/A</v>
      </c>
      <c r="U735" s="77" t="e">
        <f>VLOOKUP($F735,'Component List'!I$2:J$30,2,FALSE)</f>
        <v>#N/A</v>
      </c>
      <c r="V735" s="77" t="e">
        <f>VLOOKUP(G735,'Component List'!K$2:L$30,2,FALSE)</f>
        <v>#N/A</v>
      </c>
      <c r="W735" s="77" t="e">
        <f>VLOOKUP(H735,'Component List'!M$2:N$31,2,FALSE)</f>
        <v>#N/A</v>
      </c>
      <c r="X735" s="77" t="e">
        <f>VLOOKUP(I735,'Component List'!O$2:P$30,2,FALSE)</f>
        <v>#N/A</v>
      </c>
      <c r="Y735" s="77" t="e">
        <f>VLOOKUP(J735,'Component List'!Q$2:R$30,2,FALSE)</f>
        <v>#N/A</v>
      </c>
      <c r="Z735" s="77" t="e">
        <f>VLOOKUP(K735,'Component List'!S$2:T$30,2,FALSE)</f>
        <v>#N/A</v>
      </c>
      <c r="AA735" s="77" t="e">
        <f>VLOOKUP(L735,'Component List'!U$2:V$30,2,FALSE)</f>
        <v>#N/A</v>
      </c>
      <c r="AB735" s="77" t="e">
        <f>VLOOKUP(M735,'Component List'!AA$2:AB$30,2,FALSE)</f>
        <v>#N/A</v>
      </c>
      <c r="AC735" s="77" t="e">
        <f>VLOOKUP(N735,'Component List'!Y$2:Z$30,2,FALSE)</f>
        <v>#N/A</v>
      </c>
      <c r="AD735" s="159" t="e">
        <f>VLOOKUP(O735,'Component List'!W$3:X$30,2,FALSE)</f>
        <v>#N/A</v>
      </c>
    </row>
    <row r="736" spans="1:30" ht="30" customHeight="1" x14ac:dyDescent="0.3">
      <c r="A736" s="231"/>
      <c r="B736" s="173"/>
      <c r="C736" s="78"/>
      <c r="D736" s="78"/>
      <c r="E736" s="79"/>
      <c r="F736" s="78"/>
      <c r="G736" s="78"/>
      <c r="H736" s="78"/>
      <c r="I736" s="78"/>
      <c r="J736" s="78"/>
      <c r="K736" s="110"/>
      <c r="L736" s="110"/>
      <c r="M736" s="78"/>
      <c r="N736" s="78"/>
      <c r="O736" s="117"/>
      <c r="P736" s="114" t="e">
        <f t="shared" si="10"/>
        <v>#N/A</v>
      </c>
      <c r="Q736" s="77" t="e">
        <f>VLOOKUP($B736,'Component List'!$A$2:$B$30,2,FALSE)</f>
        <v>#N/A</v>
      </c>
      <c r="R736" s="77" t="e">
        <f>VLOOKUP($C736,'Component List'!C$2:D$28,2,FALSE)</f>
        <v>#N/A</v>
      </c>
      <c r="S736" s="77" t="e">
        <f>VLOOKUP($D736,'Component List'!E$2:F$30,2,FALSE)</f>
        <v>#N/A</v>
      </c>
      <c r="T736" s="77" t="e">
        <f>VLOOKUP($E736,'Component List'!G$2:H$30,2,FALSE)</f>
        <v>#N/A</v>
      </c>
      <c r="U736" s="77" t="e">
        <f>VLOOKUP($F736,'Component List'!I$2:J$30,2,FALSE)</f>
        <v>#N/A</v>
      </c>
      <c r="V736" s="77" t="e">
        <f>VLOOKUP(G736,'Component List'!K$2:L$30,2,FALSE)</f>
        <v>#N/A</v>
      </c>
      <c r="W736" s="77" t="e">
        <f>VLOOKUP(H736,'Component List'!M$2:N$31,2,FALSE)</f>
        <v>#N/A</v>
      </c>
      <c r="X736" s="77" t="e">
        <f>VLOOKUP(I736,'Component List'!O$2:P$30,2,FALSE)</f>
        <v>#N/A</v>
      </c>
      <c r="Y736" s="77" t="e">
        <f>VLOOKUP(J736,'Component List'!Q$2:R$30,2,FALSE)</f>
        <v>#N/A</v>
      </c>
      <c r="Z736" s="77" t="e">
        <f>VLOOKUP(K736,'Component List'!S$2:T$30,2,FALSE)</f>
        <v>#N/A</v>
      </c>
      <c r="AA736" s="77" t="e">
        <f>VLOOKUP(L736,'Component List'!U$2:V$30,2,FALSE)</f>
        <v>#N/A</v>
      </c>
      <c r="AB736" s="77" t="e">
        <f>VLOOKUP(M736,'Component List'!AA$2:AB$30,2,FALSE)</f>
        <v>#N/A</v>
      </c>
      <c r="AC736" s="77" t="e">
        <f>VLOOKUP(N736,'Component List'!Y$2:Z$30,2,FALSE)</f>
        <v>#N/A</v>
      </c>
      <c r="AD736" s="159" t="e">
        <f>VLOOKUP(O736,'Component List'!W$3:X$30,2,FALSE)</f>
        <v>#N/A</v>
      </c>
    </row>
    <row r="737" spans="1:30" ht="30" customHeight="1" x14ac:dyDescent="0.3">
      <c r="A737" s="231"/>
      <c r="B737" s="173"/>
      <c r="C737" s="78"/>
      <c r="D737" s="78"/>
      <c r="E737" s="79"/>
      <c r="F737" s="78"/>
      <c r="G737" s="78"/>
      <c r="H737" s="78"/>
      <c r="I737" s="78"/>
      <c r="J737" s="78"/>
      <c r="K737" s="110"/>
      <c r="L737" s="110"/>
      <c r="M737" s="78"/>
      <c r="N737" s="78"/>
      <c r="O737" s="117"/>
      <c r="P737" s="114" t="e">
        <f t="shared" si="10"/>
        <v>#N/A</v>
      </c>
      <c r="Q737" s="77" t="e">
        <f>VLOOKUP($B737,'Component List'!$A$2:$B$30,2,FALSE)</f>
        <v>#N/A</v>
      </c>
      <c r="R737" s="77" t="e">
        <f>VLOOKUP($C737,'Component List'!C$2:D$28,2,FALSE)</f>
        <v>#N/A</v>
      </c>
      <c r="S737" s="77" t="e">
        <f>VLOOKUP($D737,'Component List'!E$2:F$30,2,FALSE)</f>
        <v>#N/A</v>
      </c>
      <c r="T737" s="77" t="e">
        <f>VLOOKUP($E737,'Component List'!G$2:H$30,2,FALSE)</f>
        <v>#N/A</v>
      </c>
      <c r="U737" s="77" t="e">
        <f>VLOOKUP($F737,'Component List'!I$2:J$30,2,FALSE)</f>
        <v>#N/A</v>
      </c>
      <c r="V737" s="77" t="e">
        <f>VLOOKUP(G737,'Component List'!K$2:L$30,2,FALSE)</f>
        <v>#N/A</v>
      </c>
      <c r="W737" s="77" t="e">
        <f>VLOOKUP(H737,'Component List'!M$2:N$31,2,FALSE)</f>
        <v>#N/A</v>
      </c>
      <c r="X737" s="77" t="e">
        <f>VLOOKUP(I737,'Component List'!O$2:P$30,2,FALSE)</f>
        <v>#N/A</v>
      </c>
      <c r="Y737" s="77" t="e">
        <f>VLOOKUP(J737,'Component List'!Q$2:R$30,2,FALSE)</f>
        <v>#N/A</v>
      </c>
      <c r="Z737" s="77" t="e">
        <f>VLOOKUP(K737,'Component List'!S$2:T$30,2,FALSE)</f>
        <v>#N/A</v>
      </c>
      <c r="AA737" s="77" t="e">
        <f>VLOOKUP(L737,'Component List'!U$2:V$30,2,FALSE)</f>
        <v>#N/A</v>
      </c>
      <c r="AB737" s="77" t="e">
        <f>VLOOKUP(M737,'Component List'!AA$2:AB$30,2,FALSE)</f>
        <v>#N/A</v>
      </c>
      <c r="AC737" s="77" t="e">
        <f>VLOOKUP(N737,'Component List'!Y$2:Z$30,2,FALSE)</f>
        <v>#N/A</v>
      </c>
      <c r="AD737" s="159" t="e">
        <f>VLOOKUP(O737,'Component List'!W$3:X$30,2,FALSE)</f>
        <v>#N/A</v>
      </c>
    </row>
    <row r="738" spans="1:30" ht="30" customHeight="1" x14ac:dyDescent="0.3">
      <c r="A738" s="231"/>
      <c r="B738" s="173"/>
      <c r="C738" s="78"/>
      <c r="D738" s="78"/>
      <c r="E738" s="79"/>
      <c r="F738" s="78"/>
      <c r="G738" s="78"/>
      <c r="H738" s="78"/>
      <c r="I738" s="78"/>
      <c r="J738" s="78"/>
      <c r="K738" s="110"/>
      <c r="L738" s="110"/>
      <c r="M738" s="78"/>
      <c r="N738" s="78"/>
      <c r="O738" s="117"/>
      <c r="P738" s="114" t="e">
        <f t="shared" si="10"/>
        <v>#N/A</v>
      </c>
      <c r="Q738" s="77" t="e">
        <f>VLOOKUP($B738,'Component List'!$A$2:$B$30,2,FALSE)</f>
        <v>#N/A</v>
      </c>
      <c r="R738" s="77" t="e">
        <f>VLOOKUP($C738,'Component List'!C$2:D$28,2,FALSE)</f>
        <v>#N/A</v>
      </c>
      <c r="S738" s="77" t="e">
        <f>VLOOKUP($D738,'Component List'!E$2:F$30,2,FALSE)</f>
        <v>#N/A</v>
      </c>
      <c r="T738" s="77" t="e">
        <f>VLOOKUP($E738,'Component List'!G$2:H$30,2,FALSE)</f>
        <v>#N/A</v>
      </c>
      <c r="U738" s="77" t="e">
        <f>VLOOKUP($F738,'Component List'!I$2:J$30,2,FALSE)</f>
        <v>#N/A</v>
      </c>
      <c r="V738" s="77" t="e">
        <f>VLOOKUP(G738,'Component List'!K$2:L$30,2,FALSE)</f>
        <v>#N/A</v>
      </c>
      <c r="W738" s="77" t="e">
        <f>VLOOKUP(H738,'Component List'!M$2:N$31,2,FALSE)</f>
        <v>#N/A</v>
      </c>
      <c r="X738" s="77" t="e">
        <f>VLOOKUP(I738,'Component List'!O$2:P$30,2,FALSE)</f>
        <v>#N/A</v>
      </c>
      <c r="Y738" s="77" t="e">
        <f>VLOOKUP(J738,'Component List'!Q$2:R$30,2,FALSE)</f>
        <v>#N/A</v>
      </c>
      <c r="Z738" s="77" t="e">
        <f>VLOOKUP(K738,'Component List'!S$2:T$30,2,FALSE)</f>
        <v>#N/A</v>
      </c>
      <c r="AA738" s="77" t="e">
        <f>VLOOKUP(L738,'Component List'!U$2:V$30,2,FALSE)</f>
        <v>#N/A</v>
      </c>
      <c r="AB738" s="77" t="e">
        <f>VLOOKUP(M738,'Component List'!AA$2:AB$30,2,FALSE)</f>
        <v>#N/A</v>
      </c>
      <c r="AC738" s="77" t="e">
        <f>VLOOKUP(N738,'Component List'!Y$2:Z$30,2,FALSE)</f>
        <v>#N/A</v>
      </c>
      <c r="AD738" s="159" t="e">
        <f>VLOOKUP(O738,'Component List'!W$3:X$30,2,FALSE)</f>
        <v>#N/A</v>
      </c>
    </row>
    <row r="739" spans="1:30" ht="30" customHeight="1" x14ac:dyDescent="0.3">
      <c r="A739" s="231"/>
      <c r="B739" s="173"/>
      <c r="C739" s="78"/>
      <c r="D739" s="78"/>
      <c r="E739" s="79"/>
      <c r="F739" s="78"/>
      <c r="G739" s="78"/>
      <c r="H739" s="78"/>
      <c r="I739" s="78"/>
      <c r="J739" s="78"/>
      <c r="K739" s="110"/>
      <c r="L739" s="110"/>
      <c r="M739" s="78"/>
      <c r="N739" s="78"/>
      <c r="O739" s="117"/>
      <c r="P739" s="114" t="e">
        <f t="shared" si="10"/>
        <v>#N/A</v>
      </c>
      <c r="Q739" s="77" t="e">
        <f>VLOOKUP($B739,'Component List'!$A$2:$B$30,2,FALSE)</f>
        <v>#N/A</v>
      </c>
      <c r="R739" s="77" t="e">
        <f>VLOOKUP($C739,'Component List'!C$2:D$28,2,FALSE)</f>
        <v>#N/A</v>
      </c>
      <c r="S739" s="77" t="e">
        <f>VLOOKUP($D739,'Component List'!E$2:F$30,2,FALSE)</f>
        <v>#N/A</v>
      </c>
      <c r="T739" s="77" t="e">
        <f>VLOOKUP($E739,'Component List'!G$2:H$30,2,FALSE)</f>
        <v>#N/A</v>
      </c>
      <c r="U739" s="77" t="e">
        <f>VLOOKUP($F739,'Component List'!I$2:J$30,2,FALSE)</f>
        <v>#N/A</v>
      </c>
      <c r="V739" s="77" t="e">
        <f>VLOOKUP(G739,'Component List'!K$2:L$30,2,FALSE)</f>
        <v>#N/A</v>
      </c>
      <c r="W739" s="77" t="e">
        <f>VLOOKUP(H739,'Component List'!M$2:N$31,2,FALSE)</f>
        <v>#N/A</v>
      </c>
      <c r="X739" s="77" t="e">
        <f>VLOOKUP(I739,'Component List'!O$2:P$30,2,FALSE)</f>
        <v>#N/A</v>
      </c>
      <c r="Y739" s="77" t="e">
        <f>VLOOKUP(J739,'Component List'!Q$2:R$30,2,FALSE)</f>
        <v>#N/A</v>
      </c>
      <c r="Z739" s="77" t="e">
        <f>VLOOKUP(K739,'Component List'!S$2:T$30,2,FALSE)</f>
        <v>#N/A</v>
      </c>
      <c r="AA739" s="77" t="e">
        <f>VLOOKUP(L739,'Component List'!U$2:V$30,2,FALSE)</f>
        <v>#N/A</v>
      </c>
      <c r="AB739" s="77" t="e">
        <f>VLOOKUP(M739,'Component List'!AA$2:AB$30,2,FALSE)</f>
        <v>#N/A</v>
      </c>
      <c r="AC739" s="77" t="e">
        <f>VLOOKUP(N739,'Component List'!Y$2:Z$30,2,FALSE)</f>
        <v>#N/A</v>
      </c>
      <c r="AD739" s="159" t="e">
        <f>VLOOKUP(O739,'Component List'!W$3:X$30,2,FALSE)</f>
        <v>#N/A</v>
      </c>
    </row>
    <row r="740" spans="1:30" ht="30" customHeight="1" x14ac:dyDescent="0.3">
      <c r="A740" s="231"/>
      <c r="B740" s="173"/>
      <c r="C740" s="78"/>
      <c r="D740" s="78"/>
      <c r="E740" s="79"/>
      <c r="F740" s="78"/>
      <c r="G740" s="78"/>
      <c r="H740" s="78"/>
      <c r="I740" s="78"/>
      <c r="J740" s="78"/>
      <c r="K740" s="110"/>
      <c r="L740" s="110"/>
      <c r="M740" s="78"/>
      <c r="N740" s="78"/>
      <c r="O740" s="117"/>
      <c r="P740" s="114" t="e">
        <f t="shared" si="10"/>
        <v>#N/A</v>
      </c>
      <c r="Q740" s="77" t="e">
        <f>VLOOKUP($B740,'Component List'!$A$2:$B$30,2,FALSE)</f>
        <v>#N/A</v>
      </c>
      <c r="R740" s="77" t="e">
        <f>VLOOKUP($C740,'Component List'!C$2:D$28,2,FALSE)</f>
        <v>#N/A</v>
      </c>
      <c r="S740" s="77" t="e">
        <f>VLOOKUP($D740,'Component List'!E$2:F$30,2,FALSE)</f>
        <v>#N/A</v>
      </c>
      <c r="T740" s="77" t="e">
        <f>VLOOKUP($E740,'Component List'!G$2:H$30,2,FALSE)</f>
        <v>#N/A</v>
      </c>
      <c r="U740" s="77" t="e">
        <f>VLOOKUP($F740,'Component List'!I$2:J$30,2,FALSE)</f>
        <v>#N/A</v>
      </c>
      <c r="V740" s="77" t="e">
        <f>VLOOKUP(G740,'Component List'!K$2:L$30,2,FALSE)</f>
        <v>#N/A</v>
      </c>
      <c r="W740" s="77" t="e">
        <f>VLOOKUP(H740,'Component List'!M$2:N$31,2,FALSE)</f>
        <v>#N/A</v>
      </c>
      <c r="X740" s="77" t="e">
        <f>VLOOKUP(I740,'Component List'!O$2:P$30,2,FALSE)</f>
        <v>#N/A</v>
      </c>
      <c r="Y740" s="77" t="e">
        <f>VLOOKUP(J740,'Component List'!Q$2:R$30,2,FALSE)</f>
        <v>#N/A</v>
      </c>
      <c r="Z740" s="77" t="e">
        <f>VLOOKUP(K740,'Component List'!S$2:T$30,2,FALSE)</f>
        <v>#N/A</v>
      </c>
      <c r="AA740" s="77" t="e">
        <f>VLOOKUP(L740,'Component List'!U$2:V$30,2,FALSE)</f>
        <v>#N/A</v>
      </c>
      <c r="AB740" s="77" t="e">
        <f>VLOOKUP(M740,'Component List'!AA$2:AB$30,2,FALSE)</f>
        <v>#N/A</v>
      </c>
      <c r="AC740" s="77" t="e">
        <f>VLOOKUP(N740,'Component List'!Y$2:Z$30,2,FALSE)</f>
        <v>#N/A</v>
      </c>
      <c r="AD740" s="159" t="e">
        <f>VLOOKUP(O740,'Component List'!W$3:X$30,2,FALSE)</f>
        <v>#N/A</v>
      </c>
    </row>
    <row r="741" spans="1:30" ht="30" customHeight="1" x14ac:dyDescent="0.3">
      <c r="A741" s="231"/>
      <c r="B741" s="173"/>
      <c r="C741" s="78"/>
      <c r="D741" s="78"/>
      <c r="E741" s="79"/>
      <c r="F741" s="78"/>
      <c r="G741" s="78"/>
      <c r="H741" s="78"/>
      <c r="I741" s="78"/>
      <c r="J741" s="78"/>
      <c r="K741" s="110"/>
      <c r="L741" s="110"/>
      <c r="M741" s="78"/>
      <c r="N741" s="78"/>
      <c r="O741" s="117"/>
      <c r="P741" s="114" t="e">
        <f t="shared" si="10"/>
        <v>#N/A</v>
      </c>
      <c r="Q741" s="77" t="e">
        <f>VLOOKUP($B741,'Component List'!$A$2:$B$30,2,FALSE)</f>
        <v>#N/A</v>
      </c>
      <c r="R741" s="77" t="e">
        <f>VLOOKUP($C741,'Component List'!C$2:D$28,2,FALSE)</f>
        <v>#N/A</v>
      </c>
      <c r="S741" s="77" t="e">
        <f>VLOOKUP($D741,'Component List'!E$2:F$30,2,FALSE)</f>
        <v>#N/A</v>
      </c>
      <c r="T741" s="77" t="e">
        <f>VLOOKUP($E741,'Component List'!G$2:H$30,2,FALSE)</f>
        <v>#N/A</v>
      </c>
      <c r="U741" s="77" t="e">
        <f>VLOOKUP($F741,'Component List'!I$2:J$30,2,FALSE)</f>
        <v>#N/A</v>
      </c>
      <c r="V741" s="77" t="e">
        <f>VLOOKUP(G741,'Component List'!K$2:L$30,2,FALSE)</f>
        <v>#N/A</v>
      </c>
      <c r="W741" s="77" t="e">
        <f>VLOOKUP(H741,'Component List'!M$2:N$31,2,FALSE)</f>
        <v>#N/A</v>
      </c>
      <c r="X741" s="77" t="e">
        <f>VLOOKUP(I741,'Component List'!O$2:P$30,2,FALSE)</f>
        <v>#N/A</v>
      </c>
      <c r="Y741" s="77" t="e">
        <f>VLOOKUP(J741,'Component List'!Q$2:R$30,2,FALSE)</f>
        <v>#N/A</v>
      </c>
      <c r="Z741" s="77" t="e">
        <f>VLOOKUP(K741,'Component List'!S$2:T$30,2,FALSE)</f>
        <v>#N/A</v>
      </c>
      <c r="AA741" s="77" t="e">
        <f>VLOOKUP(L741,'Component List'!U$2:V$30,2,FALSE)</f>
        <v>#N/A</v>
      </c>
      <c r="AB741" s="77" t="e">
        <f>VLOOKUP(M741,'Component List'!AA$2:AB$30,2,FALSE)</f>
        <v>#N/A</v>
      </c>
      <c r="AC741" s="77" t="e">
        <f>VLOOKUP(N741,'Component List'!Y$2:Z$30,2,FALSE)</f>
        <v>#N/A</v>
      </c>
      <c r="AD741" s="159" t="e">
        <f>VLOOKUP(O741,'Component List'!W$3:X$30,2,FALSE)</f>
        <v>#N/A</v>
      </c>
    </row>
    <row r="742" spans="1:30" ht="30" customHeight="1" x14ac:dyDescent="0.3">
      <c r="A742" s="231"/>
      <c r="B742" s="173"/>
      <c r="C742" s="78"/>
      <c r="D742" s="78"/>
      <c r="E742" s="79"/>
      <c r="F742" s="78"/>
      <c r="G742" s="78"/>
      <c r="H742" s="78"/>
      <c r="I742" s="78"/>
      <c r="J742" s="78"/>
      <c r="K742" s="110"/>
      <c r="L742" s="110"/>
      <c r="M742" s="78"/>
      <c r="N742" s="78"/>
      <c r="O742" s="117"/>
      <c r="P742" s="114" t="e">
        <f t="shared" si="10"/>
        <v>#N/A</v>
      </c>
      <c r="Q742" s="77" t="e">
        <f>VLOOKUP($B742,'Component List'!$A$2:$B$30,2,FALSE)</f>
        <v>#N/A</v>
      </c>
      <c r="R742" s="77" t="e">
        <f>VLOOKUP($C742,'Component List'!C$2:D$28,2,FALSE)</f>
        <v>#N/A</v>
      </c>
      <c r="S742" s="77" t="e">
        <f>VLOOKUP($D742,'Component List'!E$2:F$30,2,FALSE)</f>
        <v>#N/A</v>
      </c>
      <c r="T742" s="77" t="e">
        <f>VLOOKUP($E742,'Component List'!G$2:H$30,2,FALSE)</f>
        <v>#N/A</v>
      </c>
      <c r="U742" s="77" t="e">
        <f>VLOOKUP($F742,'Component List'!I$2:J$30,2,FALSE)</f>
        <v>#N/A</v>
      </c>
      <c r="V742" s="77" t="e">
        <f>VLOOKUP(G742,'Component List'!K$2:L$30,2,FALSE)</f>
        <v>#N/A</v>
      </c>
      <c r="W742" s="77" t="e">
        <f>VLOOKUP(H742,'Component List'!M$2:N$31,2,FALSE)</f>
        <v>#N/A</v>
      </c>
      <c r="X742" s="77" t="e">
        <f>VLOOKUP(I742,'Component List'!O$2:P$30,2,FALSE)</f>
        <v>#N/A</v>
      </c>
      <c r="Y742" s="77" t="e">
        <f>VLOOKUP(J742,'Component List'!Q$2:R$30,2,FALSE)</f>
        <v>#N/A</v>
      </c>
      <c r="Z742" s="77" t="e">
        <f>VLOOKUP(K742,'Component List'!S$2:T$30,2,FALSE)</f>
        <v>#N/A</v>
      </c>
      <c r="AA742" s="77" t="e">
        <f>VLOOKUP(L742,'Component List'!U$2:V$30,2,FALSE)</f>
        <v>#N/A</v>
      </c>
      <c r="AB742" s="77" t="e">
        <f>VLOOKUP(M742,'Component List'!AA$2:AB$30,2,FALSE)</f>
        <v>#N/A</v>
      </c>
      <c r="AC742" s="77" t="e">
        <f>VLOOKUP(N742,'Component List'!Y$2:Z$30,2,FALSE)</f>
        <v>#N/A</v>
      </c>
      <c r="AD742" s="159" t="e">
        <f>VLOOKUP(O742,'Component List'!W$3:X$30,2,FALSE)</f>
        <v>#N/A</v>
      </c>
    </row>
    <row r="743" spans="1:30" ht="30" customHeight="1" x14ac:dyDescent="0.3">
      <c r="A743" s="231"/>
      <c r="B743" s="173"/>
      <c r="C743" s="78"/>
      <c r="D743" s="78"/>
      <c r="E743" s="79"/>
      <c r="F743" s="78"/>
      <c r="G743" s="78"/>
      <c r="H743" s="78"/>
      <c r="I743" s="78"/>
      <c r="J743" s="78"/>
      <c r="K743" s="110"/>
      <c r="L743" s="110"/>
      <c r="M743" s="78"/>
      <c r="N743" s="78"/>
      <c r="O743" s="117"/>
      <c r="P743" s="114" t="e">
        <f t="shared" si="10"/>
        <v>#N/A</v>
      </c>
      <c r="Q743" s="77" t="e">
        <f>VLOOKUP($B743,'Component List'!$A$2:$B$30,2,FALSE)</f>
        <v>#N/A</v>
      </c>
      <c r="R743" s="77" t="e">
        <f>VLOOKUP($C743,'Component List'!C$2:D$28,2,FALSE)</f>
        <v>#N/A</v>
      </c>
      <c r="S743" s="77" t="e">
        <f>VLOOKUP($D743,'Component List'!E$2:F$30,2,FALSE)</f>
        <v>#N/A</v>
      </c>
      <c r="T743" s="77" t="e">
        <f>VLOOKUP($E743,'Component List'!G$2:H$30,2,FALSE)</f>
        <v>#N/A</v>
      </c>
      <c r="U743" s="77" t="e">
        <f>VLOOKUP($F743,'Component List'!I$2:J$30,2,FALSE)</f>
        <v>#N/A</v>
      </c>
      <c r="V743" s="77" t="e">
        <f>VLOOKUP(G743,'Component List'!K$2:L$30,2,FALSE)</f>
        <v>#N/A</v>
      </c>
      <c r="W743" s="77" t="e">
        <f>VLOOKUP(H743,'Component List'!M$2:N$31,2,FALSE)</f>
        <v>#N/A</v>
      </c>
      <c r="X743" s="77" t="e">
        <f>VLOOKUP(I743,'Component List'!O$2:P$30,2,FALSE)</f>
        <v>#N/A</v>
      </c>
      <c r="Y743" s="77" t="e">
        <f>VLOOKUP(J743,'Component List'!Q$2:R$30,2,FALSE)</f>
        <v>#N/A</v>
      </c>
      <c r="Z743" s="77" t="e">
        <f>VLOOKUP(K743,'Component List'!S$2:T$30,2,FALSE)</f>
        <v>#N/A</v>
      </c>
      <c r="AA743" s="77" t="e">
        <f>VLOOKUP(L743,'Component List'!U$2:V$30,2,FALSE)</f>
        <v>#N/A</v>
      </c>
      <c r="AB743" s="77" t="e">
        <f>VLOOKUP(M743,'Component List'!AA$2:AB$30,2,FALSE)</f>
        <v>#N/A</v>
      </c>
      <c r="AC743" s="77" t="e">
        <f>VLOOKUP(N743,'Component List'!Y$2:Z$30,2,FALSE)</f>
        <v>#N/A</v>
      </c>
      <c r="AD743" s="159" t="e">
        <f>VLOOKUP(O743,'Component List'!W$3:X$30,2,FALSE)</f>
        <v>#N/A</v>
      </c>
    </row>
    <row r="744" spans="1:30" ht="30" customHeight="1" x14ac:dyDescent="0.3">
      <c r="A744" s="231"/>
      <c r="B744" s="173"/>
      <c r="C744" s="78"/>
      <c r="D744" s="78"/>
      <c r="E744" s="79"/>
      <c r="F744" s="78"/>
      <c r="G744" s="78"/>
      <c r="H744" s="78"/>
      <c r="I744" s="78"/>
      <c r="J744" s="78"/>
      <c r="K744" s="110"/>
      <c r="L744" s="110"/>
      <c r="M744" s="78"/>
      <c r="N744" s="78"/>
      <c r="O744" s="117"/>
      <c r="P744" s="114" t="e">
        <f t="shared" si="10"/>
        <v>#N/A</v>
      </c>
      <c r="Q744" s="77" t="e">
        <f>VLOOKUP($B744,'Component List'!$A$2:$B$30,2,FALSE)</f>
        <v>#N/A</v>
      </c>
      <c r="R744" s="77" t="e">
        <f>VLOOKUP($C744,'Component List'!C$2:D$28,2,FALSE)</f>
        <v>#N/A</v>
      </c>
      <c r="S744" s="77" t="e">
        <f>VLOOKUP($D744,'Component List'!E$2:F$30,2,FALSE)</f>
        <v>#N/A</v>
      </c>
      <c r="T744" s="77" t="e">
        <f>VLOOKUP($E744,'Component List'!G$2:H$30,2,FALSE)</f>
        <v>#N/A</v>
      </c>
      <c r="U744" s="77" t="e">
        <f>VLOOKUP($F744,'Component List'!I$2:J$30,2,FALSE)</f>
        <v>#N/A</v>
      </c>
      <c r="V744" s="77" t="e">
        <f>VLOOKUP(G744,'Component List'!K$2:L$30,2,FALSE)</f>
        <v>#N/A</v>
      </c>
      <c r="W744" s="77" t="e">
        <f>VLOOKUP(H744,'Component List'!M$2:N$31,2,FALSE)</f>
        <v>#N/A</v>
      </c>
      <c r="X744" s="77" t="e">
        <f>VLOOKUP(I744,'Component List'!O$2:P$30,2,FALSE)</f>
        <v>#N/A</v>
      </c>
      <c r="Y744" s="77" t="e">
        <f>VLOOKUP(J744,'Component List'!Q$2:R$30,2,FALSE)</f>
        <v>#N/A</v>
      </c>
      <c r="Z744" s="77" t="e">
        <f>VLOOKUP(K744,'Component List'!S$2:T$30,2,FALSE)</f>
        <v>#N/A</v>
      </c>
      <c r="AA744" s="77" t="e">
        <f>VLOOKUP(L744,'Component List'!U$2:V$30,2,FALSE)</f>
        <v>#N/A</v>
      </c>
      <c r="AB744" s="77" t="e">
        <f>VLOOKUP(M744,'Component List'!AA$2:AB$30,2,FALSE)</f>
        <v>#N/A</v>
      </c>
      <c r="AC744" s="77" t="e">
        <f>VLOOKUP(N744,'Component List'!Y$2:Z$30,2,FALSE)</f>
        <v>#N/A</v>
      </c>
      <c r="AD744" s="159" t="e">
        <f>VLOOKUP(O744,'Component List'!W$3:X$30,2,FALSE)</f>
        <v>#N/A</v>
      </c>
    </row>
    <row r="745" spans="1:30" ht="30" customHeight="1" x14ac:dyDescent="0.3">
      <c r="A745" s="231"/>
      <c r="B745" s="173"/>
      <c r="C745" s="78"/>
      <c r="D745" s="78"/>
      <c r="E745" s="79"/>
      <c r="F745" s="78"/>
      <c r="G745" s="78"/>
      <c r="H745" s="78"/>
      <c r="I745" s="78"/>
      <c r="J745" s="78"/>
      <c r="K745" s="110"/>
      <c r="L745" s="110"/>
      <c r="M745" s="78"/>
      <c r="N745" s="78"/>
      <c r="O745" s="117"/>
      <c r="P745" s="114" t="e">
        <f t="shared" si="10"/>
        <v>#N/A</v>
      </c>
      <c r="Q745" s="77" t="e">
        <f>VLOOKUP($B745,'Component List'!$A$2:$B$30,2,FALSE)</f>
        <v>#N/A</v>
      </c>
      <c r="R745" s="77" t="e">
        <f>VLOOKUP($C745,'Component List'!C$2:D$28,2,FALSE)</f>
        <v>#N/A</v>
      </c>
      <c r="S745" s="77" t="e">
        <f>VLOOKUP($D745,'Component List'!E$2:F$30,2,FALSE)</f>
        <v>#N/A</v>
      </c>
      <c r="T745" s="77" t="e">
        <f>VLOOKUP($E745,'Component List'!G$2:H$30,2,FALSE)</f>
        <v>#N/A</v>
      </c>
      <c r="U745" s="77" t="e">
        <f>VLOOKUP($F745,'Component List'!I$2:J$30,2,FALSE)</f>
        <v>#N/A</v>
      </c>
      <c r="V745" s="77" t="e">
        <f>VLOOKUP(G745,'Component List'!K$2:L$30,2,FALSE)</f>
        <v>#N/A</v>
      </c>
      <c r="W745" s="77" t="e">
        <f>VLOOKUP(H745,'Component List'!M$2:N$31,2,FALSE)</f>
        <v>#N/A</v>
      </c>
      <c r="X745" s="77" t="e">
        <f>VLOOKUP(I745,'Component List'!O$2:P$30,2,FALSE)</f>
        <v>#N/A</v>
      </c>
      <c r="Y745" s="77" t="e">
        <f>VLOOKUP(J745,'Component List'!Q$2:R$30,2,FALSE)</f>
        <v>#N/A</v>
      </c>
      <c r="Z745" s="77" t="e">
        <f>VLOOKUP(K745,'Component List'!S$2:T$30,2,FALSE)</f>
        <v>#N/A</v>
      </c>
      <c r="AA745" s="77" t="e">
        <f>VLOOKUP(L745,'Component List'!U$2:V$30,2,FALSE)</f>
        <v>#N/A</v>
      </c>
      <c r="AB745" s="77" t="e">
        <f>VLOOKUP(M745,'Component List'!AA$2:AB$30,2,FALSE)</f>
        <v>#N/A</v>
      </c>
      <c r="AC745" s="77" t="e">
        <f>VLOOKUP(N745,'Component List'!Y$2:Z$30,2,FALSE)</f>
        <v>#N/A</v>
      </c>
      <c r="AD745" s="159" t="e">
        <f>VLOOKUP(O745,'Component List'!W$3:X$30,2,FALSE)</f>
        <v>#N/A</v>
      </c>
    </row>
    <row r="746" spans="1:30" ht="30" customHeight="1" x14ac:dyDescent="0.3">
      <c r="A746" s="231"/>
      <c r="B746" s="173"/>
      <c r="C746" s="78"/>
      <c r="D746" s="78"/>
      <c r="E746" s="79"/>
      <c r="F746" s="78"/>
      <c r="G746" s="78"/>
      <c r="H746" s="78"/>
      <c r="I746" s="78"/>
      <c r="J746" s="78"/>
      <c r="K746" s="110"/>
      <c r="L746" s="110"/>
      <c r="M746" s="78"/>
      <c r="N746" s="78"/>
      <c r="O746" s="117"/>
      <c r="P746" s="114" t="e">
        <f t="shared" si="10"/>
        <v>#N/A</v>
      </c>
      <c r="Q746" s="77" t="e">
        <f>VLOOKUP($B746,'Component List'!$A$2:$B$30,2,FALSE)</f>
        <v>#N/A</v>
      </c>
      <c r="R746" s="77" t="e">
        <f>VLOOKUP($C746,'Component List'!C$2:D$28,2,FALSE)</f>
        <v>#N/A</v>
      </c>
      <c r="S746" s="77" t="e">
        <f>VLOOKUP($D746,'Component List'!E$2:F$30,2,FALSE)</f>
        <v>#N/A</v>
      </c>
      <c r="T746" s="77" t="e">
        <f>VLOOKUP($E746,'Component List'!G$2:H$30,2,FALSE)</f>
        <v>#N/A</v>
      </c>
      <c r="U746" s="77" t="e">
        <f>VLOOKUP($F746,'Component List'!I$2:J$30,2,FALSE)</f>
        <v>#N/A</v>
      </c>
      <c r="V746" s="77" t="e">
        <f>VLOOKUP(G746,'Component List'!K$2:L$30,2,FALSE)</f>
        <v>#N/A</v>
      </c>
      <c r="W746" s="77" t="e">
        <f>VLOOKUP(H746,'Component List'!M$2:N$31,2,FALSE)</f>
        <v>#N/A</v>
      </c>
      <c r="X746" s="77" t="e">
        <f>VLOOKUP(I746,'Component List'!O$2:P$30,2,FALSE)</f>
        <v>#N/A</v>
      </c>
      <c r="Y746" s="77" t="e">
        <f>VLOOKUP(J746,'Component List'!Q$2:R$30,2,FALSE)</f>
        <v>#N/A</v>
      </c>
      <c r="Z746" s="77" t="e">
        <f>VLOOKUP(K746,'Component List'!S$2:T$30,2,FALSE)</f>
        <v>#N/A</v>
      </c>
      <c r="AA746" s="77" t="e">
        <f>VLOOKUP(L746,'Component List'!U$2:V$30,2,FALSE)</f>
        <v>#N/A</v>
      </c>
      <c r="AB746" s="77" t="e">
        <f>VLOOKUP(M746,'Component List'!AA$2:AB$30,2,FALSE)</f>
        <v>#N/A</v>
      </c>
      <c r="AC746" s="77" t="e">
        <f>VLOOKUP(N746,'Component List'!Y$2:Z$30,2,FALSE)</f>
        <v>#N/A</v>
      </c>
      <c r="AD746" s="159" t="e">
        <f>VLOOKUP(O746,'Component List'!W$3:X$30,2,FALSE)</f>
        <v>#N/A</v>
      </c>
    </row>
    <row r="747" spans="1:30" ht="30" customHeight="1" x14ac:dyDescent="0.3">
      <c r="A747" s="231"/>
      <c r="B747" s="173"/>
      <c r="C747" s="78"/>
      <c r="D747" s="78"/>
      <c r="E747" s="79"/>
      <c r="F747" s="78"/>
      <c r="G747" s="78"/>
      <c r="H747" s="78"/>
      <c r="I747" s="78"/>
      <c r="J747" s="78"/>
      <c r="K747" s="110"/>
      <c r="L747" s="110"/>
      <c r="M747" s="78"/>
      <c r="N747" s="78"/>
      <c r="O747" s="117"/>
      <c r="P747" s="114" t="e">
        <f t="shared" si="10"/>
        <v>#N/A</v>
      </c>
      <c r="Q747" s="77" t="e">
        <f>VLOOKUP($B747,'Component List'!$A$2:$B$30,2,FALSE)</f>
        <v>#N/A</v>
      </c>
      <c r="R747" s="77" t="e">
        <f>VLOOKUP($C747,'Component List'!C$2:D$28,2,FALSE)</f>
        <v>#N/A</v>
      </c>
      <c r="S747" s="77" t="e">
        <f>VLOOKUP($D747,'Component List'!E$2:F$30,2,FALSE)</f>
        <v>#N/A</v>
      </c>
      <c r="T747" s="77" t="e">
        <f>VLOOKUP($E747,'Component List'!G$2:H$30,2,FALSE)</f>
        <v>#N/A</v>
      </c>
      <c r="U747" s="77" t="e">
        <f>VLOOKUP($F747,'Component List'!I$2:J$30,2,FALSE)</f>
        <v>#N/A</v>
      </c>
      <c r="V747" s="77" t="e">
        <f>VLOOKUP(G747,'Component List'!K$2:L$30,2,FALSE)</f>
        <v>#N/A</v>
      </c>
      <c r="W747" s="77" t="e">
        <f>VLOOKUP(H747,'Component List'!M$2:N$31,2,FALSE)</f>
        <v>#N/A</v>
      </c>
      <c r="X747" s="77" t="e">
        <f>VLOOKUP(I747,'Component List'!O$2:P$30,2,FALSE)</f>
        <v>#N/A</v>
      </c>
      <c r="Y747" s="77" t="e">
        <f>VLOOKUP(J747,'Component List'!Q$2:R$30,2,FALSE)</f>
        <v>#N/A</v>
      </c>
      <c r="Z747" s="77" t="e">
        <f>VLOOKUP(K747,'Component List'!S$2:T$30,2,FALSE)</f>
        <v>#N/A</v>
      </c>
      <c r="AA747" s="77" t="e">
        <f>VLOOKUP(L747,'Component List'!U$2:V$30,2,FALSE)</f>
        <v>#N/A</v>
      </c>
      <c r="AB747" s="77" t="e">
        <f>VLOOKUP(M747,'Component List'!AA$2:AB$30,2,FALSE)</f>
        <v>#N/A</v>
      </c>
      <c r="AC747" s="77" t="e">
        <f>VLOOKUP(N747,'Component List'!Y$2:Z$30,2,FALSE)</f>
        <v>#N/A</v>
      </c>
      <c r="AD747" s="159" t="e">
        <f>VLOOKUP(O747,'Component List'!W$3:X$30,2,FALSE)</f>
        <v>#N/A</v>
      </c>
    </row>
    <row r="748" spans="1:30" ht="30" customHeight="1" x14ac:dyDescent="0.3">
      <c r="A748" s="231"/>
      <c r="B748" s="173"/>
      <c r="C748" s="78"/>
      <c r="D748" s="78"/>
      <c r="E748" s="79"/>
      <c r="F748" s="78"/>
      <c r="G748" s="78"/>
      <c r="H748" s="78"/>
      <c r="I748" s="78"/>
      <c r="J748" s="78"/>
      <c r="K748" s="110"/>
      <c r="L748" s="110"/>
      <c r="M748" s="78"/>
      <c r="N748" s="78"/>
      <c r="O748" s="117"/>
      <c r="P748" s="114" t="e">
        <f t="shared" si="10"/>
        <v>#N/A</v>
      </c>
      <c r="Q748" s="77" t="e">
        <f>VLOOKUP($B748,'Component List'!$A$2:$B$30,2,FALSE)</f>
        <v>#N/A</v>
      </c>
      <c r="R748" s="77" t="e">
        <f>VLOOKUP($C748,'Component List'!C$2:D$28,2,FALSE)</f>
        <v>#N/A</v>
      </c>
      <c r="S748" s="77" t="e">
        <f>VLOOKUP($D748,'Component List'!E$2:F$30,2,FALSE)</f>
        <v>#N/A</v>
      </c>
      <c r="T748" s="77" t="e">
        <f>VLOOKUP($E748,'Component List'!G$2:H$30,2,FALSE)</f>
        <v>#N/A</v>
      </c>
      <c r="U748" s="77" t="e">
        <f>VLOOKUP($F748,'Component List'!I$2:J$30,2,FALSE)</f>
        <v>#N/A</v>
      </c>
      <c r="V748" s="77" t="e">
        <f>VLOOKUP(G748,'Component List'!K$2:L$30,2,FALSE)</f>
        <v>#N/A</v>
      </c>
      <c r="W748" s="77" t="e">
        <f>VLOOKUP(H748,'Component List'!M$2:N$31,2,FALSE)</f>
        <v>#N/A</v>
      </c>
      <c r="X748" s="77" t="e">
        <f>VLOOKUP(I748,'Component List'!O$2:P$30,2,FALSE)</f>
        <v>#N/A</v>
      </c>
      <c r="Y748" s="77" t="e">
        <f>VLOOKUP(J748,'Component List'!Q$2:R$30,2,FALSE)</f>
        <v>#N/A</v>
      </c>
      <c r="Z748" s="77" t="e">
        <f>VLOOKUP(K748,'Component List'!S$2:T$30,2,FALSE)</f>
        <v>#N/A</v>
      </c>
      <c r="AA748" s="77" t="e">
        <f>VLOOKUP(L748,'Component List'!U$2:V$30,2,FALSE)</f>
        <v>#N/A</v>
      </c>
      <c r="AB748" s="77" t="e">
        <f>VLOOKUP(M748,'Component List'!AA$2:AB$30,2,FALSE)</f>
        <v>#N/A</v>
      </c>
      <c r="AC748" s="77" t="e">
        <f>VLOOKUP(N748,'Component List'!Y$2:Z$30,2,FALSE)</f>
        <v>#N/A</v>
      </c>
      <c r="AD748" s="159" t="e">
        <f>VLOOKUP(O748,'Component List'!W$3:X$30,2,FALSE)</f>
        <v>#N/A</v>
      </c>
    </row>
    <row r="749" spans="1:30" ht="30" customHeight="1" x14ac:dyDescent="0.3">
      <c r="A749" s="231"/>
      <c r="B749" s="173"/>
      <c r="C749" s="78"/>
      <c r="D749" s="78"/>
      <c r="E749" s="79"/>
      <c r="F749" s="78"/>
      <c r="G749" s="78"/>
      <c r="H749" s="78"/>
      <c r="I749" s="78"/>
      <c r="J749" s="78"/>
      <c r="K749" s="110"/>
      <c r="L749" s="110"/>
      <c r="M749" s="78"/>
      <c r="N749" s="78"/>
      <c r="O749" s="117"/>
      <c r="P749" s="114" t="e">
        <f t="shared" si="10"/>
        <v>#N/A</v>
      </c>
      <c r="Q749" s="77" t="e">
        <f>VLOOKUP($B749,'Component List'!$A$2:$B$30,2,FALSE)</f>
        <v>#N/A</v>
      </c>
      <c r="R749" s="77" t="e">
        <f>VLOOKUP($C749,'Component List'!C$2:D$28,2,FALSE)</f>
        <v>#N/A</v>
      </c>
      <c r="S749" s="77" t="e">
        <f>VLOOKUP($D749,'Component List'!E$2:F$30,2,FALSE)</f>
        <v>#N/A</v>
      </c>
      <c r="T749" s="77" t="e">
        <f>VLOOKUP($E749,'Component List'!G$2:H$30,2,FALSE)</f>
        <v>#N/A</v>
      </c>
      <c r="U749" s="77" t="e">
        <f>VLOOKUP($F749,'Component List'!I$2:J$30,2,FALSE)</f>
        <v>#N/A</v>
      </c>
      <c r="V749" s="77" t="e">
        <f>VLOOKUP(G749,'Component List'!K$2:L$30,2,FALSE)</f>
        <v>#N/A</v>
      </c>
      <c r="W749" s="77" t="e">
        <f>VLOOKUP(H749,'Component List'!M$2:N$31,2,FALSE)</f>
        <v>#N/A</v>
      </c>
      <c r="X749" s="77" t="e">
        <f>VLOOKUP(I749,'Component List'!O$2:P$30,2,FALSE)</f>
        <v>#N/A</v>
      </c>
      <c r="Y749" s="77" t="e">
        <f>VLOOKUP(J749,'Component List'!Q$2:R$30,2,FALSE)</f>
        <v>#N/A</v>
      </c>
      <c r="Z749" s="77" t="e">
        <f>VLOOKUP(K749,'Component List'!S$2:T$30,2,FALSE)</f>
        <v>#N/A</v>
      </c>
      <c r="AA749" s="77" t="e">
        <f>VLOOKUP(L749,'Component List'!U$2:V$30,2,FALSE)</f>
        <v>#N/A</v>
      </c>
      <c r="AB749" s="77" t="e">
        <f>VLOOKUP(M749,'Component List'!AA$2:AB$30,2,FALSE)</f>
        <v>#N/A</v>
      </c>
      <c r="AC749" s="77" t="e">
        <f>VLOOKUP(N749,'Component List'!Y$2:Z$30,2,FALSE)</f>
        <v>#N/A</v>
      </c>
      <c r="AD749" s="159" t="e">
        <f>VLOOKUP(O749,'Component List'!W$3:X$30,2,FALSE)</f>
        <v>#N/A</v>
      </c>
    </row>
    <row r="750" spans="1:30" ht="30" customHeight="1" x14ac:dyDescent="0.3">
      <c r="A750" s="231"/>
      <c r="B750" s="173"/>
      <c r="C750" s="78"/>
      <c r="D750" s="78"/>
      <c r="E750" s="79"/>
      <c r="F750" s="78"/>
      <c r="G750" s="78"/>
      <c r="H750" s="78"/>
      <c r="I750" s="78"/>
      <c r="J750" s="78"/>
      <c r="K750" s="110"/>
      <c r="L750" s="110"/>
      <c r="M750" s="78"/>
      <c r="N750" s="78"/>
      <c r="O750" s="117"/>
      <c r="P750" s="114" t="e">
        <f t="shared" si="10"/>
        <v>#N/A</v>
      </c>
      <c r="Q750" s="77" t="e">
        <f>VLOOKUP($B750,'Component List'!$A$2:$B$30,2,FALSE)</f>
        <v>#N/A</v>
      </c>
      <c r="R750" s="77" t="e">
        <f>VLOOKUP($C750,'Component List'!C$2:D$28,2,FALSE)</f>
        <v>#N/A</v>
      </c>
      <c r="S750" s="77" t="e">
        <f>VLOOKUP($D750,'Component List'!E$2:F$30,2,FALSE)</f>
        <v>#N/A</v>
      </c>
      <c r="T750" s="77" t="e">
        <f>VLOOKUP($E750,'Component List'!G$2:H$30,2,FALSE)</f>
        <v>#N/A</v>
      </c>
      <c r="U750" s="77" t="e">
        <f>VLOOKUP($F750,'Component List'!I$2:J$30,2,FALSE)</f>
        <v>#N/A</v>
      </c>
      <c r="V750" s="77" t="e">
        <f>VLOOKUP(G750,'Component List'!K$2:L$30,2,FALSE)</f>
        <v>#N/A</v>
      </c>
      <c r="W750" s="77" t="e">
        <f>VLOOKUP(H750,'Component List'!M$2:N$31,2,FALSE)</f>
        <v>#N/A</v>
      </c>
      <c r="X750" s="77" t="e">
        <f>VLOOKUP(I750,'Component List'!O$2:P$30,2,FALSE)</f>
        <v>#N/A</v>
      </c>
      <c r="Y750" s="77" t="e">
        <f>VLOOKUP(J750,'Component List'!Q$2:R$30,2,FALSE)</f>
        <v>#N/A</v>
      </c>
      <c r="Z750" s="77" t="e">
        <f>VLOOKUP(K750,'Component List'!S$2:T$30,2,FALSE)</f>
        <v>#N/A</v>
      </c>
      <c r="AA750" s="77" t="e">
        <f>VLOOKUP(L750,'Component List'!U$2:V$30,2,FALSE)</f>
        <v>#N/A</v>
      </c>
      <c r="AB750" s="77" t="e">
        <f>VLOOKUP(M750,'Component List'!AA$2:AB$30,2,FALSE)</f>
        <v>#N/A</v>
      </c>
      <c r="AC750" s="77" t="e">
        <f>VLOOKUP(N750,'Component List'!Y$2:Z$30,2,FALSE)</f>
        <v>#N/A</v>
      </c>
      <c r="AD750" s="159" t="e">
        <f>VLOOKUP(O750,'Component List'!W$3:X$30,2,FALSE)</f>
        <v>#N/A</v>
      </c>
    </row>
    <row r="751" spans="1:30" ht="30" customHeight="1" x14ac:dyDescent="0.3">
      <c r="A751" s="231"/>
      <c r="B751" s="173"/>
      <c r="C751" s="78"/>
      <c r="D751" s="78"/>
      <c r="E751" s="79"/>
      <c r="F751" s="78"/>
      <c r="G751" s="78"/>
      <c r="H751" s="78"/>
      <c r="I751" s="78"/>
      <c r="J751" s="78"/>
      <c r="K751" s="110"/>
      <c r="L751" s="110"/>
      <c r="M751" s="78"/>
      <c r="N751" s="78"/>
      <c r="O751" s="117"/>
      <c r="P751" s="114" t="e">
        <f t="shared" si="10"/>
        <v>#N/A</v>
      </c>
      <c r="Q751" s="77" t="e">
        <f>VLOOKUP($B751,'Component List'!$A$2:$B$30,2,FALSE)</f>
        <v>#N/A</v>
      </c>
      <c r="R751" s="77" t="e">
        <f>VLOOKUP($C751,'Component List'!C$2:D$28,2,FALSE)</f>
        <v>#N/A</v>
      </c>
      <c r="S751" s="77" t="e">
        <f>VLOOKUP($D751,'Component List'!E$2:F$30,2,FALSE)</f>
        <v>#N/A</v>
      </c>
      <c r="T751" s="77" t="e">
        <f>VLOOKUP($E751,'Component List'!G$2:H$30,2,FALSE)</f>
        <v>#N/A</v>
      </c>
      <c r="U751" s="77" t="e">
        <f>VLOOKUP($F751,'Component List'!I$2:J$30,2,FALSE)</f>
        <v>#N/A</v>
      </c>
      <c r="V751" s="77" t="e">
        <f>VLOOKUP(G751,'Component List'!K$2:L$30,2,FALSE)</f>
        <v>#N/A</v>
      </c>
      <c r="W751" s="77" t="e">
        <f>VLOOKUP(H751,'Component List'!M$2:N$31,2,FALSE)</f>
        <v>#N/A</v>
      </c>
      <c r="X751" s="77" t="e">
        <f>VLOOKUP(I751,'Component List'!O$2:P$30,2,FALSE)</f>
        <v>#N/A</v>
      </c>
      <c r="Y751" s="77" t="e">
        <f>VLOOKUP(J751,'Component List'!Q$2:R$30,2,FALSE)</f>
        <v>#N/A</v>
      </c>
      <c r="Z751" s="77" t="e">
        <f>VLOOKUP(K751,'Component List'!S$2:T$30,2,FALSE)</f>
        <v>#N/A</v>
      </c>
      <c r="AA751" s="77" t="e">
        <f>VLOOKUP(L751,'Component List'!U$2:V$30,2,FALSE)</f>
        <v>#N/A</v>
      </c>
      <c r="AB751" s="77" t="e">
        <f>VLOOKUP(M751,'Component List'!AA$2:AB$30,2,FALSE)</f>
        <v>#N/A</v>
      </c>
      <c r="AC751" s="77" t="e">
        <f>VLOOKUP(N751,'Component List'!Y$2:Z$30,2,FALSE)</f>
        <v>#N/A</v>
      </c>
      <c r="AD751" s="159" t="e">
        <f>VLOOKUP(O751,'Component List'!W$3:X$30,2,FALSE)</f>
        <v>#N/A</v>
      </c>
    </row>
    <row r="752" spans="1:30" ht="30" customHeight="1" x14ac:dyDescent="0.3">
      <c r="A752" s="231"/>
      <c r="B752" s="173"/>
      <c r="C752" s="78"/>
      <c r="D752" s="78"/>
      <c r="E752" s="79"/>
      <c r="F752" s="78"/>
      <c r="G752" s="78"/>
      <c r="H752" s="78"/>
      <c r="I752" s="78"/>
      <c r="J752" s="78"/>
      <c r="K752" s="110"/>
      <c r="L752" s="110"/>
      <c r="M752" s="78"/>
      <c r="N752" s="78"/>
      <c r="O752" s="117"/>
      <c r="P752" s="114" t="e">
        <f t="shared" si="10"/>
        <v>#N/A</v>
      </c>
      <c r="Q752" s="77" t="e">
        <f>VLOOKUP($B752,'Component List'!$A$2:$B$30,2,FALSE)</f>
        <v>#N/A</v>
      </c>
      <c r="R752" s="77" t="e">
        <f>VLOOKUP($C752,'Component List'!C$2:D$28,2,FALSE)</f>
        <v>#N/A</v>
      </c>
      <c r="S752" s="77" t="e">
        <f>VLOOKUP($D752,'Component List'!E$2:F$30,2,FALSE)</f>
        <v>#N/A</v>
      </c>
      <c r="T752" s="77" t="e">
        <f>VLOOKUP($E752,'Component List'!G$2:H$30,2,FALSE)</f>
        <v>#N/A</v>
      </c>
      <c r="U752" s="77" t="e">
        <f>VLOOKUP($F752,'Component List'!I$2:J$30,2,FALSE)</f>
        <v>#N/A</v>
      </c>
      <c r="V752" s="77" t="e">
        <f>VLOOKUP(G752,'Component List'!K$2:L$30,2,FALSE)</f>
        <v>#N/A</v>
      </c>
      <c r="W752" s="77" t="e">
        <f>VLOOKUP(H752,'Component List'!M$2:N$31,2,FALSE)</f>
        <v>#N/A</v>
      </c>
      <c r="X752" s="77" t="e">
        <f>VLOOKUP(I752,'Component List'!O$2:P$30,2,FALSE)</f>
        <v>#N/A</v>
      </c>
      <c r="Y752" s="77" t="e">
        <f>VLOOKUP(J752,'Component List'!Q$2:R$30,2,FALSE)</f>
        <v>#N/A</v>
      </c>
      <c r="Z752" s="77" t="e">
        <f>VLOOKUP(K752,'Component List'!S$2:T$30,2,FALSE)</f>
        <v>#N/A</v>
      </c>
      <c r="AA752" s="77" t="e">
        <f>VLOOKUP(L752,'Component List'!U$2:V$30,2,FALSE)</f>
        <v>#N/A</v>
      </c>
      <c r="AB752" s="77" t="e">
        <f>VLOOKUP(M752,'Component List'!AA$2:AB$30,2,FALSE)</f>
        <v>#N/A</v>
      </c>
      <c r="AC752" s="77" t="e">
        <f>VLOOKUP(N752,'Component List'!Y$2:Z$30,2,FALSE)</f>
        <v>#N/A</v>
      </c>
      <c r="AD752" s="159" t="e">
        <f>VLOOKUP(O752,'Component List'!W$3:X$30,2,FALSE)</f>
        <v>#N/A</v>
      </c>
    </row>
    <row r="753" spans="1:30" ht="30" customHeight="1" x14ac:dyDescent="0.3">
      <c r="A753" s="231"/>
      <c r="B753" s="173"/>
      <c r="C753" s="78"/>
      <c r="D753" s="78"/>
      <c r="E753" s="79"/>
      <c r="F753" s="78"/>
      <c r="G753" s="78"/>
      <c r="H753" s="78"/>
      <c r="I753" s="78"/>
      <c r="J753" s="78"/>
      <c r="K753" s="110"/>
      <c r="L753" s="110"/>
      <c r="M753" s="78"/>
      <c r="N753" s="78"/>
      <c r="O753" s="117"/>
      <c r="P753" s="114" t="e">
        <f t="shared" si="10"/>
        <v>#N/A</v>
      </c>
      <c r="Q753" s="77" t="e">
        <f>VLOOKUP($B753,'Component List'!$A$2:$B$30,2,FALSE)</f>
        <v>#N/A</v>
      </c>
      <c r="R753" s="77" t="e">
        <f>VLOOKUP($C753,'Component List'!C$2:D$28,2,FALSE)</f>
        <v>#N/A</v>
      </c>
      <c r="S753" s="77" t="e">
        <f>VLOOKUP($D753,'Component List'!E$2:F$30,2,FALSE)</f>
        <v>#N/A</v>
      </c>
      <c r="T753" s="77" t="e">
        <f>VLOOKUP($E753,'Component List'!G$2:H$30,2,FALSE)</f>
        <v>#N/A</v>
      </c>
      <c r="U753" s="77" t="e">
        <f>VLOOKUP($F753,'Component List'!I$2:J$30,2,FALSE)</f>
        <v>#N/A</v>
      </c>
      <c r="V753" s="77" t="e">
        <f>VLOOKUP(G753,'Component List'!K$2:L$30,2,FALSE)</f>
        <v>#N/A</v>
      </c>
      <c r="W753" s="77" t="e">
        <f>VLOOKUP(H753,'Component List'!M$2:N$31,2,FALSE)</f>
        <v>#N/A</v>
      </c>
      <c r="X753" s="77" t="e">
        <f>VLOOKUP(I753,'Component List'!O$2:P$30,2,FALSE)</f>
        <v>#N/A</v>
      </c>
      <c r="Y753" s="77" t="e">
        <f>VLOOKUP(J753,'Component List'!Q$2:R$30,2,FALSE)</f>
        <v>#N/A</v>
      </c>
      <c r="Z753" s="77" t="e">
        <f>VLOOKUP(K753,'Component List'!S$2:T$30,2,FALSE)</f>
        <v>#N/A</v>
      </c>
      <c r="AA753" s="77" t="e">
        <f>VLOOKUP(L753,'Component List'!U$2:V$30,2,FALSE)</f>
        <v>#N/A</v>
      </c>
      <c r="AB753" s="77" t="e">
        <f>VLOOKUP(M753,'Component List'!AA$2:AB$30,2,FALSE)</f>
        <v>#N/A</v>
      </c>
      <c r="AC753" s="77" t="e">
        <f>VLOOKUP(N753,'Component List'!Y$2:Z$30,2,FALSE)</f>
        <v>#N/A</v>
      </c>
      <c r="AD753" s="159" t="e">
        <f>VLOOKUP(O753,'Component List'!W$3:X$30,2,FALSE)</f>
        <v>#N/A</v>
      </c>
    </row>
    <row r="754" spans="1:30" ht="30" customHeight="1" x14ac:dyDescent="0.3">
      <c r="A754" s="231"/>
      <c r="B754" s="173"/>
      <c r="C754" s="78"/>
      <c r="D754" s="78"/>
      <c r="E754" s="79"/>
      <c r="F754" s="78"/>
      <c r="G754" s="78"/>
      <c r="H754" s="78"/>
      <c r="I754" s="78"/>
      <c r="J754" s="78"/>
      <c r="K754" s="110"/>
      <c r="L754" s="110"/>
      <c r="M754" s="78"/>
      <c r="N754" s="78"/>
      <c r="O754" s="117"/>
      <c r="P754" s="114" t="e">
        <f t="shared" si="10"/>
        <v>#N/A</v>
      </c>
      <c r="Q754" s="77" t="e">
        <f>VLOOKUP($B754,'Component List'!$A$2:$B$30,2,FALSE)</f>
        <v>#N/A</v>
      </c>
      <c r="R754" s="77" t="e">
        <f>VLOOKUP($C754,'Component List'!C$2:D$28,2,FALSE)</f>
        <v>#N/A</v>
      </c>
      <c r="S754" s="77" t="e">
        <f>VLOOKUP($D754,'Component List'!E$2:F$30,2,FALSE)</f>
        <v>#N/A</v>
      </c>
      <c r="T754" s="77" t="e">
        <f>VLOOKUP($E754,'Component List'!G$2:H$30,2,FALSE)</f>
        <v>#N/A</v>
      </c>
      <c r="U754" s="77" t="e">
        <f>VLOOKUP($F754,'Component List'!I$2:J$30,2,FALSE)</f>
        <v>#N/A</v>
      </c>
      <c r="V754" s="77" t="e">
        <f>VLOOKUP(G754,'Component List'!K$2:L$30,2,FALSE)</f>
        <v>#N/A</v>
      </c>
      <c r="W754" s="77" t="e">
        <f>VLOOKUP(H754,'Component List'!M$2:N$31,2,FALSE)</f>
        <v>#N/A</v>
      </c>
      <c r="X754" s="77" t="e">
        <f>VLOOKUP(I754,'Component List'!O$2:P$30,2,FALSE)</f>
        <v>#N/A</v>
      </c>
      <c r="Y754" s="77" t="e">
        <f>VLOOKUP(J754,'Component List'!Q$2:R$30,2,FALSE)</f>
        <v>#N/A</v>
      </c>
      <c r="Z754" s="77" t="e">
        <f>VLOOKUP(K754,'Component List'!S$2:T$30,2,FALSE)</f>
        <v>#N/A</v>
      </c>
      <c r="AA754" s="77" t="e">
        <f>VLOOKUP(L754,'Component List'!U$2:V$30,2,FALSE)</f>
        <v>#N/A</v>
      </c>
      <c r="AB754" s="77" t="e">
        <f>VLOOKUP(M754,'Component List'!AA$2:AB$30,2,FALSE)</f>
        <v>#N/A</v>
      </c>
      <c r="AC754" s="77" t="e">
        <f>VLOOKUP(N754,'Component List'!Y$2:Z$30,2,FALSE)</f>
        <v>#N/A</v>
      </c>
      <c r="AD754" s="159" t="e">
        <f>VLOOKUP(O754,'Component List'!W$3:X$30,2,FALSE)</f>
        <v>#N/A</v>
      </c>
    </row>
    <row r="755" spans="1:30" ht="30" customHeight="1" x14ac:dyDescent="0.3">
      <c r="A755" s="231"/>
      <c r="B755" s="173"/>
      <c r="C755" s="78"/>
      <c r="D755" s="78"/>
      <c r="E755" s="79"/>
      <c r="F755" s="78"/>
      <c r="G755" s="78"/>
      <c r="H755" s="78"/>
      <c r="I755" s="78"/>
      <c r="J755" s="78"/>
      <c r="K755" s="110"/>
      <c r="L755" s="110"/>
      <c r="M755" s="78"/>
      <c r="N755" s="78"/>
      <c r="O755" s="117"/>
      <c r="P755" s="114" t="e">
        <f t="shared" si="10"/>
        <v>#N/A</v>
      </c>
      <c r="Q755" s="77" t="e">
        <f>VLOOKUP($B755,'Component List'!$A$2:$B$30,2,FALSE)</f>
        <v>#N/A</v>
      </c>
      <c r="R755" s="77" t="e">
        <f>VLOOKUP($C755,'Component List'!C$2:D$28,2,FALSE)</f>
        <v>#N/A</v>
      </c>
      <c r="S755" s="77" t="e">
        <f>VLOOKUP($D755,'Component List'!E$2:F$30,2,FALSE)</f>
        <v>#N/A</v>
      </c>
      <c r="T755" s="77" t="e">
        <f>VLOOKUP($E755,'Component List'!G$2:H$30,2,FALSE)</f>
        <v>#N/A</v>
      </c>
      <c r="U755" s="77" t="e">
        <f>VLOOKUP($F755,'Component List'!I$2:J$30,2,FALSE)</f>
        <v>#N/A</v>
      </c>
      <c r="V755" s="77" t="e">
        <f>VLOOKUP(G755,'Component List'!K$2:L$30,2,FALSE)</f>
        <v>#N/A</v>
      </c>
      <c r="W755" s="77" t="e">
        <f>VLOOKUP(H755,'Component List'!M$2:N$31,2,FALSE)</f>
        <v>#N/A</v>
      </c>
      <c r="X755" s="77" t="e">
        <f>VLOOKUP(I755,'Component List'!O$2:P$30,2,FALSE)</f>
        <v>#N/A</v>
      </c>
      <c r="Y755" s="77" t="e">
        <f>VLOOKUP(J755,'Component List'!Q$2:R$30,2,FALSE)</f>
        <v>#N/A</v>
      </c>
      <c r="Z755" s="77" t="e">
        <f>VLOOKUP(K755,'Component List'!S$2:T$30,2,FALSE)</f>
        <v>#N/A</v>
      </c>
      <c r="AA755" s="77" t="e">
        <f>VLOOKUP(L755,'Component List'!U$2:V$30,2,FALSE)</f>
        <v>#N/A</v>
      </c>
      <c r="AB755" s="77" t="e">
        <f>VLOOKUP(M755,'Component List'!AA$2:AB$30,2,FALSE)</f>
        <v>#N/A</v>
      </c>
      <c r="AC755" s="77" t="e">
        <f>VLOOKUP(N755,'Component List'!Y$2:Z$30,2,FALSE)</f>
        <v>#N/A</v>
      </c>
      <c r="AD755" s="159" t="e">
        <f>VLOOKUP(O755,'Component List'!W$3:X$30,2,FALSE)</f>
        <v>#N/A</v>
      </c>
    </row>
    <row r="756" spans="1:30" ht="30" customHeight="1" x14ac:dyDescent="0.3">
      <c r="A756" s="231"/>
      <c r="B756" s="173"/>
      <c r="C756" s="78"/>
      <c r="D756" s="78"/>
      <c r="E756" s="79"/>
      <c r="F756" s="78"/>
      <c r="G756" s="78"/>
      <c r="H756" s="78"/>
      <c r="I756" s="78"/>
      <c r="J756" s="78"/>
      <c r="K756" s="110"/>
      <c r="L756" s="110"/>
      <c r="M756" s="78"/>
      <c r="N756" s="78"/>
      <c r="O756" s="117"/>
      <c r="P756" s="114" t="e">
        <f t="shared" si="10"/>
        <v>#N/A</v>
      </c>
      <c r="Q756" s="77" t="e">
        <f>VLOOKUP($B756,'Component List'!$A$2:$B$30,2,FALSE)</f>
        <v>#N/A</v>
      </c>
      <c r="R756" s="77" t="e">
        <f>VLOOKUP($C756,'Component List'!C$2:D$28,2,FALSE)</f>
        <v>#N/A</v>
      </c>
      <c r="S756" s="77" t="e">
        <f>VLOOKUP($D756,'Component List'!E$2:F$30,2,FALSE)</f>
        <v>#N/A</v>
      </c>
      <c r="T756" s="77" t="e">
        <f>VLOOKUP($E756,'Component List'!G$2:H$30,2,FALSE)</f>
        <v>#N/A</v>
      </c>
      <c r="U756" s="77" t="e">
        <f>VLOOKUP($F756,'Component List'!I$2:J$30,2,FALSE)</f>
        <v>#N/A</v>
      </c>
      <c r="V756" s="77" t="e">
        <f>VLOOKUP(G756,'Component List'!K$2:L$30,2,FALSE)</f>
        <v>#N/A</v>
      </c>
      <c r="W756" s="77" t="e">
        <f>VLOOKUP(H756,'Component List'!M$2:N$31,2,FALSE)</f>
        <v>#N/A</v>
      </c>
      <c r="X756" s="77" t="e">
        <f>VLOOKUP(I756,'Component List'!O$2:P$30,2,FALSE)</f>
        <v>#N/A</v>
      </c>
      <c r="Y756" s="77" t="e">
        <f>VLOOKUP(J756,'Component List'!Q$2:R$30,2,FALSE)</f>
        <v>#N/A</v>
      </c>
      <c r="Z756" s="77" t="e">
        <f>VLOOKUP(K756,'Component List'!S$2:T$30,2,FALSE)</f>
        <v>#N/A</v>
      </c>
      <c r="AA756" s="77" t="e">
        <f>VLOOKUP(L756,'Component List'!U$2:V$30,2,FALSE)</f>
        <v>#N/A</v>
      </c>
      <c r="AB756" s="77" t="e">
        <f>VLOOKUP(M756,'Component List'!AA$2:AB$30,2,FALSE)</f>
        <v>#N/A</v>
      </c>
      <c r="AC756" s="77" t="e">
        <f>VLOOKUP(N756,'Component List'!Y$2:Z$30,2,FALSE)</f>
        <v>#N/A</v>
      </c>
      <c r="AD756" s="159" t="e">
        <f>VLOOKUP(O756,'Component List'!W$3:X$30,2,FALSE)</f>
        <v>#N/A</v>
      </c>
    </row>
    <row r="757" spans="1:30" ht="30" customHeight="1" x14ac:dyDescent="0.3">
      <c r="A757" s="231"/>
      <c r="B757" s="173"/>
      <c r="C757" s="78"/>
      <c r="D757" s="78"/>
      <c r="E757" s="79"/>
      <c r="F757" s="78"/>
      <c r="G757" s="78"/>
      <c r="H757" s="78"/>
      <c r="I757" s="78"/>
      <c r="J757" s="78"/>
      <c r="K757" s="110"/>
      <c r="L757" s="110"/>
      <c r="M757" s="78"/>
      <c r="N757" s="78"/>
      <c r="O757" s="117"/>
      <c r="P757" s="114" t="e">
        <f t="shared" si="10"/>
        <v>#N/A</v>
      </c>
      <c r="Q757" s="77" t="e">
        <f>VLOOKUP($B757,'Component List'!$A$2:$B$30,2,FALSE)</f>
        <v>#N/A</v>
      </c>
      <c r="R757" s="77" t="e">
        <f>VLOOKUP($C757,'Component List'!C$2:D$28,2,FALSE)</f>
        <v>#N/A</v>
      </c>
      <c r="S757" s="77" t="e">
        <f>VLOOKUP($D757,'Component List'!E$2:F$30,2,FALSE)</f>
        <v>#N/A</v>
      </c>
      <c r="T757" s="77" t="e">
        <f>VLOOKUP($E757,'Component List'!G$2:H$30,2,FALSE)</f>
        <v>#N/A</v>
      </c>
      <c r="U757" s="77" t="e">
        <f>VLOOKUP($F757,'Component List'!I$2:J$30,2,FALSE)</f>
        <v>#N/A</v>
      </c>
      <c r="V757" s="77" t="e">
        <f>VLOOKUP(G757,'Component List'!K$2:L$30,2,FALSE)</f>
        <v>#N/A</v>
      </c>
      <c r="W757" s="77" t="e">
        <f>VLOOKUP(H757,'Component List'!M$2:N$31,2,FALSE)</f>
        <v>#N/A</v>
      </c>
      <c r="X757" s="77" t="e">
        <f>VLOOKUP(I757,'Component List'!O$2:P$30,2,FALSE)</f>
        <v>#N/A</v>
      </c>
      <c r="Y757" s="77" t="e">
        <f>VLOOKUP(J757,'Component List'!Q$2:R$30,2,FALSE)</f>
        <v>#N/A</v>
      </c>
      <c r="Z757" s="77" t="e">
        <f>VLOOKUP(K757,'Component List'!S$2:T$30,2,FALSE)</f>
        <v>#N/A</v>
      </c>
      <c r="AA757" s="77" t="e">
        <f>VLOOKUP(L757,'Component List'!U$2:V$30,2,FALSE)</f>
        <v>#N/A</v>
      </c>
      <c r="AB757" s="77" t="e">
        <f>VLOOKUP(M757,'Component List'!AA$2:AB$30,2,FALSE)</f>
        <v>#N/A</v>
      </c>
      <c r="AC757" s="77" t="e">
        <f>VLOOKUP(N757,'Component List'!Y$2:Z$30,2,FALSE)</f>
        <v>#N/A</v>
      </c>
      <c r="AD757" s="159" t="e">
        <f>VLOOKUP(O757,'Component List'!W$3:X$30,2,FALSE)</f>
        <v>#N/A</v>
      </c>
    </row>
    <row r="758" spans="1:30" ht="30" customHeight="1" x14ac:dyDescent="0.3">
      <c r="A758" s="231"/>
      <c r="B758" s="173"/>
      <c r="C758" s="78"/>
      <c r="D758" s="78"/>
      <c r="E758" s="79"/>
      <c r="F758" s="78"/>
      <c r="G758" s="78"/>
      <c r="H758" s="78"/>
      <c r="I758" s="78"/>
      <c r="J758" s="78"/>
      <c r="K758" s="110"/>
      <c r="L758" s="110"/>
      <c r="M758" s="78"/>
      <c r="N758" s="78"/>
      <c r="O758" s="117"/>
      <c r="P758" s="114" t="e">
        <f t="shared" si="10"/>
        <v>#N/A</v>
      </c>
      <c r="Q758" s="77" t="e">
        <f>VLOOKUP($B758,'Component List'!$A$2:$B$30,2,FALSE)</f>
        <v>#N/A</v>
      </c>
      <c r="R758" s="77" t="e">
        <f>VLOOKUP($C758,'Component List'!C$2:D$28,2,FALSE)</f>
        <v>#N/A</v>
      </c>
      <c r="S758" s="77" t="e">
        <f>VLOOKUP($D758,'Component List'!E$2:F$30,2,FALSE)</f>
        <v>#N/A</v>
      </c>
      <c r="T758" s="77" t="e">
        <f>VLOOKUP($E758,'Component List'!G$2:H$30,2,FALSE)</f>
        <v>#N/A</v>
      </c>
      <c r="U758" s="77" t="e">
        <f>VLOOKUP($F758,'Component List'!I$2:J$30,2,FALSE)</f>
        <v>#N/A</v>
      </c>
      <c r="V758" s="77" t="e">
        <f>VLOOKUP(G758,'Component List'!K$2:L$30,2,FALSE)</f>
        <v>#N/A</v>
      </c>
      <c r="W758" s="77" t="e">
        <f>VLOOKUP(H758,'Component List'!M$2:N$31,2,FALSE)</f>
        <v>#N/A</v>
      </c>
      <c r="X758" s="77" t="e">
        <f>VLOOKUP(I758,'Component List'!O$2:P$30,2,FALSE)</f>
        <v>#N/A</v>
      </c>
      <c r="Y758" s="77" t="e">
        <f>VLOOKUP(J758,'Component List'!Q$2:R$30,2,FALSE)</f>
        <v>#N/A</v>
      </c>
      <c r="Z758" s="77" t="e">
        <f>VLOOKUP(K758,'Component List'!S$2:T$30,2,FALSE)</f>
        <v>#N/A</v>
      </c>
      <c r="AA758" s="77" t="e">
        <f>VLOOKUP(L758,'Component List'!U$2:V$30,2,FALSE)</f>
        <v>#N/A</v>
      </c>
      <c r="AB758" s="77" t="e">
        <f>VLOOKUP(M758,'Component List'!AA$2:AB$30,2,FALSE)</f>
        <v>#N/A</v>
      </c>
      <c r="AC758" s="77" t="e">
        <f>VLOOKUP(N758,'Component List'!Y$2:Z$30,2,FALSE)</f>
        <v>#N/A</v>
      </c>
      <c r="AD758" s="159" t="e">
        <f>VLOOKUP(O758,'Component List'!W$3:X$30,2,FALSE)</f>
        <v>#N/A</v>
      </c>
    </row>
    <row r="759" spans="1:30" ht="30" customHeight="1" x14ac:dyDescent="0.3">
      <c r="A759" s="231"/>
      <c r="B759" s="173"/>
      <c r="C759" s="78"/>
      <c r="D759" s="78"/>
      <c r="E759" s="79"/>
      <c r="F759" s="78"/>
      <c r="G759" s="78"/>
      <c r="H759" s="78"/>
      <c r="I759" s="78"/>
      <c r="J759" s="78"/>
      <c r="K759" s="110"/>
      <c r="L759" s="110"/>
      <c r="M759" s="78"/>
      <c r="N759" s="78"/>
      <c r="O759" s="117"/>
      <c r="P759" s="114" t="e">
        <f t="shared" si="10"/>
        <v>#N/A</v>
      </c>
      <c r="Q759" s="77" t="e">
        <f>VLOOKUP($B759,'Component List'!$A$2:$B$30,2,FALSE)</f>
        <v>#N/A</v>
      </c>
      <c r="R759" s="77" t="e">
        <f>VLOOKUP($C759,'Component List'!C$2:D$28,2,FALSE)</f>
        <v>#N/A</v>
      </c>
      <c r="S759" s="77" t="e">
        <f>VLOOKUP($D759,'Component List'!E$2:F$30,2,FALSE)</f>
        <v>#N/A</v>
      </c>
      <c r="T759" s="77" t="e">
        <f>VLOOKUP($E759,'Component List'!G$2:H$30,2,FALSE)</f>
        <v>#N/A</v>
      </c>
      <c r="U759" s="77" t="e">
        <f>VLOOKUP($F759,'Component List'!I$2:J$30,2,FALSE)</f>
        <v>#N/A</v>
      </c>
      <c r="V759" s="77" t="e">
        <f>VLOOKUP(G759,'Component List'!K$2:L$30,2,FALSE)</f>
        <v>#N/A</v>
      </c>
      <c r="W759" s="77" t="e">
        <f>VLOOKUP(H759,'Component List'!M$2:N$31,2,FALSE)</f>
        <v>#N/A</v>
      </c>
      <c r="X759" s="77" t="e">
        <f>VLOOKUP(I759,'Component List'!O$2:P$30,2,FALSE)</f>
        <v>#N/A</v>
      </c>
      <c r="Y759" s="77" t="e">
        <f>VLOOKUP(J759,'Component List'!Q$2:R$30,2,FALSE)</f>
        <v>#N/A</v>
      </c>
      <c r="Z759" s="77" t="e">
        <f>VLOOKUP(K759,'Component List'!S$2:T$30,2,FALSE)</f>
        <v>#N/A</v>
      </c>
      <c r="AA759" s="77" t="e">
        <f>VLOOKUP(L759,'Component List'!U$2:V$30,2,FALSE)</f>
        <v>#N/A</v>
      </c>
      <c r="AB759" s="77" t="e">
        <f>VLOOKUP(M759,'Component List'!AA$2:AB$30,2,FALSE)</f>
        <v>#N/A</v>
      </c>
      <c r="AC759" s="77" t="e">
        <f>VLOOKUP(N759,'Component List'!Y$2:Z$30,2,FALSE)</f>
        <v>#N/A</v>
      </c>
      <c r="AD759" s="159" t="e">
        <f>VLOOKUP(O759,'Component List'!W$3:X$30,2,FALSE)</f>
        <v>#N/A</v>
      </c>
    </row>
    <row r="760" spans="1:30" ht="30" customHeight="1" x14ac:dyDescent="0.3">
      <c r="A760" s="231"/>
      <c r="B760" s="173"/>
      <c r="C760" s="78"/>
      <c r="D760" s="78"/>
      <c r="E760" s="79"/>
      <c r="F760" s="78"/>
      <c r="G760" s="78"/>
      <c r="H760" s="78"/>
      <c r="I760" s="78"/>
      <c r="J760" s="78"/>
      <c r="K760" s="110"/>
      <c r="L760" s="110"/>
      <c r="M760" s="78"/>
      <c r="N760" s="78"/>
      <c r="O760" s="117"/>
      <c r="P760" s="114" t="e">
        <f t="shared" si="10"/>
        <v>#N/A</v>
      </c>
      <c r="Q760" s="77" t="e">
        <f>VLOOKUP($B760,'Component List'!$A$2:$B$30,2,FALSE)</f>
        <v>#N/A</v>
      </c>
      <c r="R760" s="77" t="e">
        <f>VLOOKUP($C760,'Component List'!C$2:D$28,2,FALSE)</f>
        <v>#N/A</v>
      </c>
      <c r="S760" s="77" t="e">
        <f>VLOOKUP($D760,'Component List'!E$2:F$30,2,FALSE)</f>
        <v>#N/A</v>
      </c>
      <c r="T760" s="77" t="e">
        <f>VLOOKUP($E760,'Component List'!G$2:H$30,2,FALSE)</f>
        <v>#N/A</v>
      </c>
      <c r="U760" s="77" t="e">
        <f>VLOOKUP($F760,'Component List'!I$2:J$30,2,FALSE)</f>
        <v>#N/A</v>
      </c>
      <c r="V760" s="77" t="e">
        <f>VLOOKUP(G760,'Component List'!K$2:L$30,2,FALSE)</f>
        <v>#N/A</v>
      </c>
      <c r="W760" s="77" t="e">
        <f>VLOOKUP(H760,'Component List'!M$2:N$31,2,FALSE)</f>
        <v>#N/A</v>
      </c>
      <c r="X760" s="77" t="e">
        <f>VLOOKUP(I760,'Component List'!O$2:P$30,2,FALSE)</f>
        <v>#N/A</v>
      </c>
      <c r="Y760" s="77" t="e">
        <f>VLOOKUP(J760,'Component List'!Q$2:R$30,2,FALSE)</f>
        <v>#N/A</v>
      </c>
      <c r="Z760" s="77" t="e">
        <f>VLOOKUP(K760,'Component List'!S$2:T$30,2,FALSE)</f>
        <v>#N/A</v>
      </c>
      <c r="AA760" s="77" t="e">
        <f>VLOOKUP(L760,'Component List'!U$2:V$30,2,FALSE)</f>
        <v>#N/A</v>
      </c>
      <c r="AB760" s="77" t="e">
        <f>VLOOKUP(M760,'Component List'!AA$2:AB$30,2,FALSE)</f>
        <v>#N/A</v>
      </c>
      <c r="AC760" s="77" t="e">
        <f>VLOOKUP(N760,'Component List'!Y$2:Z$30,2,FALSE)</f>
        <v>#N/A</v>
      </c>
      <c r="AD760" s="159" t="e">
        <f>VLOOKUP(O760,'Component List'!W$3:X$30,2,FALSE)</f>
        <v>#N/A</v>
      </c>
    </row>
    <row r="761" spans="1:30" ht="30" customHeight="1" x14ac:dyDescent="0.3">
      <c r="A761" s="231"/>
      <c r="B761" s="173"/>
      <c r="C761" s="78"/>
      <c r="D761" s="78"/>
      <c r="E761" s="79"/>
      <c r="F761" s="78"/>
      <c r="G761" s="78"/>
      <c r="H761" s="78"/>
      <c r="I761" s="78"/>
      <c r="J761" s="78"/>
      <c r="K761" s="110"/>
      <c r="L761" s="110"/>
      <c r="M761" s="78"/>
      <c r="N761" s="78"/>
      <c r="O761" s="117"/>
      <c r="P761" s="114" t="e">
        <f t="shared" si="10"/>
        <v>#N/A</v>
      </c>
      <c r="Q761" s="77" t="e">
        <f>VLOOKUP($B761,'Component List'!$A$2:$B$30,2,FALSE)</f>
        <v>#N/A</v>
      </c>
      <c r="R761" s="77" t="e">
        <f>VLOOKUP($C761,'Component List'!C$2:D$28,2,FALSE)</f>
        <v>#N/A</v>
      </c>
      <c r="S761" s="77" t="e">
        <f>VLOOKUP($D761,'Component List'!E$2:F$30,2,FALSE)</f>
        <v>#N/A</v>
      </c>
      <c r="T761" s="77" t="e">
        <f>VLOOKUP($E761,'Component List'!G$2:H$30,2,FALSE)</f>
        <v>#N/A</v>
      </c>
      <c r="U761" s="77" t="e">
        <f>VLOOKUP($F761,'Component List'!I$2:J$30,2,FALSE)</f>
        <v>#N/A</v>
      </c>
      <c r="V761" s="77" t="e">
        <f>VLOOKUP(G761,'Component List'!K$2:L$30,2,FALSE)</f>
        <v>#N/A</v>
      </c>
      <c r="W761" s="77" t="e">
        <f>VLOOKUP(H761,'Component List'!M$2:N$31,2,FALSE)</f>
        <v>#N/A</v>
      </c>
      <c r="X761" s="77" t="e">
        <f>VLOOKUP(I761,'Component List'!O$2:P$30,2,FALSE)</f>
        <v>#N/A</v>
      </c>
      <c r="Y761" s="77" t="e">
        <f>VLOOKUP(J761,'Component List'!Q$2:R$30,2,FALSE)</f>
        <v>#N/A</v>
      </c>
      <c r="Z761" s="77" t="e">
        <f>VLOOKUP(K761,'Component List'!S$2:T$30,2,FALSE)</f>
        <v>#N/A</v>
      </c>
      <c r="AA761" s="77" t="e">
        <f>VLOOKUP(L761,'Component List'!U$2:V$30,2,FALSE)</f>
        <v>#N/A</v>
      </c>
      <c r="AB761" s="77" t="e">
        <f>VLOOKUP(M761,'Component List'!AA$2:AB$30,2,FALSE)</f>
        <v>#N/A</v>
      </c>
      <c r="AC761" s="77" t="e">
        <f>VLOOKUP(N761,'Component List'!Y$2:Z$30,2,FALSE)</f>
        <v>#N/A</v>
      </c>
      <c r="AD761" s="159" t="e">
        <f>VLOOKUP(O761,'Component List'!W$3:X$30,2,FALSE)</f>
        <v>#N/A</v>
      </c>
    </row>
    <row r="762" spans="1:30" ht="30" customHeight="1" x14ac:dyDescent="0.3">
      <c r="A762" s="231"/>
      <c r="B762" s="173"/>
      <c r="C762" s="78"/>
      <c r="D762" s="78"/>
      <c r="E762" s="79"/>
      <c r="F762" s="78"/>
      <c r="G762" s="78"/>
      <c r="H762" s="78"/>
      <c r="I762" s="78"/>
      <c r="J762" s="78"/>
      <c r="K762" s="110"/>
      <c r="L762" s="110"/>
      <c r="M762" s="78"/>
      <c r="N762" s="78"/>
      <c r="O762" s="117"/>
      <c r="P762" s="114" t="e">
        <f t="shared" si="10"/>
        <v>#N/A</v>
      </c>
      <c r="Q762" s="77" t="e">
        <f>VLOOKUP($B762,'Component List'!$A$2:$B$30,2,FALSE)</f>
        <v>#N/A</v>
      </c>
      <c r="R762" s="77" t="e">
        <f>VLOOKUP($C762,'Component List'!C$2:D$28,2,FALSE)</f>
        <v>#N/A</v>
      </c>
      <c r="S762" s="77" t="e">
        <f>VLOOKUP($D762,'Component List'!E$2:F$30,2,FALSE)</f>
        <v>#N/A</v>
      </c>
      <c r="T762" s="77" t="e">
        <f>VLOOKUP($E762,'Component List'!G$2:H$30,2,FALSE)</f>
        <v>#N/A</v>
      </c>
      <c r="U762" s="77" t="e">
        <f>VLOOKUP($F762,'Component List'!I$2:J$30,2,FALSE)</f>
        <v>#N/A</v>
      </c>
      <c r="V762" s="77" t="e">
        <f>VLOOKUP(G762,'Component List'!K$2:L$30,2,FALSE)</f>
        <v>#N/A</v>
      </c>
      <c r="W762" s="77" t="e">
        <f>VLOOKUP(H762,'Component List'!M$2:N$31,2,FALSE)</f>
        <v>#N/A</v>
      </c>
      <c r="X762" s="77" t="e">
        <f>VLOOKUP(I762,'Component List'!O$2:P$30,2,FALSE)</f>
        <v>#N/A</v>
      </c>
      <c r="Y762" s="77" t="e">
        <f>VLOOKUP(J762,'Component List'!Q$2:R$30,2,FALSE)</f>
        <v>#N/A</v>
      </c>
      <c r="Z762" s="77" t="e">
        <f>VLOOKUP(K762,'Component List'!S$2:T$30,2,FALSE)</f>
        <v>#N/A</v>
      </c>
      <c r="AA762" s="77" t="e">
        <f>VLOOKUP(L762,'Component List'!U$2:V$30,2,FALSE)</f>
        <v>#N/A</v>
      </c>
      <c r="AB762" s="77" t="e">
        <f>VLOOKUP(M762,'Component List'!AA$2:AB$30,2,FALSE)</f>
        <v>#N/A</v>
      </c>
      <c r="AC762" s="77" t="e">
        <f>VLOOKUP(N762,'Component List'!Y$2:Z$30,2,FALSE)</f>
        <v>#N/A</v>
      </c>
      <c r="AD762" s="159" t="e">
        <f>VLOOKUP(O762,'Component List'!W$3:X$30,2,FALSE)</f>
        <v>#N/A</v>
      </c>
    </row>
    <row r="763" spans="1:30" ht="30" customHeight="1" x14ac:dyDescent="0.3">
      <c r="A763" s="231"/>
      <c r="B763" s="173"/>
      <c r="C763" s="78"/>
      <c r="D763" s="78"/>
      <c r="E763" s="79"/>
      <c r="F763" s="78"/>
      <c r="G763" s="78"/>
      <c r="H763" s="78"/>
      <c r="I763" s="78"/>
      <c r="J763" s="78"/>
      <c r="K763" s="110"/>
      <c r="L763" s="110"/>
      <c r="M763" s="78"/>
      <c r="N763" s="78"/>
      <c r="O763" s="117"/>
      <c r="P763" s="114" t="e">
        <f t="shared" si="10"/>
        <v>#N/A</v>
      </c>
      <c r="Q763" s="77" t="e">
        <f>VLOOKUP($B763,'Component List'!$A$2:$B$30,2,FALSE)</f>
        <v>#N/A</v>
      </c>
      <c r="R763" s="77" t="e">
        <f>VLOOKUP($C763,'Component List'!C$2:D$28,2,FALSE)</f>
        <v>#N/A</v>
      </c>
      <c r="S763" s="77" t="e">
        <f>VLOOKUP($D763,'Component List'!E$2:F$30,2,FALSE)</f>
        <v>#N/A</v>
      </c>
      <c r="T763" s="77" t="e">
        <f>VLOOKUP($E763,'Component List'!G$2:H$30,2,FALSE)</f>
        <v>#N/A</v>
      </c>
      <c r="U763" s="77" t="e">
        <f>VLOOKUP($F763,'Component List'!I$2:J$30,2,FALSE)</f>
        <v>#N/A</v>
      </c>
      <c r="V763" s="77" t="e">
        <f>VLOOKUP(G763,'Component List'!K$2:L$30,2,FALSE)</f>
        <v>#N/A</v>
      </c>
      <c r="W763" s="77" t="e">
        <f>VLOOKUP(H763,'Component List'!M$2:N$31,2,FALSE)</f>
        <v>#N/A</v>
      </c>
      <c r="X763" s="77" t="e">
        <f>VLOOKUP(I763,'Component List'!O$2:P$30,2,FALSE)</f>
        <v>#N/A</v>
      </c>
      <c r="Y763" s="77" t="e">
        <f>VLOOKUP(J763,'Component List'!Q$2:R$30,2,FALSE)</f>
        <v>#N/A</v>
      </c>
      <c r="Z763" s="77" t="e">
        <f>VLOOKUP(K763,'Component List'!S$2:T$30,2,FALSE)</f>
        <v>#N/A</v>
      </c>
      <c r="AA763" s="77" t="e">
        <f>VLOOKUP(L763,'Component List'!U$2:V$30,2,FALSE)</f>
        <v>#N/A</v>
      </c>
      <c r="AB763" s="77" t="e">
        <f>VLOOKUP(M763,'Component List'!AA$2:AB$30,2,FALSE)</f>
        <v>#N/A</v>
      </c>
      <c r="AC763" s="77" t="e">
        <f>VLOOKUP(N763,'Component List'!Y$2:Z$30,2,FALSE)</f>
        <v>#N/A</v>
      </c>
      <c r="AD763" s="159" t="e">
        <f>VLOOKUP(O763,'Component List'!W$3:X$30,2,FALSE)</f>
        <v>#N/A</v>
      </c>
    </row>
    <row r="764" spans="1:30" ht="30" customHeight="1" x14ac:dyDescent="0.3">
      <c r="A764" s="231"/>
      <c r="B764" s="173"/>
      <c r="C764" s="78"/>
      <c r="D764" s="78"/>
      <c r="E764" s="79"/>
      <c r="F764" s="78"/>
      <c r="G764" s="78"/>
      <c r="H764" s="78"/>
      <c r="I764" s="78"/>
      <c r="J764" s="78"/>
      <c r="K764" s="110"/>
      <c r="L764" s="110"/>
      <c r="M764" s="78"/>
      <c r="N764" s="78"/>
      <c r="O764" s="117"/>
      <c r="P764" s="114" t="e">
        <f t="shared" si="10"/>
        <v>#N/A</v>
      </c>
      <c r="Q764" s="77" t="e">
        <f>VLOOKUP($B764,'Component List'!$A$2:$B$30,2,FALSE)</f>
        <v>#N/A</v>
      </c>
      <c r="R764" s="77" t="e">
        <f>VLOOKUP($C764,'Component List'!C$2:D$28,2,FALSE)</f>
        <v>#N/A</v>
      </c>
      <c r="S764" s="77" t="e">
        <f>VLOOKUP($D764,'Component List'!E$2:F$30,2,FALSE)</f>
        <v>#N/A</v>
      </c>
      <c r="T764" s="77" t="e">
        <f>VLOOKUP($E764,'Component List'!G$2:H$30,2,FALSE)</f>
        <v>#N/A</v>
      </c>
      <c r="U764" s="77" t="e">
        <f>VLOOKUP($F764,'Component List'!I$2:J$30,2,FALSE)</f>
        <v>#N/A</v>
      </c>
      <c r="V764" s="77" t="e">
        <f>VLOOKUP(G764,'Component List'!K$2:L$30,2,FALSE)</f>
        <v>#N/A</v>
      </c>
      <c r="W764" s="77" t="e">
        <f>VLOOKUP(H764,'Component List'!M$2:N$31,2,FALSE)</f>
        <v>#N/A</v>
      </c>
      <c r="X764" s="77" t="e">
        <f>VLOOKUP(I764,'Component List'!O$2:P$30,2,FALSE)</f>
        <v>#N/A</v>
      </c>
      <c r="Y764" s="77" t="e">
        <f>VLOOKUP(J764,'Component List'!Q$2:R$30,2,FALSE)</f>
        <v>#N/A</v>
      </c>
      <c r="Z764" s="77" t="e">
        <f>VLOOKUP(K764,'Component List'!S$2:T$30,2,FALSE)</f>
        <v>#N/A</v>
      </c>
      <c r="AA764" s="77" t="e">
        <f>VLOOKUP(L764,'Component List'!U$2:V$30,2,FALSE)</f>
        <v>#N/A</v>
      </c>
      <c r="AB764" s="77" t="e">
        <f>VLOOKUP(M764,'Component List'!AA$2:AB$30,2,FALSE)</f>
        <v>#N/A</v>
      </c>
      <c r="AC764" s="77" t="e">
        <f>VLOOKUP(N764,'Component List'!Y$2:Z$30,2,FALSE)</f>
        <v>#N/A</v>
      </c>
      <c r="AD764" s="159" t="e">
        <f>VLOOKUP(O764,'Component List'!W$3:X$30,2,FALSE)</f>
        <v>#N/A</v>
      </c>
    </row>
    <row r="765" spans="1:30" ht="30" customHeight="1" x14ac:dyDescent="0.3">
      <c r="A765" s="231"/>
      <c r="B765" s="173"/>
      <c r="C765" s="78"/>
      <c r="D765" s="78"/>
      <c r="E765" s="79"/>
      <c r="F765" s="78"/>
      <c r="G765" s="78"/>
      <c r="H765" s="78"/>
      <c r="I765" s="78"/>
      <c r="J765" s="78"/>
      <c r="K765" s="110"/>
      <c r="L765" s="110"/>
      <c r="M765" s="78"/>
      <c r="N765" s="78"/>
      <c r="O765" s="117"/>
      <c r="P765" s="114" t="e">
        <f t="shared" si="10"/>
        <v>#N/A</v>
      </c>
      <c r="Q765" s="77" t="e">
        <f>VLOOKUP($B765,'Component List'!$A$2:$B$30,2,FALSE)</f>
        <v>#N/A</v>
      </c>
      <c r="R765" s="77" t="e">
        <f>VLOOKUP($C765,'Component List'!C$2:D$28,2,FALSE)</f>
        <v>#N/A</v>
      </c>
      <c r="S765" s="77" t="e">
        <f>VLOOKUP($D765,'Component List'!E$2:F$30,2,FALSE)</f>
        <v>#N/A</v>
      </c>
      <c r="T765" s="77" t="e">
        <f>VLOOKUP($E765,'Component List'!G$2:H$30,2,FALSE)</f>
        <v>#N/A</v>
      </c>
      <c r="U765" s="77" t="e">
        <f>VLOOKUP($F765,'Component List'!I$2:J$30,2,FALSE)</f>
        <v>#N/A</v>
      </c>
      <c r="V765" s="77" t="e">
        <f>VLOOKUP(G765,'Component List'!K$2:L$30,2,FALSE)</f>
        <v>#N/A</v>
      </c>
      <c r="W765" s="77" t="e">
        <f>VLOOKUP(H765,'Component List'!M$2:N$31,2,FALSE)</f>
        <v>#N/A</v>
      </c>
      <c r="X765" s="77" t="e">
        <f>VLOOKUP(I765,'Component List'!O$2:P$30,2,FALSE)</f>
        <v>#N/A</v>
      </c>
      <c r="Y765" s="77" t="e">
        <f>VLOOKUP(J765,'Component List'!Q$2:R$30,2,FALSE)</f>
        <v>#N/A</v>
      </c>
      <c r="Z765" s="77" t="e">
        <f>VLOOKUP(K765,'Component List'!S$2:T$30,2,FALSE)</f>
        <v>#N/A</v>
      </c>
      <c r="AA765" s="77" t="e">
        <f>VLOOKUP(L765,'Component List'!U$2:V$30,2,FALSE)</f>
        <v>#N/A</v>
      </c>
      <c r="AB765" s="77" t="e">
        <f>VLOOKUP(M765,'Component List'!AA$2:AB$30,2,FALSE)</f>
        <v>#N/A</v>
      </c>
      <c r="AC765" s="77" t="e">
        <f>VLOOKUP(N765,'Component List'!Y$2:Z$30,2,FALSE)</f>
        <v>#N/A</v>
      </c>
      <c r="AD765" s="159" t="e">
        <f>VLOOKUP(O765,'Component List'!W$3:X$30,2,FALSE)</f>
        <v>#N/A</v>
      </c>
    </row>
    <row r="766" spans="1:30" ht="30" customHeight="1" x14ac:dyDescent="0.3">
      <c r="A766" s="231"/>
      <c r="B766" s="173"/>
      <c r="C766" s="78"/>
      <c r="D766" s="78"/>
      <c r="E766" s="79"/>
      <c r="F766" s="78"/>
      <c r="G766" s="78"/>
      <c r="H766" s="78"/>
      <c r="I766" s="78"/>
      <c r="J766" s="78"/>
      <c r="K766" s="110"/>
      <c r="L766" s="110"/>
      <c r="M766" s="78"/>
      <c r="N766" s="78"/>
      <c r="O766" s="117"/>
      <c r="P766" s="114" t="e">
        <f t="shared" si="10"/>
        <v>#N/A</v>
      </c>
      <c r="Q766" s="77" t="e">
        <f>VLOOKUP($B766,'Component List'!$A$2:$B$30,2,FALSE)</f>
        <v>#N/A</v>
      </c>
      <c r="R766" s="77" t="e">
        <f>VLOOKUP($C766,'Component List'!C$2:D$28,2,FALSE)</f>
        <v>#N/A</v>
      </c>
      <c r="S766" s="77" t="e">
        <f>VLOOKUP($D766,'Component List'!E$2:F$30,2,FALSE)</f>
        <v>#N/A</v>
      </c>
      <c r="T766" s="77" t="e">
        <f>VLOOKUP($E766,'Component List'!G$2:H$30,2,FALSE)</f>
        <v>#N/A</v>
      </c>
      <c r="U766" s="77" t="e">
        <f>VLOOKUP($F766,'Component List'!I$2:J$30,2,FALSE)</f>
        <v>#N/A</v>
      </c>
      <c r="V766" s="77" t="e">
        <f>VLOOKUP(G766,'Component List'!K$2:L$30,2,FALSE)</f>
        <v>#N/A</v>
      </c>
      <c r="W766" s="77" t="e">
        <f>VLOOKUP(H766,'Component List'!M$2:N$31,2,FALSE)</f>
        <v>#N/A</v>
      </c>
      <c r="X766" s="77" t="e">
        <f>VLOOKUP(I766,'Component List'!O$2:P$30,2,FALSE)</f>
        <v>#N/A</v>
      </c>
      <c r="Y766" s="77" t="e">
        <f>VLOOKUP(J766,'Component List'!Q$2:R$30,2,FALSE)</f>
        <v>#N/A</v>
      </c>
      <c r="Z766" s="77" t="e">
        <f>VLOOKUP(K766,'Component List'!S$2:T$30,2,FALSE)</f>
        <v>#N/A</v>
      </c>
      <c r="AA766" s="77" t="e">
        <f>VLOOKUP(L766,'Component List'!U$2:V$30,2,FALSE)</f>
        <v>#N/A</v>
      </c>
      <c r="AB766" s="77" t="e">
        <f>VLOOKUP(M766,'Component List'!AA$2:AB$30,2,FALSE)</f>
        <v>#N/A</v>
      </c>
      <c r="AC766" s="77" t="e">
        <f>VLOOKUP(N766,'Component List'!Y$2:Z$30,2,FALSE)</f>
        <v>#N/A</v>
      </c>
      <c r="AD766" s="159" t="e">
        <f>VLOOKUP(O766,'Component List'!W$3:X$30,2,FALSE)</f>
        <v>#N/A</v>
      </c>
    </row>
    <row r="767" spans="1:30" ht="30" customHeight="1" x14ac:dyDescent="0.3">
      <c r="A767" s="231"/>
      <c r="B767" s="173"/>
      <c r="C767" s="78"/>
      <c r="D767" s="78"/>
      <c r="E767" s="79"/>
      <c r="F767" s="78"/>
      <c r="G767" s="78"/>
      <c r="H767" s="78"/>
      <c r="I767" s="78"/>
      <c r="J767" s="78"/>
      <c r="K767" s="110"/>
      <c r="L767" s="110"/>
      <c r="M767" s="78"/>
      <c r="N767" s="78"/>
      <c r="O767" s="117"/>
      <c r="P767" s="114" t="e">
        <f t="shared" si="10"/>
        <v>#N/A</v>
      </c>
      <c r="Q767" s="77" t="e">
        <f>VLOOKUP($B767,'Component List'!$A$2:$B$30,2,FALSE)</f>
        <v>#N/A</v>
      </c>
      <c r="R767" s="77" t="e">
        <f>VLOOKUP($C767,'Component List'!C$2:D$28,2,FALSE)</f>
        <v>#N/A</v>
      </c>
      <c r="S767" s="77" t="e">
        <f>VLOOKUP($D767,'Component List'!E$2:F$30,2,FALSE)</f>
        <v>#N/A</v>
      </c>
      <c r="T767" s="77" t="e">
        <f>VLOOKUP($E767,'Component List'!G$2:H$30,2,FALSE)</f>
        <v>#N/A</v>
      </c>
      <c r="U767" s="77" t="e">
        <f>VLOOKUP($F767,'Component List'!I$2:J$30,2,FALSE)</f>
        <v>#N/A</v>
      </c>
      <c r="V767" s="77" t="e">
        <f>VLOOKUP(G767,'Component List'!K$2:L$30,2,FALSE)</f>
        <v>#N/A</v>
      </c>
      <c r="W767" s="77" t="e">
        <f>VLOOKUP(H767,'Component List'!M$2:N$31,2,FALSE)</f>
        <v>#N/A</v>
      </c>
      <c r="X767" s="77" t="e">
        <f>VLOOKUP(I767,'Component List'!O$2:P$30,2,FALSE)</f>
        <v>#N/A</v>
      </c>
      <c r="Y767" s="77" t="e">
        <f>VLOOKUP(J767,'Component List'!Q$2:R$30,2,FALSE)</f>
        <v>#N/A</v>
      </c>
      <c r="Z767" s="77" t="e">
        <f>VLOOKUP(K767,'Component List'!S$2:T$30,2,FALSE)</f>
        <v>#N/A</v>
      </c>
      <c r="AA767" s="77" t="e">
        <f>VLOOKUP(L767,'Component List'!U$2:V$30,2,FALSE)</f>
        <v>#N/A</v>
      </c>
      <c r="AB767" s="77" t="e">
        <f>VLOOKUP(M767,'Component List'!AA$2:AB$30,2,FALSE)</f>
        <v>#N/A</v>
      </c>
      <c r="AC767" s="77" t="e">
        <f>VLOOKUP(N767,'Component List'!Y$2:Z$30,2,FALSE)</f>
        <v>#N/A</v>
      </c>
      <c r="AD767" s="159" t="e">
        <f>VLOOKUP(O767,'Component List'!W$3:X$30,2,FALSE)</f>
        <v>#N/A</v>
      </c>
    </row>
    <row r="768" spans="1:30" ht="30" customHeight="1" x14ac:dyDescent="0.3">
      <c r="A768" s="231"/>
      <c r="B768" s="173"/>
      <c r="C768" s="78"/>
      <c r="D768" s="78"/>
      <c r="E768" s="79"/>
      <c r="F768" s="78"/>
      <c r="G768" s="78"/>
      <c r="H768" s="78"/>
      <c r="I768" s="78"/>
      <c r="J768" s="78"/>
      <c r="K768" s="110"/>
      <c r="L768" s="110"/>
      <c r="M768" s="78"/>
      <c r="N768" s="78"/>
      <c r="O768" s="117"/>
      <c r="P768" s="114" t="e">
        <f t="shared" si="10"/>
        <v>#N/A</v>
      </c>
      <c r="Q768" s="77" t="e">
        <f>VLOOKUP($B768,'Component List'!$A$2:$B$30,2,FALSE)</f>
        <v>#N/A</v>
      </c>
      <c r="R768" s="77" t="e">
        <f>VLOOKUP($C768,'Component List'!C$2:D$28,2,FALSE)</f>
        <v>#N/A</v>
      </c>
      <c r="S768" s="77" t="e">
        <f>VLOOKUP($D768,'Component List'!E$2:F$30,2,FALSE)</f>
        <v>#N/A</v>
      </c>
      <c r="T768" s="77" t="e">
        <f>VLOOKUP($E768,'Component List'!G$2:H$30,2,FALSE)</f>
        <v>#N/A</v>
      </c>
      <c r="U768" s="77" t="e">
        <f>VLOOKUP($F768,'Component List'!I$2:J$30,2,FALSE)</f>
        <v>#N/A</v>
      </c>
      <c r="V768" s="77" t="e">
        <f>VLOOKUP(G768,'Component List'!K$2:L$30,2,FALSE)</f>
        <v>#N/A</v>
      </c>
      <c r="W768" s="77" t="e">
        <f>VLOOKUP(H768,'Component List'!M$2:N$31,2,FALSE)</f>
        <v>#N/A</v>
      </c>
      <c r="X768" s="77" t="e">
        <f>VLOOKUP(I768,'Component List'!O$2:P$30,2,FALSE)</f>
        <v>#N/A</v>
      </c>
      <c r="Y768" s="77" t="e">
        <f>VLOOKUP(J768,'Component List'!Q$2:R$30,2,FALSE)</f>
        <v>#N/A</v>
      </c>
      <c r="Z768" s="77" t="e">
        <f>VLOOKUP(K768,'Component List'!S$2:T$30,2,FALSE)</f>
        <v>#N/A</v>
      </c>
      <c r="AA768" s="77" t="e">
        <f>VLOOKUP(L768,'Component List'!U$2:V$30,2,FALSE)</f>
        <v>#N/A</v>
      </c>
      <c r="AB768" s="77" t="e">
        <f>VLOOKUP(M768,'Component List'!AA$2:AB$30,2,FALSE)</f>
        <v>#N/A</v>
      </c>
      <c r="AC768" s="77" t="e">
        <f>VLOOKUP(N768,'Component List'!Y$2:Z$30,2,FALSE)</f>
        <v>#N/A</v>
      </c>
      <c r="AD768" s="159" t="e">
        <f>VLOOKUP(O768,'Component List'!W$3:X$30,2,FALSE)</f>
        <v>#N/A</v>
      </c>
    </row>
    <row r="769" spans="1:30" ht="30" customHeight="1" x14ac:dyDescent="0.3">
      <c r="A769" s="231"/>
      <c r="B769" s="173"/>
      <c r="C769" s="78"/>
      <c r="D769" s="78"/>
      <c r="E769" s="79"/>
      <c r="F769" s="78"/>
      <c r="G769" s="78"/>
      <c r="H769" s="78"/>
      <c r="I769" s="78"/>
      <c r="J769" s="78"/>
      <c r="K769" s="110"/>
      <c r="L769" s="110"/>
      <c r="M769" s="78"/>
      <c r="N769" s="78"/>
      <c r="O769" s="117"/>
      <c r="P769" s="114" t="e">
        <f t="shared" si="10"/>
        <v>#N/A</v>
      </c>
      <c r="Q769" s="77" t="e">
        <f>VLOOKUP($B769,'Component List'!$A$2:$B$30,2,FALSE)</f>
        <v>#N/A</v>
      </c>
      <c r="R769" s="77" t="e">
        <f>VLOOKUP($C769,'Component List'!C$2:D$28,2,FALSE)</f>
        <v>#N/A</v>
      </c>
      <c r="S769" s="77" t="e">
        <f>VLOOKUP($D769,'Component List'!E$2:F$30,2,FALSE)</f>
        <v>#N/A</v>
      </c>
      <c r="T769" s="77" t="e">
        <f>VLOOKUP($E769,'Component List'!G$2:H$30,2,FALSE)</f>
        <v>#N/A</v>
      </c>
      <c r="U769" s="77" t="e">
        <f>VLOOKUP($F769,'Component List'!I$2:J$30,2,FALSE)</f>
        <v>#N/A</v>
      </c>
      <c r="V769" s="77" t="e">
        <f>VLOOKUP(G769,'Component List'!K$2:L$30,2,FALSE)</f>
        <v>#N/A</v>
      </c>
      <c r="W769" s="77" t="e">
        <f>VLOOKUP(H769,'Component List'!M$2:N$31,2,FALSE)</f>
        <v>#N/A</v>
      </c>
      <c r="X769" s="77" t="e">
        <f>VLOOKUP(I769,'Component List'!O$2:P$30,2,FALSE)</f>
        <v>#N/A</v>
      </c>
      <c r="Y769" s="77" t="e">
        <f>VLOOKUP(J769,'Component List'!Q$2:R$30,2,FALSE)</f>
        <v>#N/A</v>
      </c>
      <c r="Z769" s="77" t="e">
        <f>VLOOKUP(K769,'Component List'!S$2:T$30,2,FALSE)</f>
        <v>#N/A</v>
      </c>
      <c r="AA769" s="77" t="e">
        <f>VLOOKUP(L769,'Component List'!U$2:V$30,2,FALSE)</f>
        <v>#N/A</v>
      </c>
      <c r="AB769" s="77" t="e">
        <f>VLOOKUP(M769,'Component List'!AA$2:AB$30,2,FALSE)</f>
        <v>#N/A</v>
      </c>
      <c r="AC769" s="77" t="e">
        <f>VLOOKUP(N769,'Component List'!Y$2:Z$30,2,FALSE)</f>
        <v>#N/A</v>
      </c>
      <c r="AD769" s="159" t="e">
        <f>VLOOKUP(O769,'Component List'!W$3:X$30,2,FALSE)</f>
        <v>#N/A</v>
      </c>
    </row>
    <row r="770" spans="1:30" ht="30" customHeight="1" x14ac:dyDescent="0.3">
      <c r="A770" s="231"/>
      <c r="B770" s="173"/>
      <c r="C770" s="78"/>
      <c r="D770" s="78"/>
      <c r="E770" s="79"/>
      <c r="F770" s="78"/>
      <c r="G770" s="78"/>
      <c r="H770" s="78"/>
      <c r="I770" s="78"/>
      <c r="J770" s="78"/>
      <c r="K770" s="110"/>
      <c r="L770" s="110"/>
      <c r="M770" s="78"/>
      <c r="N770" s="78"/>
      <c r="O770" s="117"/>
      <c r="P770" s="114" t="e">
        <f t="shared" si="10"/>
        <v>#N/A</v>
      </c>
      <c r="Q770" s="77" t="e">
        <f>VLOOKUP($B770,'Component List'!$A$2:$B$30,2,FALSE)</f>
        <v>#N/A</v>
      </c>
      <c r="R770" s="77" t="e">
        <f>VLOOKUP($C770,'Component List'!C$2:D$28,2,FALSE)</f>
        <v>#N/A</v>
      </c>
      <c r="S770" s="77" t="e">
        <f>VLOOKUP($D770,'Component List'!E$2:F$30,2,FALSE)</f>
        <v>#N/A</v>
      </c>
      <c r="T770" s="77" t="e">
        <f>VLOOKUP($E770,'Component List'!G$2:H$30,2,FALSE)</f>
        <v>#N/A</v>
      </c>
      <c r="U770" s="77" t="e">
        <f>VLOOKUP($F770,'Component List'!I$2:J$30,2,FALSE)</f>
        <v>#N/A</v>
      </c>
      <c r="V770" s="77" t="e">
        <f>VLOOKUP(G770,'Component List'!K$2:L$30,2,FALSE)</f>
        <v>#N/A</v>
      </c>
      <c r="W770" s="77" t="e">
        <f>VLOOKUP(H770,'Component List'!M$2:N$31,2,FALSE)</f>
        <v>#N/A</v>
      </c>
      <c r="X770" s="77" t="e">
        <f>VLOOKUP(I770,'Component List'!O$2:P$30,2,FALSE)</f>
        <v>#N/A</v>
      </c>
      <c r="Y770" s="77" t="e">
        <f>VLOOKUP(J770,'Component List'!Q$2:R$30,2,FALSE)</f>
        <v>#N/A</v>
      </c>
      <c r="Z770" s="77" t="e">
        <f>VLOOKUP(K770,'Component List'!S$2:T$30,2,FALSE)</f>
        <v>#N/A</v>
      </c>
      <c r="AA770" s="77" t="e">
        <f>VLOOKUP(L770,'Component List'!U$2:V$30,2,FALSE)</f>
        <v>#N/A</v>
      </c>
      <c r="AB770" s="77" t="e">
        <f>VLOOKUP(M770,'Component List'!AA$2:AB$30,2,FALSE)</f>
        <v>#N/A</v>
      </c>
      <c r="AC770" s="77" t="e">
        <f>VLOOKUP(N770,'Component List'!Y$2:Z$30,2,FALSE)</f>
        <v>#N/A</v>
      </c>
      <c r="AD770" s="159" t="e">
        <f>VLOOKUP(O770,'Component List'!W$3:X$30,2,FALSE)</f>
        <v>#N/A</v>
      </c>
    </row>
    <row r="771" spans="1:30" ht="30" customHeight="1" x14ac:dyDescent="0.3">
      <c r="A771" s="231"/>
      <c r="B771" s="173"/>
      <c r="C771" s="78"/>
      <c r="D771" s="78"/>
      <c r="E771" s="79"/>
      <c r="F771" s="78"/>
      <c r="G771" s="78"/>
      <c r="H771" s="78"/>
      <c r="I771" s="78"/>
      <c r="J771" s="78"/>
      <c r="K771" s="110"/>
      <c r="L771" s="110"/>
      <c r="M771" s="78"/>
      <c r="N771" s="78"/>
      <c r="O771" s="117"/>
      <c r="P771" s="114" t="e">
        <f t="shared" si="10"/>
        <v>#N/A</v>
      </c>
      <c r="Q771" s="77" t="e">
        <f>VLOOKUP($B771,'Component List'!$A$2:$B$30,2,FALSE)</f>
        <v>#N/A</v>
      </c>
      <c r="R771" s="77" t="e">
        <f>VLOOKUP($C771,'Component List'!C$2:D$28,2,FALSE)</f>
        <v>#N/A</v>
      </c>
      <c r="S771" s="77" t="e">
        <f>VLOOKUP($D771,'Component List'!E$2:F$30,2,FALSE)</f>
        <v>#N/A</v>
      </c>
      <c r="T771" s="77" t="e">
        <f>VLOOKUP($E771,'Component List'!G$2:H$30,2,FALSE)</f>
        <v>#N/A</v>
      </c>
      <c r="U771" s="77" t="e">
        <f>VLOOKUP($F771,'Component List'!I$2:J$30,2,FALSE)</f>
        <v>#N/A</v>
      </c>
      <c r="V771" s="77" t="e">
        <f>VLOOKUP(G771,'Component List'!K$2:L$30,2,FALSE)</f>
        <v>#N/A</v>
      </c>
      <c r="W771" s="77" t="e">
        <f>VLOOKUP(H771,'Component List'!M$2:N$31,2,FALSE)</f>
        <v>#N/A</v>
      </c>
      <c r="X771" s="77" t="e">
        <f>VLOOKUP(I771,'Component List'!O$2:P$30,2,FALSE)</f>
        <v>#N/A</v>
      </c>
      <c r="Y771" s="77" t="e">
        <f>VLOOKUP(J771,'Component List'!Q$2:R$30,2,FALSE)</f>
        <v>#N/A</v>
      </c>
      <c r="Z771" s="77" t="e">
        <f>VLOOKUP(K771,'Component List'!S$2:T$30,2,FALSE)</f>
        <v>#N/A</v>
      </c>
      <c r="AA771" s="77" t="e">
        <f>VLOOKUP(L771,'Component List'!U$2:V$30,2,FALSE)</f>
        <v>#N/A</v>
      </c>
      <c r="AB771" s="77" t="e">
        <f>VLOOKUP(M771,'Component List'!AA$2:AB$30,2,FALSE)</f>
        <v>#N/A</v>
      </c>
      <c r="AC771" s="77" t="e">
        <f>VLOOKUP(N771,'Component List'!Y$2:Z$30,2,FALSE)</f>
        <v>#N/A</v>
      </c>
      <c r="AD771" s="159" t="e">
        <f>VLOOKUP(O771,'Component List'!W$3:X$30,2,FALSE)</f>
        <v>#N/A</v>
      </c>
    </row>
    <row r="772" spans="1:30" ht="30" customHeight="1" x14ac:dyDescent="0.3">
      <c r="A772" s="231"/>
      <c r="B772" s="173"/>
      <c r="C772" s="78"/>
      <c r="D772" s="78"/>
      <c r="E772" s="79"/>
      <c r="F772" s="78"/>
      <c r="G772" s="78"/>
      <c r="H772" s="78"/>
      <c r="I772" s="78"/>
      <c r="J772" s="78"/>
      <c r="K772" s="110"/>
      <c r="L772" s="110"/>
      <c r="M772" s="78"/>
      <c r="N772" s="78"/>
      <c r="O772" s="117"/>
      <c r="P772" s="114" t="e">
        <f t="shared" si="10"/>
        <v>#N/A</v>
      </c>
      <c r="Q772" s="77" t="e">
        <f>VLOOKUP($B772,'Component List'!$A$2:$B$30,2,FALSE)</f>
        <v>#N/A</v>
      </c>
      <c r="R772" s="77" t="e">
        <f>VLOOKUP($C772,'Component List'!C$2:D$28,2,FALSE)</f>
        <v>#N/A</v>
      </c>
      <c r="S772" s="77" t="e">
        <f>VLOOKUP($D772,'Component List'!E$2:F$30,2,FALSE)</f>
        <v>#N/A</v>
      </c>
      <c r="T772" s="77" t="e">
        <f>VLOOKUP($E772,'Component List'!G$2:H$30,2,FALSE)</f>
        <v>#N/A</v>
      </c>
      <c r="U772" s="77" t="e">
        <f>VLOOKUP($F772,'Component List'!I$2:J$30,2,FALSE)</f>
        <v>#N/A</v>
      </c>
      <c r="V772" s="77" t="e">
        <f>VLOOKUP(G772,'Component List'!K$2:L$30,2,FALSE)</f>
        <v>#N/A</v>
      </c>
      <c r="W772" s="77" t="e">
        <f>VLOOKUP(H772,'Component List'!M$2:N$31,2,FALSE)</f>
        <v>#N/A</v>
      </c>
      <c r="X772" s="77" t="e">
        <f>VLOOKUP(I772,'Component List'!O$2:P$30,2,FALSE)</f>
        <v>#N/A</v>
      </c>
      <c r="Y772" s="77" t="e">
        <f>VLOOKUP(J772,'Component List'!Q$2:R$30,2,FALSE)</f>
        <v>#N/A</v>
      </c>
      <c r="Z772" s="77" t="e">
        <f>VLOOKUP(K772,'Component List'!S$2:T$30,2,FALSE)</f>
        <v>#N/A</v>
      </c>
      <c r="AA772" s="77" t="e">
        <f>VLOOKUP(L772,'Component List'!U$2:V$30,2,FALSE)</f>
        <v>#N/A</v>
      </c>
      <c r="AB772" s="77" t="e">
        <f>VLOOKUP(M772,'Component List'!AA$2:AB$30,2,FALSE)</f>
        <v>#N/A</v>
      </c>
      <c r="AC772" s="77" t="e">
        <f>VLOOKUP(N772,'Component List'!Y$2:Z$30,2,FALSE)</f>
        <v>#N/A</v>
      </c>
      <c r="AD772" s="159" t="e">
        <f>VLOOKUP(O772,'Component List'!W$3:X$30,2,FALSE)</f>
        <v>#N/A</v>
      </c>
    </row>
    <row r="773" spans="1:30" ht="30" customHeight="1" x14ac:dyDescent="0.3">
      <c r="A773" s="231"/>
      <c r="B773" s="173"/>
      <c r="C773" s="78"/>
      <c r="D773" s="78"/>
      <c r="E773" s="79"/>
      <c r="F773" s="78"/>
      <c r="G773" s="78"/>
      <c r="H773" s="78"/>
      <c r="I773" s="78"/>
      <c r="J773" s="78"/>
      <c r="K773" s="110"/>
      <c r="L773" s="110"/>
      <c r="M773" s="78"/>
      <c r="N773" s="78"/>
      <c r="O773" s="117"/>
      <c r="P773" s="114" t="e">
        <f t="shared" si="10"/>
        <v>#N/A</v>
      </c>
      <c r="Q773" s="77" t="e">
        <f>VLOOKUP($B773,'Component List'!$A$2:$B$30,2,FALSE)</f>
        <v>#N/A</v>
      </c>
      <c r="R773" s="77" t="e">
        <f>VLOOKUP($C773,'Component List'!C$2:D$28,2,FALSE)</f>
        <v>#N/A</v>
      </c>
      <c r="S773" s="77" t="e">
        <f>VLOOKUP($D773,'Component List'!E$2:F$30,2,FALSE)</f>
        <v>#N/A</v>
      </c>
      <c r="T773" s="77" t="e">
        <f>VLOOKUP($E773,'Component List'!G$2:H$30,2,FALSE)</f>
        <v>#N/A</v>
      </c>
      <c r="U773" s="77" t="e">
        <f>VLOOKUP($F773,'Component List'!I$2:J$30,2,FALSE)</f>
        <v>#N/A</v>
      </c>
      <c r="V773" s="77" t="e">
        <f>VLOOKUP(G773,'Component List'!K$2:L$30,2,FALSE)</f>
        <v>#N/A</v>
      </c>
      <c r="W773" s="77" t="e">
        <f>VLOOKUP(H773,'Component List'!M$2:N$31,2,FALSE)</f>
        <v>#N/A</v>
      </c>
      <c r="X773" s="77" t="e">
        <f>VLOOKUP(I773,'Component List'!O$2:P$30,2,FALSE)</f>
        <v>#N/A</v>
      </c>
      <c r="Y773" s="77" t="e">
        <f>VLOOKUP(J773,'Component List'!Q$2:R$30,2,FALSE)</f>
        <v>#N/A</v>
      </c>
      <c r="Z773" s="77" t="e">
        <f>VLOOKUP(K773,'Component List'!S$2:T$30,2,FALSE)</f>
        <v>#N/A</v>
      </c>
      <c r="AA773" s="77" t="e">
        <f>VLOOKUP(L773,'Component List'!U$2:V$30,2,FALSE)</f>
        <v>#N/A</v>
      </c>
      <c r="AB773" s="77" t="e">
        <f>VLOOKUP(M773,'Component List'!AA$2:AB$30,2,FALSE)</f>
        <v>#N/A</v>
      </c>
      <c r="AC773" s="77" t="e">
        <f>VLOOKUP(N773,'Component List'!Y$2:Z$30,2,FALSE)</f>
        <v>#N/A</v>
      </c>
      <c r="AD773" s="159" t="e">
        <f>VLOOKUP(O773,'Component List'!W$3:X$30,2,FALSE)</f>
        <v>#N/A</v>
      </c>
    </row>
    <row r="774" spans="1:30" ht="30" customHeight="1" x14ac:dyDescent="0.3">
      <c r="A774" s="231"/>
      <c r="B774" s="173"/>
      <c r="C774" s="78"/>
      <c r="D774" s="78"/>
      <c r="E774" s="79"/>
      <c r="F774" s="78"/>
      <c r="G774" s="78"/>
      <c r="H774" s="78"/>
      <c r="I774" s="78"/>
      <c r="J774" s="78"/>
      <c r="K774" s="110"/>
      <c r="L774" s="110"/>
      <c r="M774" s="78"/>
      <c r="N774" s="78"/>
      <c r="O774" s="117"/>
      <c r="P774" s="114" t="e">
        <f t="shared" si="10"/>
        <v>#N/A</v>
      </c>
      <c r="Q774" s="77" t="e">
        <f>VLOOKUP($B774,'Component List'!$A$2:$B$30,2,FALSE)</f>
        <v>#N/A</v>
      </c>
      <c r="R774" s="77" t="e">
        <f>VLOOKUP($C774,'Component List'!C$2:D$28,2,FALSE)</f>
        <v>#N/A</v>
      </c>
      <c r="S774" s="77" t="e">
        <f>VLOOKUP($D774,'Component List'!E$2:F$30,2,FALSE)</f>
        <v>#N/A</v>
      </c>
      <c r="T774" s="77" t="e">
        <f>VLOOKUP($E774,'Component List'!G$2:H$30,2,FALSE)</f>
        <v>#N/A</v>
      </c>
      <c r="U774" s="77" t="e">
        <f>VLOOKUP($F774,'Component List'!I$2:J$30,2,FALSE)</f>
        <v>#N/A</v>
      </c>
      <c r="V774" s="77" t="e">
        <f>VLOOKUP(G774,'Component List'!K$2:L$30,2,FALSE)</f>
        <v>#N/A</v>
      </c>
      <c r="W774" s="77" t="e">
        <f>VLOOKUP(H774,'Component List'!M$2:N$31,2,FALSE)</f>
        <v>#N/A</v>
      </c>
      <c r="X774" s="77" t="e">
        <f>VLOOKUP(I774,'Component List'!O$2:P$30,2,FALSE)</f>
        <v>#N/A</v>
      </c>
      <c r="Y774" s="77" t="e">
        <f>VLOOKUP(J774,'Component List'!Q$2:R$30,2,FALSE)</f>
        <v>#N/A</v>
      </c>
      <c r="Z774" s="77" t="e">
        <f>VLOOKUP(K774,'Component List'!S$2:T$30,2,FALSE)</f>
        <v>#N/A</v>
      </c>
      <c r="AA774" s="77" t="e">
        <f>VLOOKUP(L774,'Component List'!U$2:V$30,2,FALSE)</f>
        <v>#N/A</v>
      </c>
      <c r="AB774" s="77" t="e">
        <f>VLOOKUP(M774,'Component List'!AA$2:AB$30,2,FALSE)</f>
        <v>#N/A</v>
      </c>
      <c r="AC774" s="77" t="e">
        <f>VLOOKUP(N774,'Component List'!Y$2:Z$30,2,FALSE)</f>
        <v>#N/A</v>
      </c>
      <c r="AD774" s="159" t="e">
        <f>VLOOKUP(O774,'Component List'!W$3:X$30,2,FALSE)</f>
        <v>#N/A</v>
      </c>
    </row>
    <row r="775" spans="1:30" ht="30" customHeight="1" x14ac:dyDescent="0.3">
      <c r="A775" s="231"/>
      <c r="B775" s="173"/>
      <c r="C775" s="78"/>
      <c r="D775" s="78"/>
      <c r="E775" s="79"/>
      <c r="F775" s="78"/>
      <c r="G775" s="78"/>
      <c r="H775" s="78"/>
      <c r="I775" s="78"/>
      <c r="J775" s="78"/>
      <c r="K775" s="110"/>
      <c r="L775" s="110"/>
      <c r="M775" s="78"/>
      <c r="N775" s="78"/>
      <c r="O775" s="117"/>
      <c r="P775" s="114" t="e">
        <f t="shared" si="10"/>
        <v>#N/A</v>
      </c>
      <c r="Q775" s="77" t="e">
        <f>VLOOKUP($B775,'Component List'!$A$2:$B$30,2,FALSE)</f>
        <v>#N/A</v>
      </c>
      <c r="R775" s="77" t="e">
        <f>VLOOKUP($C775,'Component List'!C$2:D$28,2,FALSE)</f>
        <v>#N/A</v>
      </c>
      <c r="S775" s="77" t="e">
        <f>VLOOKUP($D775,'Component List'!E$2:F$30,2,FALSE)</f>
        <v>#N/A</v>
      </c>
      <c r="T775" s="77" t="e">
        <f>VLOOKUP($E775,'Component List'!G$2:H$30,2,FALSE)</f>
        <v>#N/A</v>
      </c>
      <c r="U775" s="77" t="e">
        <f>VLOOKUP($F775,'Component List'!I$2:J$30,2,FALSE)</f>
        <v>#N/A</v>
      </c>
      <c r="V775" s="77" t="e">
        <f>VLOOKUP(G775,'Component List'!K$2:L$30,2,FALSE)</f>
        <v>#N/A</v>
      </c>
      <c r="W775" s="77" t="e">
        <f>VLOOKUP(H775,'Component List'!M$2:N$31,2,FALSE)</f>
        <v>#N/A</v>
      </c>
      <c r="X775" s="77" t="e">
        <f>VLOOKUP(I775,'Component List'!O$2:P$30,2,FALSE)</f>
        <v>#N/A</v>
      </c>
      <c r="Y775" s="77" t="e">
        <f>VLOOKUP(J775,'Component List'!Q$2:R$30,2,FALSE)</f>
        <v>#N/A</v>
      </c>
      <c r="Z775" s="77" t="e">
        <f>VLOOKUP(K775,'Component List'!S$2:T$30,2,FALSE)</f>
        <v>#N/A</v>
      </c>
      <c r="AA775" s="77" t="e">
        <f>VLOOKUP(L775,'Component List'!U$2:V$30,2,FALSE)</f>
        <v>#N/A</v>
      </c>
      <c r="AB775" s="77" t="e">
        <f>VLOOKUP(M775,'Component List'!AA$2:AB$30,2,FALSE)</f>
        <v>#N/A</v>
      </c>
      <c r="AC775" s="77" t="e">
        <f>VLOOKUP(N775,'Component List'!Y$2:Z$30,2,FALSE)</f>
        <v>#N/A</v>
      </c>
      <c r="AD775" s="159" t="e">
        <f>VLOOKUP(O775,'Component List'!W$3:X$30,2,FALSE)</f>
        <v>#N/A</v>
      </c>
    </row>
    <row r="776" spans="1:30" ht="30" customHeight="1" x14ac:dyDescent="0.3">
      <c r="A776" s="231"/>
      <c r="B776" s="173"/>
      <c r="C776" s="78"/>
      <c r="D776" s="78"/>
      <c r="E776" s="79"/>
      <c r="F776" s="78"/>
      <c r="G776" s="78"/>
      <c r="H776" s="78"/>
      <c r="I776" s="78"/>
      <c r="J776" s="78"/>
      <c r="K776" s="110"/>
      <c r="L776" s="110"/>
      <c r="M776" s="78"/>
      <c r="N776" s="78"/>
      <c r="O776" s="117"/>
      <c r="P776" s="114" t="e">
        <f t="shared" si="10"/>
        <v>#N/A</v>
      </c>
      <c r="Q776" s="77" t="e">
        <f>VLOOKUP($B776,'Component List'!$A$2:$B$30,2,FALSE)</f>
        <v>#N/A</v>
      </c>
      <c r="R776" s="77" t="e">
        <f>VLOOKUP($C776,'Component List'!C$2:D$28,2,FALSE)</f>
        <v>#N/A</v>
      </c>
      <c r="S776" s="77" t="e">
        <f>VLOOKUP($D776,'Component List'!E$2:F$30,2,FALSE)</f>
        <v>#N/A</v>
      </c>
      <c r="T776" s="77" t="e">
        <f>VLOOKUP($E776,'Component List'!G$2:H$30,2,FALSE)</f>
        <v>#N/A</v>
      </c>
      <c r="U776" s="77" t="e">
        <f>VLOOKUP($F776,'Component List'!I$2:J$30,2,FALSE)</f>
        <v>#N/A</v>
      </c>
      <c r="V776" s="77" t="e">
        <f>VLOOKUP(G776,'Component List'!K$2:L$30,2,FALSE)</f>
        <v>#N/A</v>
      </c>
      <c r="W776" s="77" t="e">
        <f>VLOOKUP(H776,'Component List'!M$2:N$31,2,FALSE)</f>
        <v>#N/A</v>
      </c>
      <c r="X776" s="77" t="e">
        <f>VLOOKUP(I776,'Component List'!O$2:P$30,2,FALSE)</f>
        <v>#N/A</v>
      </c>
      <c r="Y776" s="77" t="e">
        <f>VLOOKUP(J776,'Component List'!Q$2:R$30,2,FALSE)</f>
        <v>#N/A</v>
      </c>
      <c r="Z776" s="77" t="e">
        <f>VLOOKUP(K776,'Component List'!S$2:T$30,2,FALSE)</f>
        <v>#N/A</v>
      </c>
      <c r="AA776" s="77" t="e">
        <f>VLOOKUP(L776,'Component List'!U$2:V$30,2,FALSE)</f>
        <v>#N/A</v>
      </c>
      <c r="AB776" s="77" t="e">
        <f>VLOOKUP(M776,'Component List'!AA$2:AB$30,2,FALSE)</f>
        <v>#N/A</v>
      </c>
      <c r="AC776" s="77" t="e">
        <f>VLOOKUP(N776,'Component List'!Y$2:Z$30,2,FALSE)</f>
        <v>#N/A</v>
      </c>
      <c r="AD776" s="159" t="e">
        <f>VLOOKUP(O776,'Component List'!W$3:X$30,2,FALSE)</f>
        <v>#N/A</v>
      </c>
    </row>
    <row r="777" spans="1:30" ht="30" customHeight="1" x14ac:dyDescent="0.3">
      <c r="A777" s="231"/>
      <c r="B777" s="173"/>
      <c r="C777" s="78"/>
      <c r="D777" s="78"/>
      <c r="E777" s="79"/>
      <c r="F777" s="78"/>
      <c r="G777" s="78"/>
      <c r="H777" s="78"/>
      <c r="I777" s="78"/>
      <c r="J777" s="78"/>
      <c r="K777" s="110"/>
      <c r="L777" s="110"/>
      <c r="M777" s="78"/>
      <c r="N777" s="78"/>
      <c r="O777" s="117"/>
      <c r="P777" s="114" t="e">
        <f t="shared" si="10"/>
        <v>#N/A</v>
      </c>
      <c r="Q777" s="77" t="e">
        <f>VLOOKUP($B777,'Component List'!$A$2:$B$30,2,FALSE)</f>
        <v>#N/A</v>
      </c>
      <c r="R777" s="77" t="e">
        <f>VLOOKUP($C777,'Component List'!C$2:D$28,2,FALSE)</f>
        <v>#N/A</v>
      </c>
      <c r="S777" s="77" t="e">
        <f>VLOOKUP($D777,'Component List'!E$2:F$30,2,FALSE)</f>
        <v>#N/A</v>
      </c>
      <c r="T777" s="77" t="e">
        <f>VLOOKUP($E777,'Component List'!G$2:H$30,2,FALSE)</f>
        <v>#N/A</v>
      </c>
      <c r="U777" s="77" t="e">
        <f>VLOOKUP($F777,'Component List'!I$2:J$30,2,FALSE)</f>
        <v>#N/A</v>
      </c>
      <c r="V777" s="77" t="e">
        <f>VLOOKUP(G777,'Component List'!K$2:L$30,2,FALSE)</f>
        <v>#N/A</v>
      </c>
      <c r="W777" s="77" t="e">
        <f>VLOOKUP(H777,'Component List'!M$2:N$31,2,FALSE)</f>
        <v>#N/A</v>
      </c>
      <c r="X777" s="77" t="e">
        <f>VLOOKUP(I777,'Component List'!O$2:P$30,2,FALSE)</f>
        <v>#N/A</v>
      </c>
      <c r="Y777" s="77" t="e">
        <f>VLOOKUP(J777,'Component List'!Q$2:R$30,2,FALSE)</f>
        <v>#N/A</v>
      </c>
      <c r="Z777" s="77" t="e">
        <f>VLOOKUP(K777,'Component List'!S$2:T$30,2,FALSE)</f>
        <v>#N/A</v>
      </c>
      <c r="AA777" s="77" t="e">
        <f>VLOOKUP(L777,'Component List'!U$2:V$30,2,FALSE)</f>
        <v>#N/A</v>
      </c>
      <c r="AB777" s="77" t="e">
        <f>VLOOKUP(M777,'Component List'!AA$2:AB$30,2,FALSE)</f>
        <v>#N/A</v>
      </c>
      <c r="AC777" s="77" t="e">
        <f>VLOOKUP(N777,'Component List'!Y$2:Z$30,2,FALSE)</f>
        <v>#N/A</v>
      </c>
      <c r="AD777" s="159" t="e">
        <f>VLOOKUP(O777,'Component List'!W$3:X$30,2,FALSE)</f>
        <v>#N/A</v>
      </c>
    </row>
    <row r="778" spans="1:30" ht="30" customHeight="1" x14ac:dyDescent="0.3">
      <c r="A778" s="231"/>
      <c r="B778" s="173"/>
      <c r="C778" s="78"/>
      <c r="D778" s="78"/>
      <c r="E778" s="79"/>
      <c r="F778" s="78"/>
      <c r="G778" s="78"/>
      <c r="H778" s="78"/>
      <c r="I778" s="78"/>
      <c r="J778" s="78"/>
      <c r="K778" s="110"/>
      <c r="L778" s="110"/>
      <c r="M778" s="78"/>
      <c r="N778" s="78"/>
      <c r="O778" s="117"/>
      <c r="P778" s="114" t="e">
        <f t="shared" si="10"/>
        <v>#N/A</v>
      </c>
      <c r="Q778" s="77" t="e">
        <f>VLOOKUP($B778,'Component List'!$A$2:$B$30,2,FALSE)</f>
        <v>#N/A</v>
      </c>
      <c r="R778" s="77" t="e">
        <f>VLOOKUP($C778,'Component List'!C$2:D$28,2,FALSE)</f>
        <v>#N/A</v>
      </c>
      <c r="S778" s="77" t="e">
        <f>VLOOKUP($D778,'Component List'!E$2:F$30,2,FALSE)</f>
        <v>#N/A</v>
      </c>
      <c r="T778" s="77" t="e">
        <f>VLOOKUP($E778,'Component List'!G$2:H$30,2,FALSE)</f>
        <v>#N/A</v>
      </c>
      <c r="U778" s="77" t="e">
        <f>VLOOKUP($F778,'Component List'!I$2:J$30,2,FALSE)</f>
        <v>#N/A</v>
      </c>
      <c r="V778" s="77" t="e">
        <f>VLOOKUP(G778,'Component List'!K$2:L$30,2,FALSE)</f>
        <v>#N/A</v>
      </c>
      <c r="W778" s="77" t="e">
        <f>VLOOKUP(H778,'Component List'!M$2:N$31,2,FALSE)</f>
        <v>#N/A</v>
      </c>
      <c r="X778" s="77" t="e">
        <f>VLOOKUP(I778,'Component List'!O$2:P$30,2,FALSE)</f>
        <v>#N/A</v>
      </c>
      <c r="Y778" s="77" t="e">
        <f>VLOOKUP(J778,'Component List'!Q$2:R$30,2,FALSE)</f>
        <v>#N/A</v>
      </c>
      <c r="Z778" s="77" t="e">
        <f>VLOOKUP(K778,'Component List'!S$2:T$30,2,FALSE)</f>
        <v>#N/A</v>
      </c>
      <c r="AA778" s="77" t="e">
        <f>VLOOKUP(L778,'Component List'!U$2:V$30,2,FALSE)</f>
        <v>#N/A</v>
      </c>
      <c r="AB778" s="77" t="e">
        <f>VLOOKUP(M778,'Component List'!AA$2:AB$30,2,FALSE)</f>
        <v>#N/A</v>
      </c>
      <c r="AC778" s="77" t="e">
        <f>VLOOKUP(N778,'Component List'!Y$2:Z$30,2,FALSE)</f>
        <v>#N/A</v>
      </c>
      <c r="AD778" s="159" t="e">
        <f>VLOOKUP(O778,'Component List'!W$3:X$30,2,FALSE)</f>
        <v>#N/A</v>
      </c>
    </row>
    <row r="779" spans="1:30" ht="30" customHeight="1" x14ac:dyDescent="0.3">
      <c r="A779" s="231"/>
      <c r="B779" s="173"/>
      <c r="C779" s="78"/>
      <c r="D779" s="78"/>
      <c r="E779" s="79"/>
      <c r="F779" s="78"/>
      <c r="G779" s="78"/>
      <c r="H779" s="78"/>
      <c r="I779" s="78"/>
      <c r="J779" s="78"/>
      <c r="K779" s="110"/>
      <c r="L779" s="110"/>
      <c r="M779" s="78"/>
      <c r="N779" s="78"/>
      <c r="O779" s="117"/>
      <c r="P779" s="114" t="e">
        <f t="shared" si="10"/>
        <v>#N/A</v>
      </c>
      <c r="Q779" s="77" t="e">
        <f>VLOOKUP($B779,'Component List'!$A$2:$B$30,2,FALSE)</f>
        <v>#N/A</v>
      </c>
      <c r="R779" s="77" t="e">
        <f>VLOOKUP($C779,'Component List'!C$2:D$28,2,FALSE)</f>
        <v>#N/A</v>
      </c>
      <c r="S779" s="77" t="e">
        <f>VLOOKUP($D779,'Component List'!E$2:F$30,2,FALSE)</f>
        <v>#N/A</v>
      </c>
      <c r="T779" s="77" t="e">
        <f>VLOOKUP($E779,'Component List'!G$2:H$30,2,FALSE)</f>
        <v>#N/A</v>
      </c>
      <c r="U779" s="77" t="e">
        <f>VLOOKUP($F779,'Component List'!I$2:J$30,2,FALSE)</f>
        <v>#N/A</v>
      </c>
      <c r="V779" s="77" t="e">
        <f>VLOOKUP(G779,'Component List'!K$2:L$30,2,FALSE)</f>
        <v>#N/A</v>
      </c>
      <c r="W779" s="77" t="e">
        <f>VLOOKUP(H779,'Component List'!M$2:N$31,2,FALSE)</f>
        <v>#N/A</v>
      </c>
      <c r="X779" s="77" t="e">
        <f>VLOOKUP(I779,'Component List'!O$2:P$30,2,FALSE)</f>
        <v>#N/A</v>
      </c>
      <c r="Y779" s="77" t="e">
        <f>VLOOKUP(J779,'Component List'!Q$2:R$30,2,FALSE)</f>
        <v>#N/A</v>
      </c>
      <c r="Z779" s="77" t="e">
        <f>VLOOKUP(K779,'Component List'!S$2:T$30,2,FALSE)</f>
        <v>#N/A</v>
      </c>
      <c r="AA779" s="77" t="e">
        <f>VLOOKUP(L779,'Component List'!U$2:V$30,2,FALSE)</f>
        <v>#N/A</v>
      </c>
      <c r="AB779" s="77" t="e">
        <f>VLOOKUP(M779,'Component List'!AA$2:AB$30,2,FALSE)</f>
        <v>#N/A</v>
      </c>
      <c r="AC779" s="77" t="e">
        <f>VLOOKUP(N779,'Component List'!Y$2:Z$30,2,FALSE)</f>
        <v>#N/A</v>
      </c>
      <c r="AD779" s="159" t="e">
        <f>VLOOKUP(O779,'Component List'!W$3:X$30,2,FALSE)</f>
        <v>#N/A</v>
      </c>
    </row>
    <row r="780" spans="1:30" ht="30" customHeight="1" x14ac:dyDescent="0.3">
      <c r="A780" s="231"/>
      <c r="B780" s="173"/>
      <c r="C780" s="78"/>
      <c r="D780" s="78"/>
      <c r="E780" s="79"/>
      <c r="F780" s="78"/>
      <c r="G780" s="78"/>
      <c r="H780" s="78"/>
      <c r="I780" s="78"/>
      <c r="J780" s="78"/>
      <c r="K780" s="110"/>
      <c r="L780" s="110"/>
      <c r="M780" s="78"/>
      <c r="N780" s="78"/>
      <c r="O780" s="117"/>
      <c r="P780" s="114" t="e">
        <f t="shared" si="10"/>
        <v>#N/A</v>
      </c>
      <c r="Q780" s="77" t="e">
        <f>VLOOKUP($B780,'Component List'!$A$2:$B$30,2,FALSE)</f>
        <v>#N/A</v>
      </c>
      <c r="R780" s="77" t="e">
        <f>VLOOKUP($C780,'Component List'!C$2:D$28,2,FALSE)</f>
        <v>#N/A</v>
      </c>
      <c r="S780" s="77" t="e">
        <f>VLOOKUP($D780,'Component List'!E$2:F$30,2,FALSE)</f>
        <v>#N/A</v>
      </c>
      <c r="T780" s="77" t="e">
        <f>VLOOKUP($E780,'Component List'!G$2:H$30,2,FALSE)</f>
        <v>#N/A</v>
      </c>
      <c r="U780" s="77" t="e">
        <f>VLOOKUP($F780,'Component List'!I$2:J$30,2,FALSE)</f>
        <v>#N/A</v>
      </c>
      <c r="V780" s="77" t="e">
        <f>VLOOKUP(G780,'Component List'!K$2:L$30,2,FALSE)</f>
        <v>#N/A</v>
      </c>
      <c r="W780" s="77" t="e">
        <f>VLOOKUP(H780,'Component List'!M$2:N$31,2,FALSE)</f>
        <v>#N/A</v>
      </c>
      <c r="X780" s="77" t="e">
        <f>VLOOKUP(I780,'Component List'!O$2:P$30,2,FALSE)</f>
        <v>#N/A</v>
      </c>
      <c r="Y780" s="77" t="e">
        <f>VLOOKUP(J780,'Component List'!Q$2:R$30,2,FALSE)</f>
        <v>#N/A</v>
      </c>
      <c r="Z780" s="77" t="e">
        <f>VLOOKUP(K780,'Component List'!S$2:T$30,2,FALSE)</f>
        <v>#N/A</v>
      </c>
      <c r="AA780" s="77" t="e">
        <f>VLOOKUP(L780,'Component List'!U$2:V$30,2,FALSE)</f>
        <v>#N/A</v>
      </c>
      <c r="AB780" s="77" t="e">
        <f>VLOOKUP(M780,'Component List'!AA$2:AB$30,2,FALSE)</f>
        <v>#N/A</v>
      </c>
      <c r="AC780" s="77" t="e">
        <f>VLOOKUP(N780,'Component List'!Y$2:Z$30,2,FALSE)</f>
        <v>#N/A</v>
      </c>
      <c r="AD780" s="159" t="e">
        <f>VLOOKUP(O780,'Component List'!W$3:X$30,2,FALSE)</f>
        <v>#N/A</v>
      </c>
    </row>
    <row r="781" spans="1:30" ht="30" customHeight="1" x14ac:dyDescent="0.3">
      <c r="A781" s="231"/>
      <c r="B781" s="173"/>
      <c r="C781" s="78"/>
      <c r="D781" s="78"/>
      <c r="E781" s="79"/>
      <c r="F781" s="78"/>
      <c r="G781" s="78"/>
      <c r="H781" s="78"/>
      <c r="I781" s="78"/>
      <c r="J781" s="78"/>
      <c r="K781" s="110"/>
      <c r="L781" s="110"/>
      <c r="M781" s="78"/>
      <c r="N781" s="78"/>
      <c r="O781" s="117"/>
      <c r="P781" s="114" t="e">
        <f t="shared" ref="P781:P844" si="11">Q781&amp;R781&amp;S781&amp;T781&amp;U781&amp;V781&amp;W781&amp;X781&amp;Y781&amp;Z781&amp;AA781&amp;AD781&amp;AC781&amp;AB781</f>
        <v>#N/A</v>
      </c>
      <c r="Q781" s="77" t="e">
        <f>VLOOKUP($B781,'Component List'!$A$2:$B$30,2,FALSE)</f>
        <v>#N/A</v>
      </c>
      <c r="R781" s="77" t="e">
        <f>VLOOKUP($C781,'Component List'!C$2:D$28,2,FALSE)</f>
        <v>#N/A</v>
      </c>
      <c r="S781" s="77" t="e">
        <f>VLOOKUP($D781,'Component List'!E$2:F$30,2,FALSE)</f>
        <v>#N/A</v>
      </c>
      <c r="T781" s="77" t="e">
        <f>VLOOKUP($E781,'Component List'!G$2:H$30,2,FALSE)</f>
        <v>#N/A</v>
      </c>
      <c r="U781" s="77" t="e">
        <f>VLOOKUP($F781,'Component List'!I$2:J$30,2,FALSE)</f>
        <v>#N/A</v>
      </c>
      <c r="V781" s="77" t="e">
        <f>VLOOKUP(G781,'Component List'!K$2:L$30,2,FALSE)</f>
        <v>#N/A</v>
      </c>
      <c r="W781" s="77" t="e">
        <f>VLOOKUP(H781,'Component List'!M$2:N$31,2,FALSE)</f>
        <v>#N/A</v>
      </c>
      <c r="X781" s="77" t="e">
        <f>VLOOKUP(I781,'Component List'!O$2:P$30,2,FALSE)</f>
        <v>#N/A</v>
      </c>
      <c r="Y781" s="77" t="e">
        <f>VLOOKUP(J781,'Component List'!Q$2:R$30,2,FALSE)</f>
        <v>#N/A</v>
      </c>
      <c r="Z781" s="77" t="e">
        <f>VLOOKUP(K781,'Component List'!S$2:T$30,2,FALSE)</f>
        <v>#N/A</v>
      </c>
      <c r="AA781" s="77" t="e">
        <f>VLOOKUP(L781,'Component List'!U$2:V$30,2,FALSE)</f>
        <v>#N/A</v>
      </c>
      <c r="AB781" s="77" t="e">
        <f>VLOOKUP(M781,'Component List'!AA$2:AB$30,2,FALSE)</f>
        <v>#N/A</v>
      </c>
      <c r="AC781" s="77" t="e">
        <f>VLOOKUP(N781,'Component List'!Y$2:Z$30,2,FALSE)</f>
        <v>#N/A</v>
      </c>
      <c r="AD781" s="159" t="e">
        <f>VLOOKUP(O781,'Component List'!W$3:X$30,2,FALSE)</f>
        <v>#N/A</v>
      </c>
    </row>
    <row r="782" spans="1:30" ht="30" customHeight="1" x14ac:dyDescent="0.3">
      <c r="A782" s="231"/>
      <c r="B782" s="173"/>
      <c r="C782" s="78"/>
      <c r="D782" s="78"/>
      <c r="E782" s="79"/>
      <c r="F782" s="78"/>
      <c r="G782" s="78"/>
      <c r="H782" s="78"/>
      <c r="I782" s="78"/>
      <c r="J782" s="78"/>
      <c r="K782" s="110"/>
      <c r="L782" s="110"/>
      <c r="M782" s="78"/>
      <c r="N782" s="78"/>
      <c r="O782" s="117"/>
      <c r="P782" s="114" t="e">
        <f t="shared" si="11"/>
        <v>#N/A</v>
      </c>
      <c r="Q782" s="77" t="e">
        <f>VLOOKUP($B782,'Component List'!$A$2:$B$30,2,FALSE)</f>
        <v>#N/A</v>
      </c>
      <c r="R782" s="77" t="e">
        <f>VLOOKUP($C782,'Component List'!C$2:D$28,2,FALSE)</f>
        <v>#N/A</v>
      </c>
      <c r="S782" s="77" t="e">
        <f>VLOOKUP($D782,'Component List'!E$2:F$30,2,FALSE)</f>
        <v>#N/A</v>
      </c>
      <c r="T782" s="77" t="e">
        <f>VLOOKUP($E782,'Component List'!G$2:H$30,2,FALSE)</f>
        <v>#N/A</v>
      </c>
      <c r="U782" s="77" t="e">
        <f>VLOOKUP($F782,'Component List'!I$2:J$30,2,FALSE)</f>
        <v>#N/A</v>
      </c>
      <c r="V782" s="77" t="e">
        <f>VLOOKUP(G782,'Component List'!K$2:L$30,2,FALSE)</f>
        <v>#N/A</v>
      </c>
      <c r="W782" s="77" t="e">
        <f>VLOOKUP(H782,'Component List'!M$2:N$31,2,FALSE)</f>
        <v>#N/A</v>
      </c>
      <c r="X782" s="77" t="e">
        <f>VLOOKUP(I782,'Component List'!O$2:P$30,2,FALSE)</f>
        <v>#N/A</v>
      </c>
      <c r="Y782" s="77" t="e">
        <f>VLOOKUP(J782,'Component List'!Q$2:R$30,2,FALSE)</f>
        <v>#N/A</v>
      </c>
      <c r="Z782" s="77" t="e">
        <f>VLOOKUP(K782,'Component List'!S$2:T$30,2,FALSE)</f>
        <v>#N/A</v>
      </c>
      <c r="AA782" s="77" t="e">
        <f>VLOOKUP(L782,'Component List'!U$2:V$30,2,FALSE)</f>
        <v>#N/A</v>
      </c>
      <c r="AB782" s="77" t="e">
        <f>VLOOKUP(M782,'Component List'!AA$2:AB$30,2,FALSE)</f>
        <v>#N/A</v>
      </c>
      <c r="AC782" s="77" t="e">
        <f>VLOOKUP(N782,'Component List'!Y$2:Z$30,2,FALSE)</f>
        <v>#N/A</v>
      </c>
      <c r="AD782" s="159" t="e">
        <f>VLOOKUP(O782,'Component List'!W$3:X$30,2,FALSE)</f>
        <v>#N/A</v>
      </c>
    </row>
    <row r="783" spans="1:30" ht="30" customHeight="1" x14ac:dyDescent="0.3">
      <c r="A783" s="231"/>
      <c r="B783" s="173"/>
      <c r="C783" s="78"/>
      <c r="D783" s="78"/>
      <c r="E783" s="79"/>
      <c r="F783" s="78"/>
      <c r="G783" s="78"/>
      <c r="H783" s="78"/>
      <c r="I783" s="78"/>
      <c r="J783" s="78"/>
      <c r="K783" s="110"/>
      <c r="L783" s="110"/>
      <c r="M783" s="78"/>
      <c r="N783" s="78"/>
      <c r="O783" s="117"/>
      <c r="P783" s="114" t="e">
        <f t="shared" si="11"/>
        <v>#N/A</v>
      </c>
      <c r="Q783" s="77" t="e">
        <f>VLOOKUP($B783,'Component List'!$A$2:$B$30,2,FALSE)</f>
        <v>#N/A</v>
      </c>
      <c r="R783" s="77" t="e">
        <f>VLOOKUP($C783,'Component List'!C$2:D$28,2,FALSE)</f>
        <v>#N/A</v>
      </c>
      <c r="S783" s="77" t="e">
        <f>VLOOKUP($D783,'Component List'!E$2:F$30,2,FALSE)</f>
        <v>#N/A</v>
      </c>
      <c r="T783" s="77" t="e">
        <f>VLOOKUP($E783,'Component List'!G$2:H$30,2,FALSE)</f>
        <v>#N/A</v>
      </c>
      <c r="U783" s="77" t="e">
        <f>VLOOKUP($F783,'Component List'!I$2:J$30,2,FALSE)</f>
        <v>#N/A</v>
      </c>
      <c r="V783" s="77" t="e">
        <f>VLOOKUP(G783,'Component List'!K$2:L$30,2,FALSE)</f>
        <v>#N/A</v>
      </c>
      <c r="W783" s="77" t="e">
        <f>VLOOKUP(H783,'Component List'!M$2:N$31,2,FALSE)</f>
        <v>#N/A</v>
      </c>
      <c r="X783" s="77" t="e">
        <f>VLOOKUP(I783,'Component List'!O$2:P$30,2,FALSE)</f>
        <v>#N/A</v>
      </c>
      <c r="Y783" s="77" t="e">
        <f>VLOOKUP(J783,'Component List'!Q$2:R$30,2,FALSE)</f>
        <v>#N/A</v>
      </c>
      <c r="Z783" s="77" t="e">
        <f>VLOOKUP(K783,'Component List'!S$2:T$30,2,FALSE)</f>
        <v>#N/A</v>
      </c>
      <c r="AA783" s="77" t="e">
        <f>VLOOKUP(L783,'Component List'!U$2:V$30,2,FALSE)</f>
        <v>#N/A</v>
      </c>
      <c r="AB783" s="77" t="e">
        <f>VLOOKUP(M783,'Component List'!AA$2:AB$30,2,FALSE)</f>
        <v>#N/A</v>
      </c>
      <c r="AC783" s="77" t="e">
        <f>VLOOKUP(N783,'Component List'!Y$2:Z$30,2,FALSE)</f>
        <v>#N/A</v>
      </c>
      <c r="AD783" s="159" t="e">
        <f>VLOOKUP(O783,'Component List'!W$3:X$30,2,FALSE)</f>
        <v>#N/A</v>
      </c>
    </row>
    <row r="784" spans="1:30" ht="30" customHeight="1" x14ac:dyDescent="0.3">
      <c r="A784" s="231"/>
      <c r="B784" s="173"/>
      <c r="C784" s="78"/>
      <c r="D784" s="78"/>
      <c r="E784" s="79"/>
      <c r="F784" s="78"/>
      <c r="G784" s="78"/>
      <c r="H784" s="78"/>
      <c r="I784" s="78"/>
      <c r="J784" s="78"/>
      <c r="K784" s="110"/>
      <c r="L784" s="110"/>
      <c r="M784" s="78"/>
      <c r="N784" s="78"/>
      <c r="O784" s="117"/>
      <c r="P784" s="114" t="e">
        <f t="shared" si="11"/>
        <v>#N/A</v>
      </c>
      <c r="Q784" s="77" t="e">
        <f>VLOOKUP($B784,'Component List'!$A$2:$B$30,2,FALSE)</f>
        <v>#N/A</v>
      </c>
      <c r="R784" s="77" t="e">
        <f>VLOOKUP($C784,'Component List'!C$2:D$28,2,FALSE)</f>
        <v>#N/A</v>
      </c>
      <c r="S784" s="77" t="e">
        <f>VLOOKUP($D784,'Component List'!E$2:F$30,2,FALSE)</f>
        <v>#N/A</v>
      </c>
      <c r="T784" s="77" t="e">
        <f>VLOOKUP($E784,'Component List'!G$2:H$30,2,FALSE)</f>
        <v>#N/A</v>
      </c>
      <c r="U784" s="77" t="e">
        <f>VLOOKUP($F784,'Component List'!I$2:J$30,2,FALSE)</f>
        <v>#N/A</v>
      </c>
      <c r="V784" s="77" t="e">
        <f>VLOOKUP(G784,'Component List'!K$2:L$30,2,FALSE)</f>
        <v>#N/A</v>
      </c>
      <c r="W784" s="77" t="e">
        <f>VLOOKUP(H784,'Component List'!M$2:N$31,2,FALSE)</f>
        <v>#N/A</v>
      </c>
      <c r="X784" s="77" t="e">
        <f>VLOOKUP(I784,'Component List'!O$2:P$30,2,FALSE)</f>
        <v>#N/A</v>
      </c>
      <c r="Y784" s="77" t="e">
        <f>VLOOKUP(J784,'Component List'!Q$2:R$30,2,FALSE)</f>
        <v>#N/A</v>
      </c>
      <c r="Z784" s="77" t="e">
        <f>VLOOKUP(K784,'Component List'!S$2:T$30,2,FALSE)</f>
        <v>#N/A</v>
      </c>
      <c r="AA784" s="77" t="e">
        <f>VLOOKUP(L784,'Component List'!U$2:V$30,2,FALSE)</f>
        <v>#N/A</v>
      </c>
      <c r="AB784" s="77" t="e">
        <f>VLOOKUP(M784,'Component List'!AA$2:AB$30,2,FALSE)</f>
        <v>#N/A</v>
      </c>
      <c r="AC784" s="77" t="e">
        <f>VLOOKUP(N784,'Component List'!Y$2:Z$30,2,FALSE)</f>
        <v>#N/A</v>
      </c>
      <c r="AD784" s="159" t="e">
        <f>VLOOKUP(O784,'Component List'!W$3:X$30,2,FALSE)</f>
        <v>#N/A</v>
      </c>
    </row>
    <row r="785" spans="1:30" ht="30" customHeight="1" x14ac:dyDescent="0.3">
      <c r="A785" s="231"/>
      <c r="B785" s="173"/>
      <c r="C785" s="78"/>
      <c r="D785" s="78"/>
      <c r="E785" s="79"/>
      <c r="F785" s="78"/>
      <c r="G785" s="78"/>
      <c r="H785" s="78"/>
      <c r="I785" s="78"/>
      <c r="J785" s="78"/>
      <c r="K785" s="110"/>
      <c r="L785" s="110"/>
      <c r="M785" s="78"/>
      <c r="N785" s="78"/>
      <c r="O785" s="117"/>
      <c r="P785" s="114" t="e">
        <f t="shared" si="11"/>
        <v>#N/A</v>
      </c>
      <c r="Q785" s="77" t="e">
        <f>VLOOKUP($B785,'Component List'!$A$2:$B$30,2,FALSE)</f>
        <v>#N/A</v>
      </c>
      <c r="R785" s="77" t="e">
        <f>VLOOKUP($C785,'Component List'!C$2:D$28,2,FALSE)</f>
        <v>#N/A</v>
      </c>
      <c r="S785" s="77" t="e">
        <f>VLOOKUP($D785,'Component List'!E$2:F$30,2,FALSE)</f>
        <v>#N/A</v>
      </c>
      <c r="T785" s="77" t="e">
        <f>VLOOKUP($E785,'Component List'!G$2:H$30,2,FALSE)</f>
        <v>#N/A</v>
      </c>
      <c r="U785" s="77" t="e">
        <f>VLOOKUP($F785,'Component List'!I$2:J$30,2,FALSE)</f>
        <v>#N/A</v>
      </c>
      <c r="V785" s="77" t="e">
        <f>VLOOKUP(G785,'Component List'!K$2:L$30,2,FALSE)</f>
        <v>#N/A</v>
      </c>
      <c r="W785" s="77" t="e">
        <f>VLOOKUP(H785,'Component List'!M$2:N$31,2,FALSE)</f>
        <v>#N/A</v>
      </c>
      <c r="X785" s="77" t="e">
        <f>VLOOKUP(I785,'Component List'!O$2:P$30,2,FALSE)</f>
        <v>#N/A</v>
      </c>
      <c r="Y785" s="77" t="e">
        <f>VLOOKUP(J785,'Component List'!Q$2:R$30,2,FALSE)</f>
        <v>#N/A</v>
      </c>
      <c r="Z785" s="77" t="e">
        <f>VLOOKUP(K785,'Component List'!S$2:T$30,2,FALSE)</f>
        <v>#N/A</v>
      </c>
      <c r="AA785" s="77" t="e">
        <f>VLOOKUP(L785,'Component List'!U$2:V$30,2,FALSE)</f>
        <v>#N/A</v>
      </c>
      <c r="AB785" s="77" t="e">
        <f>VLOOKUP(M785,'Component List'!AA$2:AB$30,2,FALSE)</f>
        <v>#N/A</v>
      </c>
      <c r="AC785" s="77" t="e">
        <f>VLOOKUP(N785,'Component List'!Y$2:Z$30,2,FALSE)</f>
        <v>#N/A</v>
      </c>
      <c r="AD785" s="159" t="e">
        <f>VLOOKUP(O785,'Component List'!W$3:X$30,2,FALSE)</f>
        <v>#N/A</v>
      </c>
    </row>
    <row r="786" spans="1:30" ht="30" customHeight="1" x14ac:dyDescent="0.3">
      <c r="A786" s="231"/>
      <c r="B786" s="173"/>
      <c r="C786" s="78"/>
      <c r="D786" s="78"/>
      <c r="E786" s="79"/>
      <c r="F786" s="78"/>
      <c r="G786" s="78"/>
      <c r="H786" s="78"/>
      <c r="I786" s="78"/>
      <c r="J786" s="78"/>
      <c r="K786" s="110"/>
      <c r="L786" s="110"/>
      <c r="M786" s="78"/>
      <c r="N786" s="78"/>
      <c r="O786" s="117"/>
      <c r="P786" s="114" t="e">
        <f t="shared" si="11"/>
        <v>#N/A</v>
      </c>
      <c r="Q786" s="77" t="e">
        <f>VLOOKUP($B786,'Component List'!$A$2:$B$30,2,FALSE)</f>
        <v>#N/A</v>
      </c>
      <c r="R786" s="77" t="e">
        <f>VLOOKUP($C786,'Component List'!C$2:D$28,2,FALSE)</f>
        <v>#N/A</v>
      </c>
      <c r="S786" s="77" t="e">
        <f>VLOOKUP($D786,'Component List'!E$2:F$30,2,FALSE)</f>
        <v>#N/A</v>
      </c>
      <c r="T786" s="77" t="e">
        <f>VLOOKUP($E786,'Component List'!G$2:H$30,2,FALSE)</f>
        <v>#N/A</v>
      </c>
      <c r="U786" s="77" t="e">
        <f>VLOOKUP($F786,'Component List'!I$2:J$30,2,FALSE)</f>
        <v>#N/A</v>
      </c>
      <c r="V786" s="77" t="e">
        <f>VLOOKUP(G786,'Component List'!K$2:L$30,2,FALSE)</f>
        <v>#N/A</v>
      </c>
      <c r="W786" s="77" t="e">
        <f>VLOOKUP(H786,'Component List'!M$2:N$31,2,FALSE)</f>
        <v>#N/A</v>
      </c>
      <c r="X786" s="77" t="e">
        <f>VLOOKUP(I786,'Component List'!O$2:P$30,2,FALSE)</f>
        <v>#N/A</v>
      </c>
      <c r="Y786" s="77" t="e">
        <f>VLOOKUP(J786,'Component List'!Q$2:R$30,2,FALSE)</f>
        <v>#N/A</v>
      </c>
      <c r="Z786" s="77" t="e">
        <f>VLOOKUP(K786,'Component List'!S$2:T$30,2,FALSE)</f>
        <v>#N/A</v>
      </c>
      <c r="AA786" s="77" t="e">
        <f>VLOOKUP(L786,'Component List'!U$2:V$30,2,FALSE)</f>
        <v>#N/A</v>
      </c>
      <c r="AB786" s="77" t="e">
        <f>VLOOKUP(M786,'Component List'!AA$2:AB$30,2,FALSE)</f>
        <v>#N/A</v>
      </c>
      <c r="AC786" s="77" t="e">
        <f>VLOOKUP(N786,'Component List'!Y$2:Z$30,2,FALSE)</f>
        <v>#N/A</v>
      </c>
      <c r="AD786" s="159" t="e">
        <f>VLOOKUP(O786,'Component List'!W$3:X$30,2,FALSE)</f>
        <v>#N/A</v>
      </c>
    </row>
    <row r="787" spans="1:30" ht="30" customHeight="1" x14ac:dyDescent="0.3">
      <c r="A787" s="231"/>
      <c r="B787" s="173"/>
      <c r="C787" s="78"/>
      <c r="D787" s="78"/>
      <c r="E787" s="79"/>
      <c r="F787" s="78"/>
      <c r="G787" s="78"/>
      <c r="H787" s="78"/>
      <c r="I787" s="78"/>
      <c r="J787" s="78"/>
      <c r="K787" s="110"/>
      <c r="L787" s="110"/>
      <c r="M787" s="78"/>
      <c r="N787" s="78"/>
      <c r="O787" s="117"/>
      <c r="P787" s="114" t="e">
        <f t="shared" si="11"/>
        <v>#N/A</v>
      </c>
      <c r="Q787" s="77" t="e">
        <f>VLOOKUP($B787,'Component List'!$A$2:$B$30,2,FALSE)</f>
        <v>#N/A</v>
      </c>
      <c r="R787" s="77" t="e">
        <f>VLOOKUP($C787,'Component List'!C$2:D$28,2,FALSE)</f>
        <v>#N/A</v>
      </c>
      <c r="S787" s="77" t="e">
        <f>VLOOKUP($D787,'Component List'!E$2:F$30,2,FALSE)</f>
        <v>#N/A</v>
      </c>
      <c r="T787" s="77" t="e">
        <f>VLOOKUP($E787,'Component List'!G$2:H$30,2,FALSE)</f>
        <v>#N/A</v>
      </c>
      <c r="U787" s="77" t="e">
        <f>VLOOKUP($F787,'Component List'!I$2:J$30,2,FALSE)</f>
        <v>#N/A</v>
      </c>
      <c r="V787" s="77" t="e">
        <f>VLOOKUP(G787,'Component List'!K$2:L$30,2,FALSE)</f>
        <v>#N/A</v>
      </c>
      <c r="W787" s="77" t="e">
        <f>VLOOKUP(H787,'Component List'!M$2:N$31,2,FALSE)</f>
        <v>#N/A</v>
      </c>
      <c r="X787" s="77" t="e">
        <f>VLOOKUP(I787,'Component List'!O$2:P$30,2,FALSE)</f>
        <v>#N/A</v>
      </c>
      <c r="Y787" s="77" t="e">
        <f>VLOOKUP(J787,'Component List'!Q$2:R$30,2,FALSE)</f>
        <v>#N/A</v>
      </c>
      <c r="Z787" s="77" t="e">
        <f>VLOOKUP(K787,'Component List'!S$2:T$30,2,FALSE)</f>
        <v>#N/A</v>
      </c>
      <c r="AA787" s="77" t="e">
        <f>VLOOKUP(L787,'Component List'!U$2:V$30,2,FALSE)</f>
        <v>#N/A</v>
      </c>
      <c r="AB787" s="77" t="e">
        <f>VLOOKUP(M787,'Component List'!AA$2:AB$30,2,FALSE)</f>
        <v>#N/A</v>
      </c>
      <c r="AC787" s="77" t="e">
        <f>VLOOKUP(N787,'Component List'!Y$2:Z$30,2,FALSE)</f>
        <v>#N/A</v>
      </c>
      <c r="AD787" s="159" t="e">
        <f>VLOOKUP(O787,'Component List'!W$3:X$30,2,FALSE)</f>
        <v>#N/A</v>
      </c>
    </row>
    <row r="788" spans="1:30" ht="30" customHeight="1" x14ac:dyDescent="0.3">
      <c r="A788" s="231"/>
      <c r="B788" s="173"/>
      <c r="C788" s="78"/>
      <c r="D788" s="78"/>
      <c r="E788" s="79"/>
      <c r="F788" s="78"/>
      <c r="G788" s="78"/>
      <c r="H788" s="78"/>
      <c r="I788" s="78"/>
      <c r="J788" s="78"/>
      <c r="K788" s="110"/>
      <c r="L788" s="110"/>
      <c r="M788" s="78"/>
      <c r="N788" s="78"/>
      <c r="O788" s="117"/>
      <c r="P788" s="114" t="e">
        <f t="shared" si="11"/>
        <v>#N/A</v>
      </c>
      <c r="Q788" s="77" t="e">
        <f>VLOOKUP($B788,'Component List'!$A$2:$B$30,2,FALSE)</f>
        <v>#N/A</v>
      </c>
      <c r="R788" s="77" t="e">
        <f>VLOOKUP($C788,'Component List'!C$2:D$28,2,FALSE)</f>
        <v>#N/A</v>
      </c>
      <c r="S788" s="77" t="e">
        <f>VLOOKUP($D788,'Component List'!E$2:F$30,2,FALSE)</f>
        <v>#N/A</v>
      </c>
      <c r="T788" s="77" t="e">
        <f>VLOOKUP($E788,'Component List'!G$2:H$30,2,FALSE)</f>
        <v>#N/A</v>
      </c>
      <c r="U788" s="77" t="e">
        <f>VLOOKUP($F788,'Component List'!I$2:J$30,2,FALSE)</f>
        <v>#N/A</v>
      </c>
      <c r="V788" s="77" t="e">
        <f>VLOOKUP(G788,'Component List'!K$2:L$30,2,FALSE)</f>
        <v>#N/A</v>
      </c>
      <c r="W788" s="77" t="e">
        <f>VLOOKUP(H788,'Component List'!M$2:N$31,2,FALSE)</f>
        <v>#N/A</v>
      </c>
      <c r="X788" s="77" t="e">
        <f>VLOOKUP(I788,'Component List'!O$2:P$30,2,FALSE)</f>
        <v>#N/A</v>
      </c>
      <c r="Y788" s="77" t="e">
        <f>VLOOKUP(J788,'Component List'!Q$2:R$30,2,FALSE)</f>
        <v>#N/A</v>
      </c>
      <c r="Z788" s="77" t="e">
        <f>VLOOKUP(K788,'Component List'!S$2:T$30,2,FALSE)</f>
        <v>#N/A</v>
      </c>
      <c r="AA788" s="77" t="e">
        <f>VLOOKUP(L788,'Component List'!U$2:V$30,2,FALSE)</f>
        <v>#N/A</v>
      </c>
      <c r="AB788" s="77" t="e">
        <f>VLOOKUP(M788,'Component List'!AA$2:AB$30,2,FALSE)</f>
        <v>#N/A</v>
      </c>
      <c r="AC788" s="77" t="e">
        <f>VLOOKUP(N788,'Component List'!Y$2:Z$30,2,FALSE)</f>
        <v>#N/A</v>
      </c>
      <c r="AD788" s="159" t="e">
        <f>VLOOKUP(O788,'Component List'!W$3:X$30,2,FALSE)</f>
        <v>#N/A</v>
      </c>
    </row>
    <row r="789" spans="1:30" ht="30" customHeight="1" x14ac:dyDescent="0.3">
      <c r="A789" s="231"/>
      <c r="B789" s="173"/>
      <c r="C789" s="78"/>
      <c r="D789" s="78"/>
      <c r="E789" s="79"/>
      <c r="F789" s="78"/>
      <c r="G789" s="78"/>
      <c r="H789" s="78"/>
      <c r="I789" s="78"/>
      <c r="J789" s="78"/>
      <c r="K789" s="110"/>
      <c r="L789" s="110"/>
      <c r="M789" s="78"/>
      <c r="N789" s="78"/>
      <c r="O789" s="117"/>
      <c r="P789" s="114" t="e">
        <f t="shared" si="11"/>
        <v>#N/A</v>
      </c>
      <c r="Q789" s="77" t="e">
        <f>VLOOKUP($B789,'Component List'!$A$2:$B$30,2,FALSE)</f>
        <v>#N/A</v>
      </c>
      <c r="R789" s="77" t="e">
        <f>VLOOKUP($C789,'Component List'!C$2:D$28,2,FALSE)</f>
        <v>#N/A</v>
      </c>
      <c r="S789" s="77" t="e">
        <f>VLOOKUP($D789,'Component List'!E$2:F$30,2,FALSE)</f>
        <v>#N/A</v>
      </c>
      <c r="T789" s="77" t="e">
        <f>VLOOKUP($E789,'Component List'!G$2:H$30,2,FALSE)</f>
        <v>#N/A</v>
      </c>
      <c r="U789" s="77" t="e">
        <f>VLOOKUP($F789,'Component List'!I$2:J$30,2,FALSE)</f>
        <v>#N/A</v>
      </c>
      <c r="V789" s="77" t="e">
        <f>VLOOKUP(G789,'Component List'!K$2:L$30,2,FALSE)</f>
        <v>#N/A</v>
      </c>
      <c r="W789" s="77" t="e">
        <f>VLOOKUP(H789,'Component List'!M$2:N$31,2,FALSE)</f>
        <v>#N/A</v>
      </c>
      <c r="X789" s="77" t="e">
        <f>VLOOKUP(I789,'Component List'!O$2:P$30,2,FALSE)</f>
        <v>#N/A</v>
      </c>
      <c r="Y789" s="77" t="e">
        <f>VLOOKUP(J789,'Component List'!Q$2:R$30,2,FALSE)</f>
        <v>#N/A</v>
      </c>
      <c r="Z789" s="77" t="e">
        <f>VLOOKUP(K789,'Component List'!S$2:T$30,2,FALSE)</f>
        <v>#N/A</v>
      </c>
      <c r="AA789" s="77" t="e">
        <f>VLOOKUP(L789,'Component List'!U$2:V$30,2,FALSE)</f>
        <v>#N/A</v>
      </c>
      <c r="AB789" s="77" t="e">
        <f>VLOOKUP(M789,'Component List'!AA$2:AB$30,2,FALSE)</f>
        <v>#N/A</v>
      </c>
      <c r="AC789" s="77" t="e">
        <f>VLOOKUP(N789,'Component List'!Y$2:Z$30,2,FALSE)</f>
        <v>#N/A</v>
      </c>
      <c r="AD789" s="159" t="e">
        <f>VLOOKUP(O789,'Component List'!W$3:X$30,2,FALSE)</f>
        <v>#N/A</v>
      </c>
    </row>
    <row r="790" spans="1:30" ht="30" customHeight="1" x14ac:dyDescent="0.3">
      <c r="A790" s="231"/>
      <c r="B790" s="173"/>
      <c r="C790" s="78"/>
      <c r="D790" s="78"/>
      <c r="E790" s="79"/>
      <c r="F790" s="78"/>
      <c r="G790" s="78"/>
      <c r="H790" s="78"/>
      <c r="I790" s="78"/>
      <c r="J790" s="78"/>
      <c r="K790" s="110"/>
      <c r="L790" s="110"/>
      <c r="M790" s="78"/>
      <c r="N790" s="78"/>
      <c r="O790" s="117"/>
      <c r="P790" s="114" t="e">
        <f t="shared" si="11"/>
        <v>#N/A</v>
      </c>
      <c r="Q790" s="77" t="e">
        <f>VLOOKUP($B790,'Component List'!$A$2:$B$30,2,FALSE)</f>
        <v>#N/A</v>
      </c>
      <c r="R790" s="77" t="e">
        <f>VLOOKUP($C790,'Component List'!C$2:D$28,2,FALSE)</f>
        <v>#N/A</v>
      </c>
      <c r="S790" s="77" t="e">
        <f>VLOOKUP($D790,'Component List'!E$2:F$30,2,FALSE)</f>
        <v>#N/A</v>
      </c>
      <c r="T790" s="77" t="e">
        <f>VLOOKUP($E790,'Component List'!G$2:H$30,2,FALSE)</f>
        <v>#N/A</v>
      </c>
      <c r="U790" s="77" t="e">
        <f>VLOOKUP($F790,'Component List'!I$2:J$30,2,FALSE)</f>
        <v>#N/A</v>
      </c>
      <c r="V790" s="77" t="e">
        <f>VLOOKUP(G790,'Component List'!K$2:L$30,2,FALSE)</f>
        <v>#N/A</v>
      </c>
      <c r="W790" s="77" t="e">
        <f>VLOOKUP(H790,'Component List'!M$2:N$31,2,FALSE)</f>
        <v>#N/A</v>
      </c>
      <c r="X790" s="77" t="e">
        <f>VLOOKUP(I790,'Component List'!O$2:P$30,2,FALSE)</f>
        <v>#N/A</v>
      </c>
      <c r="Y790" s="77" t="e">
        <f>VLOOKUP(J790,'Component List'!Q$2:R$30,2,FALSE)</f>
        <v>#N/A</v>
      </c>
      <c r="Z790" s="77" t="e">
        <f>VLOOKUP(K790,'Component List'!S$2:T$30,2,FALSE)</f>
        <v>#N/A</v>
      </c>
      <c r="AA790" s="77" t="e">
        <f>VLOOKUP(L790,'Component List'!U$2:V$30,2,FALSE)</f>
        <v>#N/A</v>
      </c>
      <c r="AB790" s="77" t="e">
        <f>VLOOKUP(M790,'Component List'!AA$2:AB$30,2,FALSE)</f>
        <v>#N/A</v>
      </c>
      <c r="AC790" s="77" t="e">
        <f>VLOOKUP(N790,'Component List'!Y$2:Z$30,2,FALSE)</f>
        <v>#N/A</v>
      </c>
      <c r="AD790" s="159" t="e">
        <f>VLOOKUP(O790,'Component List'!W$3:X$30,2,FALSE)</f>
        <v>#N/A</v>
      </c>
    </row>
    <row r="791" spans="1:30" ht="30" customHeight="1" x14ac:dyDescent="0.3">
      <c r="A791" s="231"/>
      <c r="B791" s="173"/>
      <c r="C791" s="78"/>
      <c r="D791" s="78"/>
      <c r="E791" s="79"/>
      <c r="F791" s="78"/>
      <c r="G791" s="78"/>
      <c r="H791" s="78"/>
      <c r="I791" s="78"/>
      <c r="J791" s="78"/>
      <c r="K791" s="110"/>
      <c r="L791" s="110"/>
      <c r="M791" s="78"/>
      <c r="N791" s="78"/>
      <c r="O791" s="117"/>
      <c r="P791" s="114" t="e">
        <f t="shared" si="11"/>
        <v>#N/A</v>
      </c>
      <c r="Q791" s="77" t="e">
        <f>VLOOKUP($B791,'Component List'!$A$2:$B$30,2,FALSE)</f>
        <v>#N/A</v>
      </c>
      <c r="R791" s="77" t="e">
        <f>VLOOKUP($C791,'Component List'!C$2:D$28,2,FALSE)</f>
        <v>#N/A</v>
      </c>
      <c r="S791" s="77" t="e">
        <f>VLOOKUP($D791,'Component List'!E$2:F$30,2,FALSE)</f>
        <v>#N/A</v>
      </c>
      <c r="T791" s="77" t="e">
        <f>VLOOKUP($E791,'Component List'!G$2:H$30,2,FALSE)</f>
        <v>#N/A</v>
      </c>
      <c r="U791" s="77" t="e">
        <f>VLOOKUP($F791,'Component List'!I$2:J$30,2,FALSE)</f>
        <v>#N/A</v>
      </c>
      <c r="V791" s="77" t="e">
        <f>VLOOKUP(G791,'Component List'!K$2:L$30,2,FALSE)</f>
        <v>#N/A</v>
      </c>
      <c r="W791" s="77" t="e">
        <f>VLOOKUP(H791,'Component List'!M$2:N$31,2,FALSE)</f>
        <v>#N/A</v>
      </c>
      <c r="X791" s="77" t="e">
        <f>VLOOKUP(I791,'Component List'!O$2:P$30,2,FALSE)</f>
        <v>#N/A</v>
      </c>
      <c r="Y791" s="77" t="e">
        <f>VLOOKUP(J791,'Component List'!Q$2:R$30,2,FALSE)</f>
        <v>#N/A</v>
      </c>
      <c r="Z791" s="77" t="e">
        <f>VLOOKUP(K791,'Component List'!S$2:T$30,2,FALSE)</f>
        <v>#N/A</v>
      </c>
      <c r="AA791" s="77" t="e">
        <f>VLOOKUP(L791,'Component List'!U$2:V$30,2,FALSE)</f>
        <v>#N/A</v>
      </c>
      <c r="AB791" s="77" t="e">
        <f>VLOOKUP(M791,'Component List'!AA$2:AB$30,2,FALSE)</f>
        <v>#N/A</v>
      </c>
      <c r="AC791" s="77" t="e">
        <f>VLOOKUP(N791,'Component List'!Y$2:Z$30,2,FALSE)</f>
        <v>#N/A</v>
      </c>
      <c r="AD791" s="159" t="e">
        <f>VLOOKUP(O791,'Component List'!W$3:X$30,2,FALSE)</f>
        <v>#N/A</v>
      </c>
    </row>
    <row r="792" spans="1:30" ht="30" customHeight="1" x14ac:dyDescent="0.3">
      <c r="A792" s="231"/>
      <c r="B792" s="173"/>
      <c r="C792" s="78"/>
      <c r="D792" s="78"/>
      <c r="E792" s="79"/>
      <c r="F792" s="78"/>
      <c r="G792" s="78"/>
      <c r="H792" s="78"/>
      <c r="I792" s="78"/>
      <c r="J792" s="78"/>
      <c r="K792" s="110"/>
      <c r="L792" s="110"/>
      <c r="M792" s="78"/>
      <c r="N792" s="78"/>
      <c r="O792" s="117"/>
      <c r="P792" s="114" t="e">
        <f t="shared" si="11"/>
        <v>#N/A</v>
      </c>
      <c r="Q792" s="77" t="e">
        <f>VLOOKUP($B792,'Component List'!$A$2:$B$30,2,FALSE)</f>
        <v>#N/A</v>
      </c>
      <c r="R792" s="77" t="e">
        <f>VLOOKUP($C792,'Component List'!C$2:D$28,2,FALSE)</f>
        <v>#N/A</v>
      </c>
      <c r="S792" s="77" t="e">
        <f>VLOOKUP($D792,'Component List'!E$2:F$30,2,FALSE)</f>
        <v>#N/A</v>
      </c>
      <c r="T792" s="77" t="e">
        <f>VLOOKUP($E792,'Component List'!G$2:H$30,2,FALSE)</f>
        <v>#N/A</v>
      </c>
      <c r="U792" s="77" t="e">
        <f>VLOOKUP($F792,'Component List'!I$2:J$30,2,FALSE)</f>
        <v>#N/A</v>
      </c>
      <c r="V792" s="77" t="e">
        <f>VLOOKUP(G792,'Component List'!K$2:L$30,2,FALSE)</f>
        <v>#N/A</v>
      </c>
      <c r="W792" s="77" t="e">
        <f>VLOOKUP(H792,'Component List'!M$2:N$31,2,FALSE)</f>
        <v>#N/A</v>
      </c>
      <c r="X792" s="77" t="e">
        <f>VLOOKUP(I792,'Component List'!O$2:P$30,2,FALSE)</f>
        <v>#N/A</v>
      </c>
      <c r="Y792" s="77" t="e">
        <f>VLOOKUP(J792,'Component List'!Q$2:R$30,2,FALSE)</f>
        <v>#N/A</v>
      </c>
      <c r="Z792" s="77" t="e">
        <f>VLOOKUP(K792,'Component List'!S$2:T$30,2,FALSE)</f>
        <v>#N/A</v>
      </c>
      <c r="AA792" s="77" t="e">
        <f>VLOOKUP(L792,'Component List'!U$2:V$30,2,FALSE)</f>
        <v>#N/A</v>
      </c>
      <c r="AB792" s="77" t="e">
        <f>VLOOKUP(M792,'Component List'!AA$2:AB$30,2,FALSE)</f>
        <v>#N/A</v>
      </c>
      <c r="AC792" s="77" t="e">
        <f>VLOOKUP(N792,'Component List'!Y$2:Z$30,2,FALSE)</f>
        <v>#N/A</v>
      </c>
      <c r="AD792" s="159" t="e">
        <f>VLOOKUP(O792,'Component List'!W$3:X$30,2,FALSE)</f>
        <v>#N/A</v>
      </c>
    </row>
    <row r="793" spans="1:30" ht="30" customHeight="1" x14ac:dyDescent="0.3">
      <c r="A793" s="231"/>
      <c r="B793" s="173"/>
      <c r="C793" s="78"/>
      <c r="D793" s="78"/>
      <c r="E793" s="79"/>
      <c r="F793" s="78"/>
      <c r="G793" s="78"/>
      <c r="H793" s="78"/>
      <c r="I793" s="78"/>
      <c r="J793" s="78"/>
      <c r="K793" s="110"/>
      <c r="L793" s="110"/>
      <c r="M793" s="78"/>
      <c r="N793" s="78"/>
      <c r="O793" s="117"/>
      <c r="P793" s="114" t="e">
        <f t="shared" si="11"/>
        <v>#N/A</v>
      </c>
      <c r="Q793" s="77" t="e">
        <f>VLOOKUP($B793,'Component List'!$A$2:$B$30,2,FALSE)</f>
        <v>#N/A</v>
      </c>
      <c r="R793" s="77" t="e">
        <f>VLOOKUP($C793,'Component List'!C$2:D$28,2,FALSE)</f>
        <v>#N/A</v>
      </c>
      <c r="S793" s="77" t="e">
        <f>VLOOKUP($D793,'Component List'!E$2:F$30,2,FALSE)</f>
        <v>#N/A</v>
      </c>
      <c r="T793" s="77" t="e">
        <f>VLOOKUP($E793,'Component List'!G$2:H$30,2,FALSE)</f>
        <v>#N/A</v>
      </c>
      <c r="U793" s="77" t="e">
        <f>VLOOKUP($F793,'Component List'!I$2:J$30,2,FALSE)</f>
        <v>#N/A</v>
      </c>
      <c r="V793" s="77" t="e">
        <f>VLOOKUP(G793,'Component List'!K$2:L$30,2,FALSE)</f>
        <v>#N/A</v>
      </c>
      <c r="W793" s="77" t="e">
        <f>VLOOKUP(H793,'Component List'!M$2:N$31,2,FALSE)</f>
        <v>#N/A</v>
      </c>
      <c r="X793" s="77" t="e">
        <f>VLOOKUP(I793,'Component List'!O$2:P$30,2,FALSE)</f>
        <v>#N/A</v>
      </c>
      <c r="Y793" s="77" t="e">
        <f>VLOOKUP(J793,'Component List'!Q$2:R$30,2,FALSE)</f>
        <v>#N/A</v>
      </c>
      <c r="Z793" s="77" t="e">
        <f>VLOOKUP(K793,'Component List'!S$2:T$30,2,FALSE)</f>
        <v>#N/A</v>
      </c>
      <c r="AA793" s="77" t="e">
        <f>VLOOKUP(L793,'Component List'!U$2:V$30,2,FALSE)</f>
        <v>#N/A</v>
      </c>
      <c r="AB793" s="77" t="e">
        <f>VLOOKUP(M793,'Component List'!AA$2:AB$30,2,FALSE)</f>
        <v>#N/A</v>
      </c>
      <c r="AC793" s="77" t="e">
        <f>VLOOKUP(N793,'Component List'!Y$2:Z$30,2,FALSE)</f>
        <v>#N/A</v>
      </c>
      <c r="AD793" s="159" t="e">
        <f>VLOOKUP(O793,'Component List'!W$3:X$30,2,FALSE)</f>
        <v>#N/A</v>
      </c>
    </row>
    <row r="794" spans="1:30" ht="30" customHeight="1" x14ac:dyDescent="0.3">
      <c r="A794" s="231"/>
      <c r="B794" s="173"/>
      <c r="C794" s="78"/>
      <c r="D794" s="78"/>
      <c r="E794" s="79"/>
      <c r="F794" s="78"/>
      <c r="G794" s="78"/>
      <c r="H794" s="78"/>
      <c r="I794" s="78"/>
      <c r="J794" s="78"/>
      <c r="K794" s="110"/>
      <c r="L794" s="110"/>
      <c r="M794" s="78"/>
      <c r="N794" s="78"/>
      <c r="O794" s="117"/>
      <c r="P794" s="114" t="e">
        <f t="shared" si="11"/>
        <v>#N/A</v>
      </c>
      <c r="Q794" s="77" t="e">
        <f>VLOOKUP($B794,'Component List'!$A$2:$B$30,2,FALSE)</f>
        <v>#N/A</v>
      </c>
      <c r="R794" s="77" t="e">
        <f>VLOOKUP($C794,'Component List'!C$2:D$28,2,FALSE)</f>
        <v>#N/A</v>
      </c>
      <c r="S794" s="77" t="e">
        <f>VLOOKUP($D794,'Component List'!E$2:F$30,2,FALSE)</f>
        <v>#N/A</v>
      </c>
      <c r="T794" s="77" t="e">
        <f>VLOOKUP($E794,'Component List'!G$2:H$30,2,FALSE)</f>
        <v>#N/A</v>
      </c>
      <c r="U794" s="77" t="e">
        <f>VLOOKUP($F794,'Component List'!I$2:J$30,2,FALSE)</f>
        <v>#N/A</v>
      </c>
      <c r="V794" s="77" t="e">
        <f>VLOOKUP(G794,'Component List'!K$2:L$30,2,FALSE)</f>
        <v>#N/A</v>
      </c>
      <c r="W794" s="77" t="e">
        <f>VLOOKUP(H794,'Component List'!M$2:N$31,2,FALSE)</f>
        <v>#N/A</v>
      </c>
      <c r="X794" s="77" t="e">
        <f>VLOOKUP(I794,'Component List'!O$2:P$30,2,FALSE)</f>
        <v>#N/A</v>
      </c>
      <c r="Y794" s="77" t="e">
        <f>VLOOKUP(J794,'Component List'!Q$2:R$30,2,FALSE)</f>
        <v>#N/A</v>
      </c>
      <c r="Z794" s="77" t="e">
        <f>VLOOKUP(K794,'Component List'!S$2:T$30,2,FALSE)</f>
        <v>#N/A</v>
      </c>
      <c r="AA794" s="77" t="e">
        <f>VLOOKUP(L794,'Component List'!U$2:V$30,2,FALSE)</f>
        <v>#N/A</v>
      </c>
      <c r="AB794" s="77" t="e">
        <f>VLOOKUP(M794,'Component List'!AA$2:AB$30,2,FALSE)</f>
        <v>#N/A</v>
      </c>
      <c r="AC794" s="77" t="e">
        <f>VLOOKUP(N794,'Component List'!Y$2:Z$30,2,FALSE)</f>
        <v>#N/A</v>
      </c>
      <c r="AD794" s="159" t="e">
        <f>VLOOKUP(O794,'Component List'!W$3:X$30,2,FALSE)</f>
        <v>#N/A</v>
      </c>
    </row>
    <row r="795" spans="1:30" ht="30" customHeight="1" x14ac:dyDescent="0.3">
      <c r="A795" s="231"/>
      <c r="B795" s="173"/>
      <c r="C795" s="78"/>
      <c r="D795" s="78"/>
      <c r="E795" s="79"/>
      <c r="F795" s="78"/>
      <c r="G795" s="78"/>
      <c r="H795" s="78"/>
      <c r="I795" s="78"/>
      <c r="J795" s="78"/>
      <c r="K795" s="110"/>
      <c r="L795" s="110"/>
      <c r="M795" s="78"/>
      <c r="N795" s="78"/>
      <c r="O795" s="117"/>
      <c r="P795" s="114" t="e">
        <f t="shared" si="11"/>
        <v>#N/A</v>
      </c>
      <c r="Q795" s="77" t="e">
        <f>VLOOKUP($B795,'Component List'!$A$2:$B$30,2,FALSE)</f>
        <v>#N/A</v>
      </c>
      <c r="R795" s="77" t="e">
        <f>VLOOKUP($C795,'Component List'!C$2:D$28,2,FALSE)</f>
        <v>#N/A</v>
      </c>
      <c r="S795" s="77" t="e">
        <f>VLOOKUP($D795,'Component List'!E$2:F$30,2,FALSE)</f>
        <v>#N/A</v>
      </c>
      <c r="T795" s="77" t="e">
        <f>VLOOKUP($E795,'Component List'!G$2:H$30,2,FALSE)</f>
        <v>#N/A</v>
      </c>
      <c r="U795" s="77" t="e">
        <f>VLOOKUP($F795,'Component List'!I$2:J$30,2,FALSE)</f>
        <v>#N/A</v>
      </c>
      <c r="V795" s="77" t="e">
        <f>VLOOKUP(G795,'Component List'!K$2:L$30,2,FALSE)</f>
        <v>#N/A</v>
      </c>
      <c r="W795" s="77" t="e">
        <f>VLOOKUP(H795,'Component List'!M$2:N$31,2,FALSE)</f>
        <v>#N/A</v>
      </c>
      <c r="X795" s="77" t="e">
        <f>VLOOKUP(I795,'Component List'!O$2:P$30,2,FALSE)</f>
        <v>#N/A</v>
      </c>
      <c r="Y795" s="77" t="e">
        <f>VLOOKUP(J795,'Component List'!Q$2:R$30,2,FALSE)</f>
        <v>#N/A</v>
      </c>
      <c r="Z795" s="77" t="e">
        <f>VLOOKUP(K795,'Component List'!S$2:T$30,2,FALSE)</f>
        <v>#N/A</v>
      </c>
      <c r="AA795" s="77" t="e">
        <f>VLOOKUP(L795,'Component List'!U$2:V$30,2,FALSE)</f>
        <v>#N/A</v>
      </c>
      <c r="AB795" s="77" t="e">
        <f>VLOOKUP(M795,'Component List'!AA$2:AB$30,2,FALSE)</f>
        <v>#N/A</v>
      </c>
      <c r="AC795" s="77" t="e">
        <f>VLOOKUP(N795,'Component List'!Y$2:Z$30,2,FALSE)</f>
        <v>#N/A</v>
      </c>
      <c r="AD795" s="159" t="e">
        <f>VLOOKUP(O795,'Component List'!W$3:X$30,2,FALSE)</f>
        <v>#N/A</v>
      </c>
    </row>
    <row r="796" spans="1:30" ht="30" customHeight="1" x14ac:dyDescent="0.3">
      <c r="A796" s="231"/>
      <c r="B796" s="173"/>
      <c r="C796" s="78"/>
      <c r="D796" s="78"/>
      <c r="E796" s="79"/>
      <c r="F796" s="78"/>
      <c r="G796" s="78"/>
      <c r="H796" s="78"/>
      <c r="I796" s="78"/>
      <c r="J796" s="78"/>
      <c r="K796" s="110"/>
      <c r="L796" s="110"/>
      <c r="M796" s="78"/>
      <c r="N796" s="78"/>
      <c r="O796" s="117"/>
      <c r="P796" s="114" t="e">
        <f t="shared" si="11"/>
        <v>#N/A</v>
      </c>
      <c r="Q796" s="77" t="e">
        <f>VLOOKUP($B796,'Component List'!$A$2:$B$30,2,FALSE)</f>
        <v>#N/A</v>
      </c>
      <c r="R796" s="77" t="e">
        <f>VLOOKUP($C796,'Component List'!C$2:D$28,2,FALSE)</f>
        <v>#N/A</v>
      </c>
      <c r="S796" s="77" t="e">
        <f>VLOOKUP($D796,'Component List'!E$2:F$30,2,FALSE)</f>
        <v>#N/A</v>
      </c>
      <c r="T796" s="77" t="e">
        <f>VLOOKUP($E796,'Component List'!G$2:H$30,2,FALSE)</f>
        <v>#N/A</v>
      </c>
      <c r="U796" s="77" t="e">
        <f>VLOOKUP($F796,'Component List'!I$2:J$30,2,FALSE)</f>
        <v>#N/A</v>
      </c>
      <c r="V796" s="77" t="e">
        <f>VLOOKUP(G796,'Component List'!K$2:L$30,2,FALSE)</f>
        <v>#N/A</v>
      </c>
      <c r="W796" s="77" t="e">
        <f>VLOOKUP(H796,'Component List'!M$2:N$31,2,FALSE)</f>
        <v>#N/A</v>
      </c>
      <c r="X796" s="77" t="e">
        <f>VLOOKUP(I796,'Component List'!O$2:P$30,2,FALSE)</f>
        <v>#N/A</v>
      </c>
      <c r="Y796" s="77" t="e">
        <f>VLOOKUP(J796,'Component List'!Q$2:R$30,2,FALSE)</f>
        <v>#N/A</v>
      </c>
      <c r="Z796" s="77" t="e">
        <f>VLOOKUP(K796,'Component List'!S$2:T$30,2,FALSE)</f>
        <v>#N/A</v>
      </c>
      <c r="AA796" s="77" t="e">
        <f>VLOOKUP(L796,'Component List'!U$2:V$30,2,FALSE)</f>
        <v>#N/A</v>
      </c>
      <c r="AB796" s="77" t="e">
        <f>VLOOKUP(M796,'Component List'!AA$2:AB$30,2,FALSE)</f>
        <v>#N/A</v>
      </c>
      <c r="AC796" s="77" t="e">
        <f>VLOOKUP(N796,'Component List'!Y$2:Z$30,2,FALSE)</f>
        <v>#N/A</v>
      </c>
      <c r="AD796" s="159" t="e">
        <f>VLOOKUP(O796,'Component List'!W$3:X$30,2,FALSE)</f>
        <v>#N/A</v>
      </c>
    </row>
    <row r="797" spans="1:30" ht="30" customHeight="1" x14ac:dyDescent="0.3">
      <c r="A797" s="231"/>
      <c r="B797" s="173"/>
      <c r="C797" s="78"/>
      <c r="D797" s="78"/>
      <c r="E797" s="79"/>
      <c r="F797" s="78"/>
      <c r="G797" s="78"/>
      <c r="H797" s="78"/>
      <c r="I797" s="78"/>
      <c r="J797" s="78"/>
      <c r="K797" s="110"/>
      <c r="L797" s="110"/>
      <c r="M797" s="78"/>
      <c r="N797" s="78"/>
      <c r="O797" s="117"/>
      <c r="P797" s="114" t="e">
        <f t="shared" si="11"/>
        <v>#N/A</v>
      </c>
      <c r="Q797" s="77" t="e">
        <f>VLOOKUP($B797,'Component List'!$A$2:$B$30,2,FALSE)</f>
        <v>#N/A</v>
      </c>
      <c r="R797" s="77" t="e">
        <f>VLOOKUP($C797,'Component List'!C$2:D$28,2,FALSE)</f>
        <v>#N/A</v>
      </c>
      <c r="S797" s="77" t="e">
        <f>VLOOKUP($D797,'Component List'!E$2:F$30,2,FALSE)</f>
        <v>#N/A</v>
      </c>
      <c r="T797" s="77" t="e">
        <f>VLOOKUP($E797,'Component List'!G$2:H$30,2,FALSE)</f>
        <v>#N/A</v>
      </c>
      <c r="U797" s="77" t="e">
        <f>VLOOKUP($F797,'Component List'!I$2:J$30,2,FALSE)</f>
        <v>#N/A</v>
      </c>
      <c r="V797" s="77" t="e">
        <f>VLOOKUP(G797,'Component List'!K$2:L$30,2,FALSE)</f>
        <v>#N/A</v>
      </c>
      <c r="W797" s="77" t="e">
        <f>VLOOKUP(H797,'Component List'!M$2:N$31,2,FALSE)</f>
        <v>#N/A</v>
      </c>
      <c r="X797" s="77" t="e">
        <f>VLOOKUP(I797,'Component List'!O$2:P$30,2,FALSE)</f>
        <v>#N/A</v>
      </c>
      <c r="Y797" s="77" t="e">
        <f>VLOOKUP(J797,'Component List'!Q$2:R$30,2,FALSE)</f>
        <v>#N/A</v>
      </c>
      <c r="Z797" s="77" t="e">
        <f>VLOOKUP(K797,'Component List'!S$2:T$30,2,FALSE)</f>
        <v>#N/A</v>
      </c>
      <c r="AA797" s="77" t="e">
        <f>VLOOKUP(L797,'Component List'!U$2:V$30,2,FALSE)</f>
        <v>#N/A</v>
      </c>
      <c r="AB797" s="77" t="e">
        <f>VLOOKUP(M797,'Component List'!AA$2:AB$30,2,FALSE)</f>
        <v>#N/A</v>
      </c>
      <c r="AC797" s="77" t="e">
        <f>VLOOKUP(N797,'Component List'!Y$2:Z$30,2,FALSE)</f>
        <v>#N/A</v>
      </c>
      <c r="AD797" s="159" t="e">
        <f>VLOOKUP(O797,'Component List'!W$3:X$30,2,FALSE)</f>
        <v>#N/A</v>
      </c>
    </row>
    <row r="798" spans="1:30" ht="30" customHeight="1" x14ac:dyDescent="0.3">
      <c r="A798" s="231"/>
      <c r="B798" s="173"/>
      <c r="C798" s="78"/>
      <c r="D798" s="78"/>
      <c r="E798" s="79"/>
      <c r="F798" s="78"/>
      <c r="G798" s="78"/>
      <c r="H798" s="78"/>
      <c r="I798" s="78"/>
      <c r="J798" s="78"/>
      <c r="K798" s="110"/>
      <c r="L798" s="110"/>
      <c r="M798" s="78"/>
      <c r="N798" s="78"/>
      <c r="O798" s="117"/>
      <c r="P798" s="114" t="e">
        <f t="shared" si="11"/>
        <v>#N/A</v>
      </c>
      <c r="Q798" s="77" t="e">
        <f>VLOOKUP($B798,'Component List'!$A$2:$B$30,2,FALSE)</f>
        <v>#N/A</v>
      </c>
      <c r="R798" s="77" t="e">
        <f>VLOOKUP($C798,'Component List'!C$2:D$28,2,FALSE)</f>
        <v>#N/A</v>
      </c>
      <c r="S798" s="77" t="e">
        <f>VLOOKUP($D798,'Component List'!E$2:F$30,2,FALSE)</f>
        <v>#N/A</v>
      </c>
      <c r="T798" s="77" t="e">
        <f>VLOOKUP($E798,'Component List'!G$2:H$30,2,FALSE)</f>
        <v>#N/A</v>
      </c>
      <c r="U798" s="77" t="e">
        <f>VLOOKUP($F798,'Component List'!I$2:J$30,2,FALSE)</f>
        <v>#N/A</v>
      </c>
      <c r="V798" s="77" t="e">
        <f>VLOOKUP(G798,'Component List'!K$2:L$30,2,FALSE)</f>
        <v>#N/A</v>
      </c>
      <c r="W798" s="77" t="e">
        <f>VLOOKUP(H798,'Component List'!M$2:N$31,2,FALSE)</f>
        <v>#N/A</v>
      </c>
      <c r="X798" s="77" t="e">
        <f>VLOOKUP(I798,'Component List'!O$2:P$30,2,FALSE)</f>
        <v>#N/A</v>
      </c>
      <c r="Y798" s="77" t="e">
        <f>VLOOKUP(J798,'Component List'!Q$2:R$30,2,FALSE)</f>
        <v>#N/A</v>
      </c>
      <c r="Z798" s="77" t="e">
        <f>VLOOKUP(K798,'Component List'!S$2:T$30,2,FALSE)</f>
        <v>#N/A</v>
      </c>
      <c r="AA798" s="77" t="e">
        <f>VLOOKUP(L798,'Component List'!U$2:V$30,2,FALSE)</f>
        <v>#N/A</v>
      </c>
      <c r="AB798" s="77" t="e">
        <f>VLOOKUP(M798,'Component List'!AA$2:AB$30,2,FALSE)</f>
        <v>#N/A</v>
      </c>
      <c r="AC798" s="77" t="e">
        <f>VLOOKUP(N798,'Component List'!Y$2:Z$30,2,FALSE)</f>
        <v>#N/A</v>
      </c>
      <c r="AD798" s="159" t="e">
        <f>VLOOKUP(O798,'Component List'!W$3:X$30,2,FALSE)</f>
        <v>#N/A</v>
      </c>
    </row>
    <row r="799" spans="1:30" ht="30" customHeight="1" x14ac:dyDescent="0.3">
      <c r="A799" s="231"/>
      <c r="B799" s="173"/>
      <c r="C799" s="78"/>
      <c r="D799" s="78"/>
      <c r="E799" s="79"/>
      <c r="F799" s="78"/>
      <c r="G799" s="78"/>
      <c r="H799" s="78"/>
      <c r="I799" s="78"/>
      <c r="J799" s="78"/>
      <c r="K799" s="110"/>
      <c r="L799" s="110"/>
      <c r="M799" s="78"/>
      <c r="N799" s="78"/>
      <c r="O799" s="117"/>
      <c r="P799" s="114" t="e">
        <f t="shared" si="11"/>
        <v>#N/A</v>
      </c>
      <c r="Q799" s="77" t="e">
        <f>VLOOKUP($B799,'Component List'!$A$2:$B$30,2,FALSE)</f>
        <v>#N/A</v>
      </c>
      <c r="R799" s="77" t="e">
        <f>VLOOKUP($C799,'Component List'!C$2:D$28,2,FALSE)</f>
        <v>#N/A</v>
      </c>
      <c r="S799" s="77" t="e">
        <f>VLOOKUP($D799,'Component List'!E$2:F$30,2,FALSE)</f>
        <v>#N/A</v>
      </c>
      <c r="T799" s="77" t="e">
        <f>VLOOKUP($E799,'Component List'!G$2:H$30,2,FALSE)</f>
        <v>#N/A</v>
      </c>
      <c r="U799" s="77" t="e">
        <f>VLOOKUP($F799,'Component List'!I$2:J$30,2,FALSE)</f>
        <v>#N/A</v>
      </c>
      <c r="V799" s="77" t="e">
        <f>VLOOKUP(G799,'Component List'!K$2:L$30,2,FALSE)</f>
        <v>#N/A</v>
      </c>
      <c r="W799" s="77" t="e">
        <f>VLOOKUP(H799,'Component List'!M$2:N$31,2,FALSE)</f>
        <v>#N/A</v>
      </c>
      <c r="X799" s="77" t="e">
        <f>VLOOKUP(I799,'Component List'!O$2:P$30,2,FALSE)</f>
        <v>#N/A</v>
      </c>
      <c r="Y799" s="77" t="e">
        <f>VLOOKUP(J799,'Component List'!Q$2:R$30,2,FALSE)</f>
        <v>#N/A</v>
      </c>
      <c r="Z799" s="77" t="e">
        <f>VLOOKUP(K799,'Component List'!S$2:T$30,2,FALSE)</f>
        <v>#N/A</v>
      </c>
      <c r="AA799" s="77" t="e">
        <f>VLOOKUP(L799,'Component List'!U$2:V$30,2,FALSE)</f>
        <v>#N/A</v>
      </c>
      <c r="AB799" s="77" t="e">
        <f>VLOOKUP(M799,'Component List'!AA$2:AB$30,2,FALSE)</f>
        <v>#N/A</v>
      </c>
      <c r="AC799" s="77" t="e">
        <f>VLOOKUP(N799,'Component List'!Y$2:Z$30,2,FALSE)</f>
        <v>#N/A</v>
      </c>
      <c r="AD799" s="159" t="e">
        <f>VLOOKUP(O799,'Component List'!W$3:X$30,2,FALSE)</f>
        <v>#N/A</v>
      </c>
    </row>
    <row r="800" spans="1:30" ht="30" customHeight="1" x14ac:dyDescent="0.3">
      <c r="A800" s="231"/>
      <c r="B800" s="173"/>
      <c r="C800" s="78"/>
      <c r="D800" s="78"/>
      <c r="E800" s="79"/>
      <c r="F800" s="78"/>
      <c r="G800" s="78"/>
      <c r="H800" s="78"/>
      <c r="I800" s="78"/>
      <c r="J800" s="78"/>
      <c r="K800" s="110"/>
      <c r="L800" s="110"/>
      <c r="M800" s="78"/>
      <c r="N800" s="78"/>
      <c r="O800" s="117"/>
      <c r="P800" s="114" t="e">
        <f t="shared" si="11"/>
        <v>#N/A</v>
      </c>
      <c r="Q800" s="77" t="e">
        <f>VLOOKUP($B800,'Component List'!$A$2:$B$30,2,FALSE)</f>
        <v>#N/A</v>
      </c>
      <c r="R800" s="77" t="e">
        <f>VLOOKUP($C800,'Component List'!C$2:D$28,2,FALSE)</f>
        <v>#N/A</v>
      </c>
      <c r="S800" s="77" t="e">
        <f>VLOOKUP($D800,'Component List'!E$2:F$30,2,FALSE)</f>
        <v>#N/A</v>
      </c>
      <c r="T800" s="77" t="e">
        <f>VLOOKUP($E800,'Component List'!G$2:H$30,2,FALSE)</f>
        <v>#N/A</v>
      </c>
      <c r="U800" s="77" t="e">
        <f>VLOOKUP($F800,'Component List'!I$2:J$30,2,FALSE)</f>
        <v>#N/A</v>
      </c>
      <c r="V800" s="77" t="e">
        <f>VLOOKUP(G800,'Component List'!K$2:L$30,2,FALSE)</f>
        <v>#N/A</v>
      </c>
      <c r="W800" s="77" t="e">
        <f>VLOOKUP(H800,'Component List'!M$2:N$31,2,FALSE)</f>
        <v>#N/A</v>
      </c>
      <c r="X800" s="77" t="e">
        <f>VLOOKUP(I800,'Component List'!O$2:P$30,2,FALSE)</f>
        <v>#N/A</v>
      </c>
      <c r="Y800" s="77" t="e">
        <f>VLOOKUP(J800,'Component List'!Q$2:R$30,2,FALSE)</f>
        <v>#N/A</v>
      </c>
      <c r="Z800" s="77" t="e">
        <f>VLOOKUP(K800,'Component List'!S$2:T$30,2,FALSE)</f>
        <v>#N/A</v>
      </c>
      <c r="AA800" s="77" t="e">
        <f>VLOOKUP(L800,'Component List'!U$2:V$30,2,FALSE)</f>
        <v>#N/A</v>
      </c>
      <c r="AB800" s="77" t="e">
        <f>VLOOKUP(M800,'Component List'!AA$2:AB$30,2,FALSE)</f>
        <v>#N/A</v>
      </c>
      <c r="AC800" s="77" t="e">
        <f>VLOOKUP(N800,'Component List'!Y$2:Z$30,2,FALSE)</f>
        <v>#N/A</v>
      </c>
      <c r="AD800" s="159" t="e">
        <f>VLOOKUP(O800,'Component List'!W$3:X$30,2,FALSE)</f>
        <v>#N/A</v>
      </c>
    </row>
    <row r="801" spans="1:30" ht="30" customHeight="1" x14ac:dyDescent="0.3">
      <c r="A801" s="231"/>
      <c r="B801" s="173"/>
      <c r="C801" s="78"/>
      <c r="D801" s="78"/>
      <c r="E801" s="79"/>
      <c r="F801" s="78"/>
      <c r="G801" s="78"/>
      <c r="H801" s="78"/>
      <c r="I801" s="78"/>
      <c r="J801" s="78"/>
      <c r="K801" s="110"/>
      <c r="L801" s="110"/>
      <c r="M801" s="78"/>
      <c r="N801" s="78"/>
      <c r="O801" s="117"/>
      <c r="P801" s="114" t="e">
        <f t="shared" si="11"/>
        <v>#N/A</v>
      </c>
      <c r="Q801" s="77" t="e">
        <f>VLOOKUP($B801,'Component List'!$A$2:$B$30,2,FALSE)</f>
        <v>#N/A</v>
      </c>
      <c r="R801" s="77" t="e">
        <f>VLOOKUP($C801,'Component List'!C$2:D$28,2,FALSE)</f>
        <v>#N/A</v>
      </c>
      <c r="S801" s="77" t="e">
        <f>VLOOKUP($D801,'Component List'!E$2:F$30,2,FALSE)</f>
        <v>#N/A</v>
      </c>
      <c r="T801" s="77" t="e">
        <f>VLOOKUP($E801,'Component List'!G$2:H$30,2,FALSE)</f>
        <v>#N/A</v>
      </c>
      <c r="U801" s="77" t="e">
        <f>VLOOKUP($F801,'Component List'!I$2:J$30,2,FALSE)</f>
        <v>#N/A</v>
      </c>
      <c r="V801" s="77" t="e">
        <f>VLOOKUP(G801,'Component List'!K$2:L$30,2,FALSE)</f>
        <v>#N/A</v>
      </c>
      <c r="W801" s="77" t="e">
        <f>VLOOKUP(H801,'Component List'!M$2:N$31,2,FALSE)</f>
        <v>#N/A</v>
      </c>
      <c r="X801" s="77" t="e">
        <f>VLOOKUP(I801,'Component List'!O$2:P$30,2,FALSE)</f>
        <v>#N/A</v>
      </c>
      <c r="Y801" s="77" t="e">
        <f>VLOOKUP(J801,'Component List'!Q$2:R$30,2,FALSE)</f>
        <v>#N/A</v>
      </c>
      <c r="Z801" s="77" t="e">
        <f>VLOOKUP(K801,'Component List'!S$2:T$30,2,FALSE)</f>
        <v>#N/A</v>
      </c>
      <c r="AA801" s="77" t="e">
        <f>VLOOKUP(L801,'Component List'!U$2:V$30,2,FALSE)</f>
        <v>#N/A</v>
      </c>
      <c r="AB801" s="77" t="e">
        <f>VLOOKUP(M801,'Component List'!AA$2:AB$30,2,FALSE)</f>
        <v>#N/A</v>
      </c>
      <c r="AC801" s="77" t="e">
        <f>VLOOKUP(N801,'Component List'!Y$2:Z$30,2,FALSE)</f>
        <v>#N/A</v>
      </c>
      <c r="AD801" s="159" t="e">
        <f>VLOOKUP(O801,'Component List'!W$3:X$30,2,FALSE)</f>
        <v>#N/A</v>
      </c>
    </row>
    <row r="802" spans="1:30" ht="30" customHeight="1" x14ac:dyDescent="0.3">
      <c r="A802" s="231"/>
      <c r="B802" s="173"/>
      <c r="C802" s="78"/>
      <c r="D802" s="78"/>
      <c r="E802" s="79"/>
      <c r="F802" s="78"/>
      <c r="G802" s="78"/>
      <c r="H802" s="78"/>
      <c r="I802" s="78"/>
      <c r="J802" s="78"/>
      <c r="K802" s="110"/>
      <c r="L802" s="110"/>
      <c r="M802" s="78"/>
      <c r="N802" s="78"/>
      <c r="O802" s="117"/>
      <c r="P802" s="114" t="e">
        <f t="shared" si="11"/>
        <v>#N/A</v>
      </c>
      <c r="Q802" s="77" t="e">
        <f>VLOOKUP($B802,'Component List'!$A$2:$B$30,2,FALSE)</f>
        <v>#N/A</v>
      </c>
      <c r="R802" s="77" t="e">
        <f>VLOOKUP($C802,'Component List'!C$2:D$28,2,FALSE)</f>
        <v>#N/A</v>
      </c>
      <c r="S802" s="77" t="e">
        <f>VLOOKUP($D802,'Component List'!E$2:F$30,2,FALSE)</f>
        <v>#N/A</v>
      </c>
      <c r="T802" s="77" t="e">
        <f>VLOOKUP($E802,'Component List'!G$2:H$30,2,FALSE)</f>
        <v>#N/A</v>
      </c>
      <c r="U802" s="77" t="e">
        <f>VLOOKUP($F802,'Component List'!I$2:J$30,2,FALSE)</f>
        <v>#N/A</v>
      </c>
      <c r="V802" s="77" t="e">
        <f>VLOOKUP(G802,'Component List'!K$2:L$30,2,FALSE)</f>
        <v>#N/A</v>
      </c>
      <c r="W802" s="77" t="e">
        <f>VLOOKUP(H802,'Component List'!M$2:N$31,2,FALSE)</f>
        <v>#N/A</v>
      </c>
      <c r="X802" s="77" t="e">
        <f>VLOOKUP(I802,'Component List'!O$2:P$30,2,FALSE)</f>
        <v>#N/A</v>
      </c>
      <c r="Y802" s="77" t="e">
        <f>VLOOKUP(J802,'Component List'!Q$2:R$30,2,FALSE)</f>
        <v>#N/A</v>
      </c>
      <c r="Z802" s="77" t="e">
        <f>VLOOKUP(K802,'Component List'!S$2:T$30,2,FALSE)</f>
        <v>#N/A</v>
      </c>
      <c r="AA802" s="77" t="e">
        <f>VLOOKUP(L802,'Component List'!U$2:V$30,2,FALSE)</f>
        <v>#N/A</v>
      </c>
      <c r="AB802" s="77" t="e">
        <f>VLOOKUP(M802,'Component List'!AA$2:AB$30,2,FALSE)</f>
        <v>#N/A</v>
      </c>
      <c r="AC802" s="77" t="e">
        <f>VLOOKUP(N802,'Component List'!Y$2:Z$30,2,FALSE)</f>
        <v>#N/A</v>
      </c>
      <c r="AD802" s="159" t="e">
        <f>VLOOKUP(O802,'Component List'!W$3:X$30,2,FALSE)</f>
        <v>#N/A</v>
      </c>
    </row>
    <row r="803" spans="1:30" ht="30" customHeight="1" x14ac:dyDescent="0.3">
      <c r="A803" s="231"/>
      <c r="B803" s="173"/>
      <c r="C803" s="78"/>
      <c r="D803" s="78"/>
      <c r="E803" s="79"/>
      <c r="F803" s="78"/>
      <c r="G803" s="78"/>
      <c r="H803" s="78"/>
      <c r="I803" s="78"/>
      <c r="J803" s="78"/>
      <c r="K803" s="110"/>
      <c r="L803" s="110"/>
      <c r="M803" s="78"/>
      <c r="N803" s="78"/>
      <c r="O803" s="117"/>
      <c r="P803" s="114" t="e">
        <f t="shared" si="11"/>
        <v>#N/A</v>
      </c>
      <c r="Q803" s="77" t="e">
        <f>VLOOKUP($B803,'Component List'!$A$2:$B$30,2,FALSE)</f>
        <v>#N/A</v>
      </c>
      <c r="R803" s="77" t="e">
        <f>VLOOKUP($C803,'Component List'!C$2:D$28,2,FALSE)</f>
        <v>#N/A</v>
      </c>
      <c r="S803" s="77" t="e">
        <f>VLOOKUP($D803,'Component List'!E$2:F$30,2,FALSE)</f>
        <v>#N/A</v>
      </c>
      <c r="T803" s="77" t="e">
        <f>VLOOKUP($E803,'Component List'!G$2:H$30,2,FALSE)</f>
        <v>#N/A</v>
      </c>
      <c r="U803" s="77" t="e">
        <f>VLOOKUP($F803,'Component List'!I$2:J$30,2,FALSE)</f>
        <v>#N/A</v>
      </c>
      <c r="V803" s="77" t="e">
        <f>VLOOKUP(G803,'Component List'!K$2:L$30,2,FALSE)</f>
        <v>#N/A</v>
      </c>
      <c r="W803" s="77" t="e">
        <f>VLOOKUP(H803,'Component List'!M$2:N$31,2,FALSE)</f>
        <v>#N/A</v>
      </c>
      <c r="X803" s="77" t="e">
        <f>VLOOKUP(I803,'Component List'!O$2:P$30,2,FALSE)</f>
        <v>#N/A</v>
      </c>
      <c r="Y803" s="77" t="e">
        <f>VLOOKUP(J803,'Component List'!Q$2:R$30,2,FALSE)</f>
        <v>#N/A</v>
      </c>
      <c r="Z803" s="77" t="e">
        <f>VLOOKUP(K803,'Component List'!S$2:T$30,2,FALSE)</f>
        <v>#N/A</v>
      </c>
      <c r="AA803" s="77" t="e">
        <f>VLOOKUP(L803,'Component List'!U$2:V$30,2,FALSE)</f>
        <v>#N/A</v>
      </c>
      <c r="AB803" s="77" t="e">
        <f>VLOOKUP(M803,'Component List'!AA$2:AB$30,2,FALSE)</f>
        <v>#N/A</v>
      </c>
      <c r="AC803" s="77" t="e">
        <f>VLOOKUP(N803,'Component List'!Y$2:Z$30,2,FALSE)</f>
        <v>#N/A</v>
      </c>
      <c r="AD803" s="159" t="e">
        <f>VLOOKUP(O803,'Component List'!W$3:X$30,2,FALSE)</f>
        <v>#N/A</v>
      </c>
    </row>
    <row r="804" spans="1:30" ht="30" customHeight="1" x14ac:dyDescent="0.3">
      <c r="A804" s="231"/>
      <c r="B804" s="173"/>
      <c r="C804" s="78"/>
      <c r="D804" s="78"/>
      <c r="E804" s="79"/>
      <c r="F804" s="78"/>
      <c r="G804" s="78"/>
      <c r="H804" s="78"/>
      <c r="I804" s="78"/>
      <c r="J804" s="78"/>
      <c r="K804" s="110"/>
      <c r="L804" s="110"/>
      <c r="M804" s="78"/>
      <c r="N804" s="78"/>
      <c r="O804" s="117"/>
      <c r="P804" s="114" t="e">
        <f t="shared" si="11"/>
        <v>#N/A</v>
      </c>
      <c r="Q804" s="77" t="e">
        <f>VLOOKUP($B804,'Component List'!$A$2:$B$30,2,FALSE)</f>
        <v>#N/A</v>
      </c>
      <c r="R804" s="77" t="e">
        <f>VLOOKUP($C804,'Component List'!C$2:D$28,2,FALSE)</f>
        <v>#N/A</v>
      </c>
      <c r="S804" s="77" t="e">
        <f>VLOOKUP($D804,'Component List'!E$2:F$30,2,FALSE)</f>
        <v>#N/A</v>
      </c>
      <c r="T804" s="77" t="e">
        <f>VLOOKUP($E804,'Component List'!G$2:H$30,2,FALSE)</f>
        <v>#N/A</v>
      </c>
      <c r="U804" s="77" t="e">
        <f>VLOOKUP($F804,'Component List'!I$2:J$30,2,FALSE)</f>
        <v>#N/A</v>
      </c>
      <c r="V804" s="77" t="e">
        <f>VLOOKUP(G804,'Component List'!K$2:L$30,2,FALSE)</f>
        <v>#N/A</v>
      </c>
      <c r="W804" s="77" t="e">
        <f>VLOOKUP(H804,'Component List'!M$2:N$31,2,FALSE)</f>
        <v>#N/A</v>
      </c>
      <c r="X804" s="77" t="e">
        <f>VLOOKUP(I804,'Component List'!O$2:P$30,2,FALSE)</f>
        <v>#N/A</v>
      </c>
      <c r="Y804" s="77" t="e">
        <f>VLOOKUP(J804,'Component List'!Q$2:R$30,2,FALSE)</f>
        <v>#N/A</v>
      </c>
      <c r="Z804" s="77" t="e">
        <f>VLOOKUP(K804,'Component List'!S$2:T$30,2,FALSE)</f>
        <v>#N/A</v>
      </c>
      <c r="AA804" s="77" t="e">
        <f>VLOOKUP(L804,'Component List'!U$2:V$30,2,FALSE)</f>
        <v>#N/A</v>
      </c>
      <c r="AB804" s="77" t="e">
        <f>VLOOKUP(M804,'Component List'!AA$2:AB$30,2,FALSE)</f>
        <v>#N/A</v>
      </c>
      <c r="AC804" s="77" t="e">
        <f>VLOOKUP(N804,'Component List'!Y$2:Z$30,2,FALSE)</f>
        <v>#N/A</v>
      </c>
      <c r="AD804" s="159" t="e">
        <f>VLOOKUP(O804,'Component List'!W$3:X$30,2,FALSE)</f>
        <v>#N/A</v>
      </c>
    </row>
    <row r="805" spans="1:30" ht="30" customHeight="1" x14ac:dyDescent="0.3">
      <c r="A805" s="231"/>
      <c r="B805" s="173"/>
      <c r="C805" s="78"/>
      <c r="D805" s="78"/>
      <c r="E805" s="79"/>
      <c r="F805" s="78"/>
      <c r="G805" s="78"/>
      <c r="H805" s="78"/>
      <c r="I805" s="78"/>
      <c r="J805" s="78"/>
      <c r="K805" s="110"/>
      <c r="L805" s="110"/>
      <c r="M805" s="78"/>
      <c r="N805" s="78"/>
      <c r="O805" s="117"/>
      <c r="P805" s="114" t="e">
        <f t="shared" si="11"/>
        <v>#N/A</v>
      </c>
      <c r="Q805" s="77" t="e">
        <f>VLOOKUP($B805,'Component List'!$A$2:$B$30,2,FALSE)</f>
        <v>#N/A</v>
      </c>
      <c r="R805" s="77" t="e">
        <f>VLOOKUP($C805,'Component List'!C$2:D$28,2,FALSE)</f>
        <v>#N/A</v>
      </c>
      <c r="S805" s="77" t="e">
        <f>VLOOKUP($D805,'Component List'!E$2:F$30,2,FALSE)</f>
        <v>#N/A</v>
      </c>
      <c r="T805" s="77" t="e">
        <f>VLOOKUP($E805,'Component List'!G$2:H$30,2,FALSE)</f>
        <v>#N/A</v>
      </c>
      <c r="U805" s="77" t="e">
        <f>VLOOKUP($F805,'Component List'!I$2:J$30,2,FALSE)</f>
        <v>#N/A</v>
      </c>
      <c r="V805" s="77" t="e">
        <f>VLOOKUP(G805,'Component List'!K$2:L$30,2,FALSE)</f>
        <v>#N/A</v>
      </c>
      <c r="W805" s="77" t="e">
        <f>VLOOKUP(H805,'Component List'!M$2:N$31,2,FALSE)</f>
        <v>#N/A</v>
      </c>
      <c r="X805" s="77" t="e">
        <f>VLOOKUP(I805,'Component List'!O$2:P$30,2,FALSE)</f>
        <v>#N/A</v>
      </c>
      <c r="Y805" s="77" t="e">
        <f>VLOOKUP(J805,'Component List'!Q$2:R$30,2,FALSE)</f>
        <v>#N/A</v>
      </c>
      <c r="Z805" s="77" t="e">
        <f>VLOOKUP(K805,'Component List'!S$2:T$30,2,FALSE)</f>
        <v>#N/A</v>
      </c>
      <c r="AA805" s="77" t="e">
        <f>VLOOKUP(L805,'Component List'!U$2:V$30,2,FALSE)</f>
        <v>#N/A</v>
      </c>
      <c r="AB805" s="77" t="e">
        <f>VLOOKUP(M805,'Component List'!AA$2:AB$30,2,FALSE)</f>
        <v>#N/A</v>
      </c>
      <c r="AC805" s="77" t="e">
        <f>VLOOKUP(N805,'Component List'!Y$2:Z$30,2,FALSE)</f>
        <v>#N/A</v>
      </c>
      <c r="AD805" s="159" t="e">
        <f>VLOOKUP(O805,'Component List'!W$3:X$30,2,FALSE)</f>
        <v>#N/A</v>
      </c>
    </row>
    <row r="806" spans="1:30" ht="30" customHeight="1" x14ac:dyDescent="0.3">
      <c r="A806" s="231"/>
      <c r="B806" s="173"/>
      <c r="C806" s="78"/>
      <c r="D806" s="78"/>
      <c r="E806" s="79"/>
      <c r="F806" s="78"/>
      <c r="G806" s="78"/>
      <c r="H806" s="78"/>
      <c r="I806" s="78"/>
      <c r="J806" s="78"/>
      <c r="K806" s="110"/>
      <c r="L806" s="110"/>
      <c r="M806" s="78"/>
      <c r="N806" s="78"/>
      <c r="O806" s="117"/>
      <c r="P806" s="114" t="e">
        <f t="shared" si="11"/>
        <v>#N/A</v>
      </c>
      <c r="Q806" s="77" t="e">
        <f>VLOOKUP($B806,'Component List'!$A$2:$B$30,2,FALSE)</f>
        <v>#N/A</v>
      </c>
      <c r="R806" s="77" t="e">
        <f>VLOOKUP($C806,'Component List'!C$2:D$28,2,FALSE)</f>
        <v>#N/A</v>
      </c>
      <c r="S806" s="77" t="e">
        <f>VLOOKUP($D806,'Component List'!E$2:F$30,2,FALSE)</f>
        <v>#N/A</v>
      </c>
      <c r="T806" s="77" t="e">
        <f>VLOOKUP($E806,'Component List'!G$2:H$30,2,FALSE)</f>
        <v>#N/A</v>
      </c>
      <c r="U806" s="77" t="e">
        <f>VLOOKUP($F806,'Component List'!I$2:J$30,2,FALSE)</f>
        <v>#N/A</v>
      </c>
      <c r="V806" s="77" t="e">
        <f>VLOOKUP(G806,'Component List'!K$2:L$30,2,FALSE)</f>
        <v>#N/A</v>
      </c>
      <c r="W806" s="77" t="e">
        <f>VLOOKUP(H806,'Component List'!M$2:N$31,2,FALSE)</f>
        <v>#N/A</v>
      </c>
      <c r="X806" s="77" t="e">
        <f>VLOOKUP(I806,'Component List'!O$2:P$30,2,FALSE)</f>
        <v>#N/A</v>
      </c>
      <c r="Y806" s="77" t="e">
        <f>VLOOKUP(J806,'Component List'!Q$2:R$30,2,FALSE)</f>
        <v>#N/A</v>
      </c>
      <c r="Z806" s="77" t="e">
        <f>VLOOKUP(K806,'Component List'!S$2:T$30,2,FALSE)</f>
        <v>#N/A</v>
      </c>
      <c r="AA806" s="77" t="e">
        <f>VLOOKUP(L806,'Component List'!U$2:V$30,2,FALSE)</f>
        <v>#N/A</v>
      </c>
      <c r="AB806" s="77" t="e">
        <f>VLOOKUP(M806,'Component List'!AA$2:AB$30,2,FALSE)</f>
        <v>#N/A</v>
      </c>
      <c r="AC806" s="77" t="e">
        <f>VLOOKUP(N806,'Component List'!Y$2:Z$30,2,FALSE)</f>
        <v>#N/A</v>
      </c>
      <c r="AD806" s="159" t="e">
        <f>VLOOKUP(O806,'Component List'!W$3:X$30,2,FALSE)</f>
        <v>#N/A</v>
      </c>
    </row>
    <row r="807" spans="1:30" ht="30" customHeight="1" x14ac:dyDescent="0.3">
      <c r="A807" s="231"/>
      <c r="B807" s="173"/>
      <c r="C807" s="78"/>
      <c r="D807" s="78"/>
      <c r="E807" s="79"/>
      <c r="F807" s="78"/>
      <c r="G807" s="78"/>
      <c r="H807" s="78"/>
      <c r="I807" s="78"/>
      <c r="J807" s="78"/>
      <c r="K807" s="110"/>
      <c r="L807" s="110"/>
      <c r="M807" s="78"/>
      <c r="N807" s="78"/>
      <c r="O807" s="117"/>
      <c r="P807" s="114" t="e">
        <f t="shared" si="11"/>
        <v>#N/A</v>
      </c>
      <c r="Q807" s="77" t="e">
        <f>VLOOKUP($B807,'Component List'!$A$2:$B$30,2,FALSE)</f>
        <v>#N/A</v>
      </c>
      <c r="R807" s="77" t="e">
        <f>VLOOKUP($C807,'Component List'!C$2:D$28,2,FALSE)</f>
        <v>#N/A</v>
      </c>
      <c r="S807" s="77" t="e">
        <f>VLOOKUP($D807,'Component List'!E$2:F$30,2,FALSE)</f>
        <v>#N/A</v>
      </c>
      <c r="T807" s="77" t="e">
        <f>VLOOKUP($E807,'Component List'!G$2:H$30,2,FALSE)</f>
        <v>#N/A</v>
      </c>
      <c r="U807" s="77" t="e">
        <f>VLOOKUP($F807,'Component List'!I$2:J$30,2,FALSE)</f>
        <v>#N/A</v>
      </c>
      <c r="V807" s="77" t="e">
        <f>VLOOKUP(G807,'Component List'!K$2:L$30,2,FALSE)</f>
        <v>#N/A</v>
      </c>
      <c r="W807" s="77" t="e">
        <f>VLOOKUP(H807,'Component List'!M$2:N$31,2,FALSE)</f>
        <v>#N/A</v>
      </c>
      <c r="X807" s="77" t="e">
        <f>VLOOKUP(I807,'Component List'!O$2:P$30,2,FALSE)</f>
        <v>#N/A</v>
      </c>
      <c r="Y807" s="77" t="e">
        <f>VLOOKUP(J807,'Component List'!Q$2:R$30,2,FALSE)</f>
        <v>#N/A</v>
      </c>
      <c r="Z807" s="77" t="e">
        <f>VLOOKUP(K807,'Component List'!S$2:T$30,2,FALSE)</f>
        <v>#N/A</v>
      </c>
      <c r="AA807" s="77" t="e">
        <f>VLOOKUP(L807,'Component List'!U$2:V$30,2,FALSE)</f>
        <v>#N/A</v>
      </c>
      <c r="AB807" s="77" t="e">
        <f>VLOOKUP(M807,'Component List'!AA$2:AB$30,2,FALSE)</f>
        <v>#N/A</v>
      </c>
      <c r="AC807" s="77" t="e">
        <f>VLOOKUP(N807,'Component List'!Y$2:Z$30,2,FALSE)</f>
        <v>#N/A</v>
      </c>
      <c r="AD807" s="159" t="e">
        <f>VLOOKUP(O807,'Component List'!W$3:X$30,2,FALSE)</f>
        <v>#N/A</v>
      </c>
    </row>
    <row r="808" spans="1:30" ht="30" customHeight="1" x14ac:dyDescent="0.3">
      <c r="A808" s="231"/>
      <c r="B808" s="173"/>
      <c r="C808" s="78"/>
      <c r="D808" s="78"/>
      <c r="E808" s="79"/>
      <c r="F808" s="78"/>
      <c r="G808" s="78"/>
      <c r="H808" s="78"/>
      <c r="I808" s="78"/>
      <c r="J808" s="78"/>
      <c r="K808" s="110"/>
      <c r="L808" s="110"/>
      <c r="M808" s="78"/>
      <c r="N808" s="78"/>
      <c r="O808" s="117"/>
      <c r="P808" s="114" t="e">
        <f t="shared" si="11"/>
        <v>#N/A</v>
      </c>
      <c r="Q808" s="77" t="e">
        <f>VLOOKUP($B808,'Component List'!$A$2:$B$30,2,FALSE)</f>
        <v>#N/A</v>
      </c>
      <c r="R808" s="77" t="e">
        <f>VLOOKUP($C808,'Component List'!C$2:D$28,2,FALSE)</f>
        <v>#N/A</v>
      </c>
      <c r="S808" s="77" t="e">
        <f>VLOOKUP($D808,'Component List'!E$2:F$30,2,FALSE)</f>
        <v>#N/A</v>
      </c>
      <c r="T808" s="77" t="e">
        <f>VLOOKUP($E808,'Component List'!G$2:H$30,2,FALSE)</f>
        <v>#N/A</v>
      </c>
      <c r="U808" s="77" t="e">
        <f>VLOOKUP($F808,'Component List'!I$2:J$30,2,FALSE)</f>
        <v>#N/A</v>
      </c>
      <c r="V808" s="77" t="e">
        <f>VLOOKUP(G808,'Component List'!K$2:L$30,2,FALSE)</f>
        <v>#N/A</v>
      </c>
      <c r="W808" s="77" t="e">
        <f>VLOOKUP(H808,'Component List'!M$2:N$31,2,FALSE)</f>
        <v>#N/A</v>
      </c>
      <c r="X808" s="77" t="e">
        <f>VLOOKUP(I808,'Component List'!O$2:P$30,2,FALSE)</f>
        <v>#N/A</v>
      </c>
      <c r="Y808" s="77" t="e">
        <f>VLOOKUP(J808,'Component List'!Q$2:R$30,2,FALSE)</f>
        <v>#N/A</v>
      </c>
      <c r="Z808" s="77" t="e">
        <f>VLOOKUP(K808,'Component List'!S$2:T$30,2,FALSE)</f>
        <v>#N/A</v>
      </c>
      <c r="AA808" s="77" t="e">
        <f>VLOOKUP(L808,'Component List'!U$2:V$30,2,FALSE)</f>
        <v>#N/A</v>
      </c>
      <c r="AB808" s="77" t="e">
        <f>VLOOKUP(M808,'Component List'!AA$2:AB$30,2,FALSE)</f>
        <v>#N/A</v>
      </c>
      <c r="AC808" s="77" t="e">
        <f>VLOOKUP(N808,'Component List'!Y$2:Z$30,2,FALSE)</f>
        <v>#N/A</v>
      </c>
      <c r="AD808" s="159" t="e">
        <f>VLOOKUP(O808,'Component List'!W$3:X$30,2,FALSE)</f>
        <v>#N/A</v>
      </c>
    </row>
    <row r="809" spans="1:30" ht="30" customHeight="1" x14ac:dyDescent="0.3">
      <c r="A809" s="231"/>
      <c r="B809" s="173"/>
      <c r="C809" s="78"/>
      <c r="D809" s="78"/>
      <c r="E809" s="79"/>
      <c r="F809" s="78"/>
      <c r="G809" s="78"/>
      <c r="H809" s="78"/>
      <c r="I809" s="78"/>
      <c r="J809" s="78"/>
      <c r="K809" s="110"/>
      <c r="L809" s="110"/>
      <c r="M809" s="78"/>
      <c r="N809" s="78"/>
      <c r="O809" s="117"/>
      <c r="P809" s="114" t="e">
        <f t="shared" si="11"/>
        <v>#N/A</v>
      </c>
      <c r="Q809" s="77" t="e">
        <f>VLOOKUP($B809,'Component List'!$A$2:$B$30,2,FALSE)</f>
        <v>#N/A</v>
      </c>
      <c r="R809" s="77" t="e">
        <f>VLOOKUP($C809,'Component List'!C$2:D$28,2,FALSE)</f>
        <v>#N/A</v>
      </c>
      <c r="S809" s="77" t="e">
        <f>VLOOKUP($D809,'Component List'!E$2:F$30,2,FALSE)</f>
        <v>#N/A</v>
      </c>
      <c r="T809" s="77" t="e">
        <f>VLOOKUP($E809,'Component List'!G$2:H$30,2,FALSE)</f>
        <v>#N/A</v>
      </c>
      <c r="U809" s="77" t="e">
        <f>VLOOKUP($F809,'Component List'!I$2:J$30,2,FALSE)</f>
        <v>#N/A</v>
      </c>
      <c r="V809" s="77" t="e">
        <f>VLOOKUP(G809,'Component List'!K$2:L$30,2,FALSE)</f>
        <v>#N/A</v>
      </c>
      <c r="W809" s="77" t="e">
        <f>VLOOKUP(H809,'Component List'!M$2:N$31,2,FALSE)</f>
        <v>#N/A</v>
      </c>
      <c r="X809" s="77" t="e">
        <f>VLOOKUP(I809,'Component List'!O$2:P$30,2,FALSE)</f>
        <v>#N/A</v>
      </c>
      <c r="Y809" s="77" t="e">
        <f>VLOOKUP(J809,'Component List'!Q$2:R$30,2,FALSE)</f>
        <v>#N/A</v>
      </c>
      <c r="Z809" s="77" t="e">
        <f>VLOOKUP(K809,'Component List'!S$2:T$30,2,FALSE)</f>
        <v>#N/A</v>
      </c>
      <c r="AA809" s="77" t="e">
        <f>VLOOKUP(L809,'Component List'!U$2:V$30,2,FALSE)</f>
        <v>#N/A</v>
      </c>
      <c r="AB809" s="77" t="e">
        <f>VLOOKUP(M809,'Component List'!AA$2:AB$30,2,FALSE)</f>
        <v>#N/A</v>
      </c>
      <c r="AC809" s="77" t="e">
        <f>VLOOKUP(N809,'Component List'!Y$2:Z$30,2,FALSE)</f>
        <v>#N/A</v>
      </c>
      <c r="AD809" s="159" t="e">
        <f>VLOOKUP(O809,'Component List'!W$3:X$30,2,FALSE)</f>
        <v>#N/A</v>
      </c>
    </row>
    <row r="810" spans="1:30" ht="30" customHeight="1" x14ac:dyDescent="0.3">
      <c r="A810" s="231"/>
      <c r="B810" s="173"/>
      <c r="C810" s="78"/>
      <c r="D810" s="78"/>
      <c r="E810" s="79"/>
      <c r="F810" s="78"/>
      <c r="G810" s="78"/>
      <c r="H810" s="78"/>
      <c r="I810" s="78"/>
      <c r="J810" s="78"/>
      <c r="K810" s="110"/>
      <c r="L810" s="110"/>
      <c r="M810" s="78"/>
      <c r="N810" s="78"/>
      <c r="O810" s="117"/>
      <c r="P810" s="114" t="e">
        <f t="shared" si="11"/>
        <v>#N/A</v>
      </c>
      <c r="Q810" s="77" t="e">
        <f>VLOOKUP($B810,'Component List'!$A$2:$B$30,2,FALSE)</f>
        <v>#N/A</v>
      </c>
      <c r="R810" s="77" t="e">
        <f>VLOOKUP($C810,'Component List'!C$2:D$28,2,FALSE)</f>
        <v>#N/A</v>
      </c>
      <c r="S810" s="77" t="e">
        <f>VLOOKUP($D810,'Component List'!E$2:F$30,2,FALSE)</f>
        <v>#N/A</v>
      </c>
      <c r="T810" s="77" t="e">
        <f>VLOOKUP($E810,'Component List'!G$2:H$30,2,FALSE)</f>
        <v>#N/A</v>
      </c>
      <c r="U810" s="77" t="e">
        <f>VLOOKUP($F810,'Component List'!I$2:J$30,2,FALSE)</f>
        <v>#N/A</v>
      </c>
      <c r="V810" s="77" t="e">
        <f>VLOOKUP(G810,'Component List'!K$2:L$30,2,FALSE)</f>
        <v>#N/A</v>
      </c>
      <c r="W810" s="77" t="e">
        <f>VLOOKUP(H810,'Component List'!M$2:N$31,2,FALSE)</f>
        <v>#N/A</v>
      </c>
      <c r="X810" s="77" t="e">
        <f>VLOOKUP(I810,'Component List'!O$2:P$30,2,FALSE)</f>
        <v>#N/A</v>
      </c>
      <c r="Y810" s="77" t="e">
        <f>VLOOKUP(J810,'Component List'!Q$2:R$30,2,FALSE)</f>
        <v>#N/A</v>
      </c>
      <c r="Z810" s="77" t="e">
        <f>VLOOKUP(K810,'Component List'!S$2:T$30,2,FALSE)</f>
        <v>#N/A</v>
      </c>
      <c r="AA810" s="77" t="e">
        <f>VLOOKUP(L810,'Component List'!U$2:V$30,2,FALSE)</f>
        <v>#N/A</v>
      </c>
      <c r="AB810" s="77" t="e">
        <f>VLOOKUP(M810,'Component List'!AA$2:AB$30,2,FALSE)</f>
        <v>#N/A</v>
      </c>
      <c r="AC810" s="77" t="e">
        <f>VLOOKUP(N810,'Component List'!Y$2:Z$30,2,FALSE)</f>
        <v>#N/A</v>
      </c>
      <c r="AD810" s="159" t="e">
        <f>VLOOKUP(O810,'Component List'!W$3:X$30,2,FALSE)</f>
        <v>#N/A</v>
      </c>
    </row>
    <row r="811" spans="1:30" ht="30" customHeight="1" x14ac:dyDescent="0.3">
      <c r="A811" s="231"/>
      <c r="B811" s="173"/>
      <c r="C811" s="78"/>
      <c r="D811" s="78"/>
      <c r="E811" s="79"/>
      <c r="F811" s="78"/>
      <c r="G811" s="78"/>
      <c r="H811" s="78"/>
      <c r="I811" s="78"/>
      <c r="J811" s="78"/>
      <c r="K811" s="110"/>
      <c r="L811" s="110"/>
      <c r="M811" s="78"/>
      <c r="N811" s="78"/>
      <c r="O811" s="117"/>
      <c r="P811" s="114" t="e">
        <f t="shared" si="11"/>
        <v>#N/A</v>
      </c>
      <c r="Q811" s="77" t="e">
        <f>VLOOKUP($B811,'Component List'!$A$2:$B$30,2,FALSE)</f>
        <v>#N/A</v>
      </c>
      <c r="R811" s="77" t="e">
        <f>VLOOKUP($C811,'Component List'!C$2:D$28,2,FALSE)</f>
        <v>#N/A</v>
      </c>
      <c r="S811" s="77" t="e">
        <f>VLOOKUP($D811,'Component List'!E$2:F$30,2,FALSE)</f>
        <v>#N/A</v>
      </c>
      <c r="T811" s="77" t="e">
        <f>VLOOKUP($E811,'Component List'!G$2:H$30,2,FALSE)</f>
        <v>#N/A</v>
      </c>
      <c r="U811" s="77" t="e">
        <f>VLOOKUP($F811,'Component List'!I$2:J$30,2,FALSE)</f>
        <v>#N/A</v>
      </c>
      <c r="V811" s="77" t="e">
        <f>VLOOKUP(G811,'Component List'!K$2:L$30,2,FALSE)</f>
        <v>#N/A</v>
      </c>
      <c r="W811" s="77" t="e">
        <f>VLOOKUP(H811,'Component List'!M$2:N$31,2,FALSE)</f>
        <v>#N/A</v>
      </c>
      <c r="X811" s="77" t="e">
        <f>VLOOKUP(I811,'Component List'!O$2:P$30,2,FALSE)</f>
        <v>#N/A</v>
      </c>
      <c r="Y811" s="77" t="e">
        <f>VLOOKUP(J811,'Component List'!Q$2:R$30,2,FALSE)</f>
        <v>#N/A</v>
      </c>
      <c r="Z811" s="77" t="e">
        <f>VLOOKUP(K811,'Component List'!S$2:T$30,2,FALSE)</f>
        <v>#N/A</v>
      </c>
      <c r="AA811" s="77" t="e">
        <f>VLOOKUP(L811,'Component List'!U$2:V$30,2,FALSE)</f>
        <v>#N/A</v>
      </c>
      <c r="AB811" s="77" t="e">
        <f>VLOOKUP(M811,'Component List'!AA$2:AB$30,2,FALSE)</f>
        <v>#N/A</v>
      </c>
      <c r="AC811" s="77" t="e">
        <f>VLOOKUP(N811,'Component List'!Y$2:Z$30,2,FALSE)</f>
        <v>#N/A</v>
      </c>
      <c r="AD811" s="159" t="e">
        <f>VLOOKUP(O811,'Component List'!W$3:X$30,2,FALSE)</f>
        <v>#N/A</v>
      </c>
    </row>
    <row r="812" spans="1:30" ht="30" customHeight="1" x14ac:dyDescent="0.3">
      <c r="A812" s="231"/>
      <c r="B812" s="173"/>
      <c r="C812" s="78"/>
      <c r="D812" s="78"/>
      <c r="E812" s="79"/>
      <c r="F812" s="78"/>
      <c r="G812" s="78"/>
      <c r="H812" s="78"/>
      <c r="I812" s="78"/>
      <c r="J812" s="78"/>
      <c r="K812" s="110"/>
      <c r="L812" s="110"/>
      <c r="M812" s="78"/>
      <c r="N812" s="78"/>
      <c r="O812" s="117"/>
      <c r="P812" s="114" t="e">
        <f t="shared" si="11"/>
        <v>#N/A</v>
      </c>
      <c r="Q812" s="77" t="e">
        <f>VLOOKUP($B812,'Component List'!$A$2:$B$30,2,FALSE)</f>
        <v>#N/A</v>
      </c>
      <c r="R812" s="77" t="e">
        <f>VLOOKUP($C812,'Component List'!C$2:D$28,2,FALSE)</f>
        <v>#N/A</v>
      </c>
      <c r="S812" s="77" t="e">
        <f>VLOOKUP($D812,'Component List'!E$2:F$30,2,FALSE)</f>
        <v>#N/A</v>
      </c>
      <c r="T812" s="77" t="e">
        <f>VLOOKUP($E812,'Component List'!G$2:H$30,2,FALSE)</f>
        <v>#N/A</v>
      </c>
      <c r="U812" s="77" t="e">
        <f>VLOOKUP($F812,'Component List'!I$2:J$30,2,FALSE)</f>
        <v>#N/A</v>
      </c>
      <c r="V812" s="77" t="e">
        <f>VLOOKUP(G812,'Component List'!K$2:L$30,2,FALSE)</f>
        <v>#N/A</v>
      </c>
      <c r="W812" s="77" t="e">
        <f>VLOOKUP(H812,'Component List'!M$2:N$31,2,FALSE)</f>
        <v>#N/A</v>
      </c>
      <c r="X812" s="77" t="e">
        <f>VLOOKUP(I812,'Component List'!O$2:P$30,2,FALSE)</f>
        <v>#N/A</v>
      </c>
      <c r="Y812" s="77" t="e">
        <f>VLOOKUP(J812,'Component List'!Q$2:R$30,2,FALSE)</f>
        <v>#N/A</v>
      </c>
      <c r="Z812" s="77" t="e">
        <f>VLOOKUP(K812,'Component List'!S$2:T$30,2,FALSE)</f>
        <v>#N/A</v>
      </c>
      <c r="AA812" s="77" t="e">
        <f>VLOOKUP(L812,'Component List'!U$2:V$30,2,FALSE)</f>
        <v>#N/A</v>
      </c>
      <c r="AB812" s="77" t="e">
        <f>VLOOKUP(M812,'Component List'!AA$2:AB$30,2,FALSE)</f>
        <v>#N/A</v>
      </c>
      <c r="AC812" s="77" t="e">
        <f>VLOOKUP(N812,'Component List'!Y$2:Z$30,2,FALSE)</f>
        <v>#N/A</v>
      </c>
      <c r="AD812" s="159" t="e">
        <f>VLOOKUP(O812,'Component List'!W$3:X$30,2,FALSE)</f>
        <v>#N/A</v>
      </c>
    </row>
    <row r="813" spans="1:30" ht="30" customHeight="1" x14ac:dyDescent="0.3">
      <c r="A813" s="231"/>
      <c r="B813" s="173"/>
      <c r="C813" s="78"/>
      <c r="D813" s="78"/>
      <c r="E813" s="79"/>
      <c r="F813" s="78"/>
      <c r="G813" s="78"/>
      <c r="H813" s="78"/>
      <c r="I813" s="78"/>
      <c r="J813" s="78"/>
      <c r="K813" s="110"/>
      <c r="L813" s="110"/>
      <c r="M813" s="78"/>
      <c r="N813" s="78"/>
      <c r="O813" s="117"/>
      <c r="P813" s="114" t="e">
        <f t="shared" si="11"/>
        <v>#N/A</v>
      </c>
      <c r="Q813" s="77" t="e">
        <f>VLOOKUP($B813,'Component List'!$A$2:$B$30,2,FALSE)</f>
        <v>#N/A</v>
      </c>
      <c r="R813" s="77" t="e">
        <f>VLOOKUP($C813,'Component List'!C$2:D$28,2,FALSE)</f>
        <v>#N/A</v>
      </c>
      <c r="S813" s="77" t="e">
        <f>VLOOKUP($D813,'Component List'!E$2:F$30,2,FALSE)</f>
        <v>#N/A</v>
      </c>
      <c r="T813" s="77" t="e">
        <f>VLOOKUP($E813,'Component List'!G$2:H$30,2,FALSE)</f>
        <v>#N/A</v>
      </c>
      <c r="U813" s="77" t="e">
        <f>VLOOKUP($F813,'Component List'!I$2:J$30,2,FALSE)</f>
        <v>#N/A</v>
      </c>
      <c r="V813" s="77" t="e">
        <f>VLOOKUP(G813,'Component List'!K$2:L$30,2,FALSE)</f>
        <v>#N/A</v>
      </c>
      <c r="W813" s="77" t="e">
        <f>VLOOKUP(H813,'Component List'!M$2:N$31,2,FALSE)</f>
        <v>#N/A</v>
      </c>
      <c r="X813" s="77" t="e">
        <f>VLOOKUP(I813,'Component List'!O$2:P$30,2,FALSE)</f>
        <v>#N/A</v>
      </c>
      <c r="Y813" s="77" t="e">
        <f>VLOOKUP(J813,'Component List'!Q$2:R$30,2,FALSE)</f>
        <v>#N/A</v>
      </c>
      <c r="Z813" s="77" t="e">
        <f>VLOOKUP(K813,'Component List'!S$2:T$30,2,FALSE)</f>
        <v>#N/A</v>
      </c>
      <c r="AA813" s="77" t="e">
        <f>VLOOKUP(L813,'Component List'!U$2:V$30,2,FALSE)</f>
        <v>#N/A</v>
      </c>
      <c r="AB813" s="77" t="e">
        <f>VLOOKUP(M813,'Component List'!AA$2:AB$30,2,FALSE)</f>
        <v>#N/A</v>
      </c>
      <c r="AC813" s="77" t="e">
        <f>VLOOKUP(N813,'Component List'!Y$2:Z$30,2,FALSE)</f>
        <v>#N/A</v>
      </c>
      <c r="AD813" s="159" t="e">
        <f>VLOOKUP(O813,'Component List'!W$3:X$30,2,FALSE)</f>
        <v>#N/A</v>
      </c>
    </row>
    <row r="814" spans="1:30" ht="30" customHeight="1" x14ac:dyDescent="0.3">
      <c r="A814" s="231"/>
      <c r="B814" s="173"/>
      <c r="C814" s="78"/>
      <c r="D814" s="78"/>
      <c r="E814" s="79"/>
      <c r="F814" s="78"/>
      <c r="G814" s="78"/>
      <c r="H814" s="78"/>
      <c r="I814" s="78"/>
      <c r="J814" s="78"/>
      <c r="K814" s="110"/>
      <c r="L814" s="110"/>
      <c r="M814" s="78"/>
      <c r="N814" s="78"/>
      <c r="O814" s="117"/>
      <c r="P814" s="114" t="e">
        <f t="shared" si="11"/>
        <v>#N/A</v>
      </c>
      <c r="Q814" s="77" t="e">
        <f>VLOOKUP($B814,'Component List'!$A$2:$B$30,2,FALSE)</f>
        <v>#N/A</v>
      </c>
      <c r="R814" s="77" t="e">
        <f>VLOOKUP($C814,'Component List'!C$2:D$28,2,FALSE)</f>
        <v>#N/A</v>
      </c>
      <c r="S814" s="77" t="e">
        <f>VLOOKUP($D814,'Component List'!E$2:F$30,2,FALSE)</f>
        <v>#N/A</v>
      </c>
      <c r="T814" s="77" t="e">
        <f>VLOOKUP($E814,'Component List'!G$2:H$30,2,FALSE)</f>
        <v>#N/A</v>
      </c>
      <c r="U814" s="77" t="e">
        <f>VLOOKUP($F814,'Component List'!I$2:J$30,2,FALSE)</f>
        <v>#N/A</v>
      </c>
      <c r="V814" s="77" t="e">
        <f>VLOOKUP(G814,'Component List'!K$2:L$30,2,FALSE)</f>
        <v>#N/A</v>
      </c>
      <c r="W814" s="77" t="e">
        <f>VLOOKUP(H814,'Component List'!M$2:N$31,2,FALSE)</f>
        <v>#N/A</v>
      </c>
      <c r="X814" s="77" t="e">
        <f>VLOOKUP(I814,'Component List'!O$2:P$30,2,FALSE)</f>
        <v>#N/A</v>
      </c>
      <c r="Y814" s="77" t="e">
        <f>VLOOKUP(J814,'Component List'!Q$2:R$30,2,FALSE)</f>
        <v>#N/A</v>
      </c>
      <c r="Z814" s="77" t="e">
        <f>VLOOKUP(K814,'Component List'!S$2:T$30,2,FALSE)</f>
        <v>#N/A</v>
      </c>
      <c r="AA814" s="77" t="e">
        <f>VLOOKUP(L814,'Component List'!U$2:V$30,2,FALSE)</f>
        <v>#N/A</v>
      </c>
      <c r="AB814" s="77" t="e">
        <f>VLOOKUP(M814,'Component List'!AA$2:AB$30,2,FALSE)</f>
        <v>#N/A</v>
      </c>
      <c r="AC814" s="77" t="e">
        <f>VLOOKUP(N814,'Component List'!Y$2:Z$30,2,FALSE)</f>
        <v>#N/A</v>
      </c>
      <c r="AD814" s="159" t="e">
        <f>VLOOKUP(O814,'Component List'!W$3:X$30,2,FALSE)</f>
        <v>#N/A</v>
      </c>
    </row>
    <row r="815" spans="1:30" ht="30" customHeight="1" x14ac:dyDescent="0.3">
      <c r="A815" s="231"/>
      <c r="B815" s="173"/>
      <c r="C815" s="78"/>
      <c r="D815" s="78"/>
      <c r="E815" s="79"/>
      <c r="F815" s="78"/>
      <c r="G815" s="78"/>
      <c r="H815" s="78"/>
      <c r="I815" s="78"/>
      <c r="J815" s="78"/>
      <c r="K815" s="110"/>
      <c r="L815" s="110"/>
      <c r="M815" s="78"/>
      <c r="N815" s="78"/>
      <c r="O815" s="117"/>
      <c r="P815" s="114" t="e">
        <f t="shared" si="11"/>
        <v>#N/A</v>
      </c>
      <c r="Q815" s="77" t="e">
        <f>VLOOKUP($B815,'Component List'!$A$2:$B$30,2,FALSE)</f>
        <v>#N/A</v>
      </c>
      <c r="R815" s="77" t="e">
        <f>VLOOKUP($C815,'Component List'!C$2:D$28,2,FALSE)</f>
        <v>#N/A</v>
      </c>
      <c r="S815" s="77" t="e">
        <f>VLOOKUP($D815,'Component List'!E$2:F$30,2,FALSE)</f>
        <v>#N/A</v>
      </c>
      <c r="T815" s="77" t="e">
        <f>VLOOKUP($E815,'Component List'!G$2:H$30,2,FALSE)</f>
        <v>#N/A</v>
      </c>
      <c r="U815" s="77" t="e">
        <f>VLOOKUP($F815,'Component List'!I$2:J$30,2,FALSE)</f>
        <v>#N/A</v>
      </c>
      <c r="V815" s="77" t="e">
        <f>VLOOKUP(G815,'Component List'!K$2:L$30,2,FALSE)</f>
        <v>#N/A</v>
      </c>
      <c r="W815" s="77" t="e">
        <f>VLOOKUP(H815,'Component List'!M$2:N$31,2,FALSE)</f>
        <v>#N/A</v>
      </c>
      <c r="X815" s="77" t="e">
        <f>VLOOKUP(I815,'Component List'!O$2:P$30,2,FALSE)</f>
        <v>#N/A</v>
      </c>
      <c r="Y815" s="77" t="e">
        <f>VLOOKUP(J815,'Component List'!Q$2:R$30,2,FALSE)</f>
        <v>#N/A</v>
      </c>
      <c r="Z815" s="77" t="e">
        <f>VLOOKUP(K815,'Component List'!S$2:T$30,2,FALSE)</f>
        <v>#N/A</v>
      </c>
      <c r="AA815" s="77" t="e">
        <f>VLOOKUP(L815,'Component List'!U$2:V$30,2,FALSE)</f>
        <v>#N/A</v>
      </c>
      <c r="AB815" s="77" t="e">
        <f>VLOOKUP(M815,'Component List'!AA$2:AB$30,2,FALSE)</f>
        <v>#N/A</v>
      </c>
      <c r="AC815" s="77" t="e">
        <f>VLOOKUP(N815,'Component List'!Y$2:Z$30,2,FALSE)</f>
        <v>#N/A</v>
      </c>
      <c r="AD815" s="159" t="e">
        <f>VLOOKUP(O815,'Component List'!W$3:X$30,2,FALSE)</f>
        <v>#N/A</v>
      </c>
    </row>
    <row r="816" spans="1:30" ht="30" customHeight="1" x14ac:dyDescent="0.3">
      <c r="A816" s="231"/>
      <c r="B816" s="173"/>
      <c r="C816" s="78"/>
      <c r="D816" s="78"/>
      <c r="E816" s="79"/>
      <c r="F816" s="78"/>
      <c r="G816" s="78"/>
      <c r="H816" s="78"/>
      <c r="I816" s="78"/>
      <c r="J816" s="78"/>
      <c r="K816" s="110"/>
      <c r="L816" s="110"/>
      <c r="M816" s="78"/>
      <c r="N816" s="78"/>
      <c r="O816" s="117"/>
      <c r="P816" s="114" t="e">
        <f t="shared" si="11"/>
        <v>#N/A</v>
      </c>
      <c r="Q816" s="77" t="e">
        <f>VLOOKUP($B816,'Component List'!$A$2:$B$30,2,FALSE)</f>
        <v>#N/A</v>
      </c>
      <c r="R816" s="77" t="e">
        <f>VLOOKUP($C816,'Component List'!C$2:D$28,2,FALSE)</f>
        <v>#N/A</v>
      </c>
      <c r="S816" s="77" t="e">
        <f>VLOOKUP($D816,'Component List'!E$2:F$30,2,FALSE)</f>
        <v>#N/A</v>
      </c>
      <c r="T816" s="77" t="e">
        <f>VLOOKUP($E816,'Component List'!G$2:H$30,2,FALSE)</f>
        <v>#N/A</v>
      </c>
      <c r="U816" s="77" t="e">
        <f>VLOOKUP($F816,'Component List'!I$2:J$30,2,FALSE)</f>
        <v>#N/A</v>
      </c>
      <c r="V816" s="77" t="e">
        <f>VLOOKUP(G816,'Component List'!K$2:L$30,2,FALSE)</f>
        <v>#N/A</v>
      </c>
      <c r="W816" s="77" t="e">
        <f>VLOOKUP(H816,'Component List'!M$2:N$31,2,FALSE)</f>
        <v>#N/A</v>
      </c>
      <c r="X816" s="77" t="e">
        <f>VLOOKUP(I816,'Component List'!O$2:P$30,2,FALSE)</f>
        <v>#N/A</v>
      </c>
      <c r="Y816" s="77" t="e">
        <f>VLOOKUP(J816,'Component List'!Q$2:R$30,2,FALSE)</f>
        <v>#N/A</v>
      </c>
      <c r="Z816" s="77" t="e">
        <f>VLOOKUP(K816,'Component List'!S$2:T$30,2,FALSE)</f>
        <v>#N/A</v>
      </c>
      <c r="AA816" s="77" t="e">
        <f>VLOOKUP(L816,'Component List'!U$2:V$30,2,FALSE)</f>
        <v>#N/A</v>
      </c>
      <c r="AB816" s="77" t="e">
        <f>VLOOKUP(M816,'Component List'!AA$2:AB$30,2,FALSE)</f>
        <v>#N/A</v>
      </c>
      <c r="AC816" s="77" t="e">
        <f>VLOOKUP(N816,'Component List'!Y$2:Z$30,2,FALSE)</f>
        <v>#N/A</v>
      </c>
      <c r="AD816" s="159" t="e">
        <f>VLOOKUP(O816,'Component List'!W$3:X$30,2,FALSE)</f>
        <v>#N/A</v>
      </c>
    </row>
    <row r="817" spans="1:30" ht="30" customHeight="1" x14ac:dyDescent="0.3">
      <c r="A817" s="231"/>
      <c r="B817" s="173"/>
      <c r="C817" s="78"/>
      <c r="D817" s="78"/>
      <c r="E817" s="79"/>
      <c r="F817" s="78"/>
      <c r="G817" s="78"/>
      <c r="H817" s="78"/>
      <c r="I817" s="78"/>
      <c r="J817" s="78"/>
      <c r="K817" s="110"/>
      <c r="L817" s="110"/>
      <c r="M817" s="78"/>
      <c r="N817" s="78"/>
      <c r="O817" s="117"/>
      <c r="P817" s="114" t="e">
        <f t="shared" si="11"/>
        <v>#N/A</v>
      </c>
      <c r="Q817" s="77" t="e">
        <f>VLOOKUP($B817,'Component List'!$A$2:$B$30,2,FALSE)</f>
        <v>#N/A</v>
      </c>
      <c r="R817" s="77" t="e">
        <f>VLOOKUP($C817,'Component List'!C$2:D$28,2,FALSE)</f>
        <v>#N/A</v>
      </c>
      <c r="S817" s="77" t="e">
        <f>VLOOKUP($D817,'Component List'!E$2:F$30,2,FALSE)</f>
        <v>#N/A</v>
      </c>
      <c r="T817" s="77" t="e">
        <f>VLOOKUP($E817,'Component List'!G$2:H$30,2,FALSE)</f>
        <v>#N/A</v>
      </c>
      <c r="U817" s="77" t="e">
        <f>VLOOKUP($F817,'Component List'!I$2:J$30,2,FALSE)</f>
        <v>#N/A</v>
      </c>
      <c r="V817" s="77" t="e">
        <f>VLOOKUP(G817,'Component List'!K$2:L$30,2,FALSE)</f>
        <v>#N/A</v>
      </c>
      <c r="W817" s="77" t="e">
        <f>VLOOKUP(H817,'Component List'!M$2:N$31,2,FALSE)</f>
        <v>#N/A</v>
      </c>
      <c r="X817" s="77" t="e">
        <f>VLOOKUP(I817,'Component List'!O$2:P$30,2,FALSE)</f>
        <v>#N/A</v>
      </c>
      <c r="Y817" s="77" t="e">
        <f>VLOOKUP(J817,'Component List'!Q$2:R$30,2,FALSE)</f>
        <v>#N/A</v>
      </c>
      <c r="Z817" s="77" t="e">
        <f>VLOOKUP(K817,'Component List'!S$2:T$30,2,FALSE)</f>
        <v>#N/A</v>
      </c>
      <c r="AA817" s="77" t="e">
        <f>VLOOKUP(L817,'Component List'!U$2:V$30,2,FALSE)</f>
        <v>#N/A</v>
      </c>
      <c r="AB817" s="77" t="e">
        <f>VLOOKUP(M817,'Component List'!AA$2:AB$30,2,FALSE)</f>
        <v>#N/A</v>
      </c>
      <c r="AC817" s="77" t="e">
        <f>VLOOKUP(N817,'Component List'!Y$2:Z$30,2,FALSE)</f>
        <v>#N/A</v>
      </c>
      <c r="AD817" s="159" t="e">
        <f>VLOOKUP(O817,'Component List'!W$3:X$30,2,FALSE)</f>
        <v>#N/A</v>
      </c>
    </row>
    <row r="818" spans="1:30" ht="30" customHeight="1" x14ac:dyDescent="0.3">
      <c r="A818" s="231"/>
      <c r="B818" s="173"/>
      <c r="C818" s="78"/>
      <c r="D818" s="78"/>
      <c r="E818" s="79"/>
      <c r="F818" s="78"/>
      <c r="G818" s="78"/>
      <c r="H818" s="78"/>
      <c r="I818" s="78"/>
      <c r="J818" s="78"/>
      <c r="K818" s="110"/>
      <c r="L818" s="110"/>
      <c r="M818" s="78"/>
      <c r="N818" s="78"/>
      <c r="O818" s="117"/>
      <c r="P818" s="114" t="e">
        <f t="shared" si="11"/>
        <v>#N/A</v>
      </c>
      <c r="Q818" s="77" t="e">
        <f>VLOOKUP($B818,'Component List'!$A$2:$B$30,2,FALSE)</f>
        <v>#N/A</v>
      </c>
      <c r="R818" s="77" t="e">
        <f>VLOOKUP($C818,'Component List'!C$2:D$28,2,FALSE)</f>
        <v>#N/A</v>
      </c>
      <c r="S818" s="77" t="e">
        <f>VLOOKUP($D818,'Component List'!E$2:F$30,2,FALSE)</f>
        <v>#N/A</v>
      </c>
      <c r="T818" s="77" t="e">
        <f>VLOOKUP($E818,'Component List'!G$2:H$30,2,FALSE)</f>
        <v>#N/A</v>
      </c>
      <c r="U818" s="77" t="e">
        <f>VLOOKUP($F818,'Component List'!I$2:J$30,2,FALSE)</f>
        <v>#N/A</v>
      </c>
      <c r="V818" s="77" t="e">
        <f>VLOOKUP(G818,'Component List'!K$2:L$30,2,FALSE)</f>
        <v>#N/A</v>
      </c>
      <c r="W818" s="77" t="e">
        <f>VLOOKUP(H818,'Component List'!M$2:N$31,2,FALSE)</f>
        <v>#N/A</v>
      </c>
      <c r="X818" s="77" t="e">
        <f>VLOOKUP(I818,'Component List'!O$2:P$30,2,FALSE)</f>
        <v>#N/A</v>
      </c>
      <c r="Y818" s="77" t="e">
        <f>VLOOKUP(J818,'Component List'!Q$2:R$30,2,FALSE)</f>
        <v>#N/A</v>
      </c>
      <c r="Z818" s="77" t="e">
        <f>VLOOKUP(K818,'Component List'!S$2:T$30,2,FALSE)</f>
        <v>#N/A</v>
      </c>
      <c r="AA818" s="77" t="e">
        <f>VLOOKUP(L818,'Component List'!U$2:V$30,2,FALSE)</f>
        <v>#N/A</v>
      </c>
      <c r="AB818" s="77" t="e">
        <f>VLOOKUP(M818,'Component List'!AA$2:AB$30,2,FALSE)</f>
        <v>#N/A</v>
      </c>
      <c r="AC818" s="77" t="e">
        <f>VLOOKUP(N818,'Component List'!Y$2:Z$30,2,FALSE)</f>
        <v>#N/A</v>
      </c>
      <c r="AD818" s="159" t="e">
        <f>VLOOKUP(O818,'Component List'!W$3:X$30,2,FALSE)</f>
        <v>#N/A</v>
      </c>
    </row>
    <row r="819" spans="1:30" ht="30" customHeight="1" x14ac:dyDescent="0.3">
      <c r="A819" s="231"/>
      <c r="B819" s="173"/>
      <c r="C819" s="78"/>
      <c r="D819" s="78"/>
      <c r="E819" s="79"/>
      <c r="F819" s="78"/>
      <c r="G819" s="78"/>
      <c r="H819" s="78"/>
      <c r="I819" s="78"/>
      <c r="J819" s="78"/>
      <c r="K819" s="110"/>
      <c r="L819" s="110"/>
      <c r="M819" s="78"/>
      <c r="N819" s="78"/>
      <c r="O819" s="117"/>
      <c r="P819" s="114" t="e">
        <f t="shared" si="11"/>
        <v>#N/A</v>
      </c>
      <c r="Q819" s="77" t="e">
        <f>VLOOKUP($B819,'Component List'!$A$2:$B$30,2,FALSE)</f>
        <v>#N/A</v>
      </c>
      <c r="R819" s="77" t="e">
        <f>VLOOKUP($C819,'Component List'!C$2:D$28,2,FALSE)</f>
        <v>#N/A</v>
      </c>
      <c r="S819" s="77" t="e">
        <f>VLOOKUP($D819,'Component List'!E$2:F$30,2,FALSE)</f>
        <v>#N/A</v>
      </c>
      <c r="T819" s="77" t="e">
        <f>VLOOKUP($E819,'Component List'!G$2:H$30,2,FALSE)</f>
        <v>#N/A</v>
      </c>
      <c r="U819" s="77" t="e">
        <f>VLOOKUP($F819,'Component List'!I$2:J$30,2,FALSE)</f>
        <v>#N/A</v>
      </c>
      <c r="V819" s="77" t="e">
        <f>VLOOKUP(G819,'Component List'!K$2:L$30,2,FALSE)</f>
        <v>#N/A</v>
      </c>
      <c r="W819" s="77" t="e">
        <f>VLOOKUP(H819,'Component List'!M$2:N$31,2,FALSE)</f>
        <v>#N/A</v>
      </c>
      <c r="X819" s="77" t="e">
        <f>VLOOKUP(I819,'Component List'!O$2:P$30,2,FALSE)</f>
        <v>#N/A</v>
      </c>
      <c r="Y819" s="77" t="e">
        <f>VLOOKUP(J819,'Component List'!Q$2:R$30,2,FALSE)</f>
        <v>#N/A</v>
      </c>
      <c r="Z819" s="77" t="e">
        <f>VLOOKUP(K819,'Component List'!S$2:T$30,2,FALSE)</f>
        <v>#N/A</v>
      </c>
      <c r="AA819" s="77" t="e">
        <f>VLOOKUP(L819,'Component List'!U$2:V$30,2,FALSE)</f>
        <v>#N/A</v>
      </c>
      <c r="AB819" s="77" t="e">
        <f>VLOOKUP(M819,'Component List'!AA$2:AB$30,2,FALSE)</f>
        <v>#N/A</v>
      </c>
      <c r="AC819" s="77" t="e">
        <f>VLOOKUP(N819,'Component List'!Y$2:Z$30,2,FALSE)</f>
        <v>#N/A</v>
      </c>
      <c r="AD819" s="159" t="e">
        <f>VLOOKUP(O819,'Component List'!W$3:X$30,2,FALSE)</f>
        <v>#N/A</v>
      </c>
    </row>
    <row r="820" spans="1:30" ht="30" customHeight="1" x14ac:dyDescent="0.3">
      <c r="A820" s="231"/>
      <c r="B820" s="173"/>
      <c r="C820" s="78"/>
      <c r="D820" s="78"/>
      <c r="E820" s="79"/>
      <c r="F820" s="78"/>
      <c r="G820" s="78"/>
      <c r="H820" s="78"/>
      <c r="I820" s="78"/>
      <c r="J820" s="78"/>
      <c r="K820" s="110"/>
      <c r="L820" s="110"/>
      <c r="M820" s="78"/>
      <c r="N820" s="78"/>
      <c r="O820" s="117"/>
      <c r="P820" s="114" t="e">
        <f t="shared" si="11"/>
        <v>#N/A</v>
      </c>
      <c r="Q820" s="77" t="e">
        <f>VLOOKUP($B820,'Component List'!$A$2:$B$30,2,FALSE)</f>
        <v>#N/A</v>
      </c>
      <c r="R820" s="77" t="e">
        <f>VLOOKUP($C820,'Component List'!C$2:D$28,2,FALSE)</f>
        <v>#N/A</v>
      </c>
      <c r="S820" s="77" t="e">
        <f>VLOOKUP($D820,'Component List'!E$2:F$30,2,FALSE)</f>
        <v>#N/A</v>
      </c>
      <c r="T820" s="77" t="e">
        <f>VLOOKUP($E820,'Component List'!G$2:H$30,2,FALSE)</f>
        <v>#N/A</v>
      </c>
      <c r="U820" s="77" t="e">
        <f>VLOOKUP($F820,'Component List'!I$2:J$30,2,FALSE)</f>
        <v>#N/A</v>
      </c>
      <c r="V820" s="77" t="e">
        <f>VLOOKUP(G820,'Component List'!K$2:L$30,2,FALSE)</f>
        <v>#N/A</v>
      </c>
      <c r="W820" s="77" t="e">
        <f>VLOOKUP(H820,'Component List'!M$2:N$31,2,FALSE)</f>
        <v>#N/A</v>
      </c>
      <c r="X820" s="77" t="e">
        <f>VLOOKUP(I820,'Component List'!O$2:P$30,2,FALSE)</f>
        <v>#N/A</v>
      </c>
      <c r="Y820" s="77" t="e">
        <f>VLOOKUP(J820,'Component List'!Q$2:R$30,2,FALSE)</f>
        <v>#N/A</v>
      </c>
      <c r="Z820" s="77" t="e">
        <f>VLOOKUP(K820,'Component List'!S$2:T$30,2,FALSE)</f>
        <v>#N/A</v>
      </c>
      <c r="AA820" s="77" t="e">
        <f>VLOOKUP(L820,'Component List'!U$2:V$30,2,FALSE)</f>
        <v>#N/A</v>
      </c>
      <c r="AB820" s="77" t="e">
        <f>VLOOKUP(M820,'Component List'!AA$2:AB$30,2,FALSE)</f>
        <v>#N/A</v>
      </c>
      <c r="AC820" s="77" t="e">
        <f>VLOOKUP(N820,'Component List'!Y$2:Z$30,2,FALSE)</f>
        <v>#N/A</v>
      </c>
      <c r="AD820" s="159" t="e">
        <f>VLOOKUP(O820,'Component List'!W$3:X$30,2,FALSE)</f>
        <v>#N/A</v>
      </c>
    </row>
    <row r="821" spans="1:30" ht="30" customHeight="1" x14ac:dyDescent="0.3">
      <c r="A821" s="231"/>
      <c r="B821" s="173"/>
      <c r="C821" s="78"/>
      <c r="D821" s="78"/>
      <c r="E821" s="79"/>
      <c r="F821" s="78"/>
      <c r="G821" s="78"/>
      <c r="H821" s="78"/>
      <c r="I821" s="78"/>
      <c r="J821" s="78"/>
      <c r="K821" s="110"/>
      <c r="L821" s="110"/>
      <c r="M821" s="78"/>
      <c r="N821" s="78"/>
      <c r="O821" s="117"/>
      <c r="P821" s="114" t="e">
        <f t="shared" si="11"/>
        <v>#N/A</v>
      </c>
      <c r="Q821" s="77" t="e">
        <f>VLOOKUP($B821,'Component List'!$A$2:$B$30,2,FALSE)</f>
        <v>#N/A</v>
      </c>
      <c r="R821" s="77" t="e">
        <f>VLOOKUP($C821,'Component List'!C$2:D$28,2,FALSE)</f>
        <v>#N/A</v>
      </c>
      <c r="S821" s="77" t="e">
        <f>VLOOKUP($D821,'Component List'!E$2:F$30,2,FALSE)</f>
        <v>#N/A</v>
      </c>
      <c r="T821" s="77" t="e">
        <f>VLOOKUP($E821,'Component List'!G$2:H$30,2,FALSE)</f>
        <v>#N/A</v>
      </c>
      <c r="U821" s="77" t="e">
        <f>VLOOKUP($F821,'Component List'!I$2:J$30,2,FALSE)</f>
        <v>#N/A</v>
      </c>
      <c r="V821" s="77" t="e">
        <f>VLOOKUP(G821,'Component List'!K$2:L$30,2,FALSE)</f>
        <v>#N/A</v>
      </c>
      <c r="W821" s="77" t="e">
        <f>VLOOKUP(H821,'Component List'!M$2:N$31,2,FALSE)</f>
        <v>#N/A</v>
      </c>
      <c r="X821" s="77" t="e">
        <f>VLOOKUP(I821,'Component List'!O$2:P$30,2,FALSE)</f>
        <v>#N/A</v>
      </c>
      <c r="Y821" s="77" t="e">
        <f>VLOOKUP(J821,'Component List'!Q$2:R$30,2,FALSE)</f>
        <v>#N/A</v>
      </c>
      <c r="Z821" s="77" t="e">
        <f>VLOOKUP(K821,'Component List'!S$2:T$30,2,FALSE)</f>
        <v>#N/A</v>
      </c>
      <c r="AA821" s="77" t="e">
        <f>VLOOKUP(L821,'Component List'!U$2:V$30,2,FALSE)</f>
        <v>#N/A</v>
      </c>
      <c r="AB821" s="77" t="e">
        <f>VLOOKUP(M821,'Component List'!AA$2:AB$30,2,FALSE)</f>
        <v>#N/A</v>
      </c>
      <c r="AC821" s="77" t="e">
        <f>VLOOKUP(N821,'Component List'!Y$2:Z$30,2,FALSE)</f>
        <v>#N/A</v>
      </c>
      <c r="AD821" s="159" t="e">
        <f>VLOOKUP(O821,'Component List'!W$3:X$30,2,FALSE)</f>
        <v>#N/A</v>
      </c>
    </row>
    <row r="822" spans="1:30" ht="30" customHeight="1" x14ac:dyDescent="0.3">
      <c r="A822" s="231"/>
      <c r="B822" s="173"/>
      <c r="C822" s="78"/>
      <c r="D822" s="78"/>
      <c r="E822" s="79"/>
      <c r="F822" s="78"/>
      <c r="G822" s="78"/>
      <c r="H822" s="78"/>
      <c r="I822" s="78"/>
      <c r="J822" s="78"/>
      <c r="K822" s="110"/>
      <c r="L822" s="110"/>
      <c r="M822" s="78"/>
      <c r="N822" s="78"/>
      <c r="O822" s="117"/>
      <c r="P822" s="114" t="e">
        <f t="shared" si="11"/>
        <v>#N/A</v>
      </c>
      <c r="Q822" s="77" t="e">
        <f>VLOOKUP($B822,'Component List'!$A$2:$B$30,2,FALSE)</f>
        <v>#N/A</v>
      </c>
      <c r="R822" s="77" t="e">
        <f>VLOOKUP($C822,'Component List'!C$2:D$28,2,FALSE)</f>
        <v>#N/A</v>
      </c>
      <c r="S822" s="77" t="e">
        <f>VLOOKUP($D822,'Component List'!E$2:F$30,2,FALSE)</f>
        <v>#N/A</v>
      </c>
      <c r="T822" s="77" t="e">
        <f>VLOOKUP($E822,'Component List'!G$2:H$30,2,FALSE)</f>
        <v>#N/A</v>
      </c>
      <c r="U822" s="77" t="e">
        <f>VLOOKUP($F822,'Component List'!I$2:J$30,2,FALSE)</f>
        <v>#N/A</v>
      </c>
      <c r="V822" s="77" t="e">
        <f>VLOOKUP(G822,'Component List'!K$2:L$30,2,FALSE)</f>
        <v>#N/A</v>
      </c>
      <c r="W822" s="77" t="e">
        <f>VLOOKUP(H822,'Component List'!M$2:N$31,2,FALSE)</f>
        <v>#N/A</v>
      </c>
      <c r="X822" s="77" t="e">
        <f>VLOOKUP(I822,'Component List'!O$2:P$30,2,FALSE)</f>
        <v>#N/A</v>
      </c>
      <c r="Y822" s="77" t="e">
        <f>VLOOKUP(J822,'Component List'!Q$2:R$30,2,FALSE)</f>
        <v>#N/A</v>
      </c>
      <c r="Z822" s="77" t="e">
        <f>VLOOKUP(K822,'Component List'!S$2:T$30,2,FALSE)</f>
        <v>#N/A</v>
      </c>
      <c r="AA822" s="77" t="e">
        <f>VLOOKUP(L822,'Component List'!U$2:V$30,2,FALSE)</f>
        <v>#N/A</v>
      </c>
      <c r="AB822" s="77" t="e">
        <f>VLOOKUP(M822,'Component List'!AA$2:AB$30,2,FALSE)</f>
        <v>#N/A</v>
      </c>
      <c r="AC822" s="77" t="e">
        <f>VLOOKUP(N822,'Component List'!Y$2:Z$30,2,FALSE)</f>
        <v>#N/A</v>
      </c>
      <c r="AD822" s="159" t="e">
        <f>VLOOKUP(O822,'Component List'!W$3:X$30,2,FALSE)</f>
        <v>#N/A</v>
      </c>
    </row>
    <row r="823" spans="1:30" ht="30" customHeight="1" x14ac:dyDescent="0.3">
      <c r="A823" s="231"/>
      <c r="B823" s="173"/>
      <c r="C823" s="78"/>
      <c r="D823" s="78"/>
      <c r="E823" s="79"/>
      <c r="F823" s="78"/>
      <c r="G823" s="78"/>
      <c r="H823" s="78"/>
      <c r="I823" s="78"/>
      <c r="J823" s="78"/>
      <c r="K823" s="110"/>
      <c r="L823" s="110"/>
      <c r="M823" s="78"/>
      <c r="N823" s="78"/>
      <c r="O823" s="117"/>
      <c r="P823" s="114" t="e">
        <f t="shared" si="11"/>
        <v>#N/A</v>
      </c>
      <c r="Q823" s="77" t="e">
        <f>VLOOKUP($B823,'Component List'!$A$2:$B$30,2,FALSE)</f>
        <v>#N/A</v>
      </c>
      <c r="R823" s="77" t="e">
        <f>VLOOKUP($C823,'Component List'!C$2:D$28,2,FALSE)</f>
        <v>#N/A</v>
      </c>
      <c r="S823" s="77" t="e">
        <f>VLOOKUP($D823,'Component List'!E$2:F$30,2,FALSE)</f>
        <v>#N/A</v>
      </c>
      <c r="T823" s="77" t="e">
        <f>VLOOKUP($E823,'Component List'!G$2:H$30,2,FALSE)</f>
        <v>#N/A</v>
      </c>
      <c r="U823" s="77" t="e">
        <f>VLOOKUP($F823,'Component List'!I$2:J$30,2,FALSE)</f>
        <v>#N/A</v>
      </c>
      <c r="V823" s="77" t="e">
        <f>VLOOKUP(G823,'Component List'!K$2:L$30,2,FALSE)</f>
        <v>#N/A</v>
      </c>
      <c r="W823" s="77" t="e">
        <f>VLOOKUP(H823,'Component List'!M$2:N$31,2,FALSE)</f>
        <v>#N/A</v>
      </c>
      <c r="X823" s="77" t="e">
        <f>VLOOKUP(I823,'Component List'!O$2:P$30,2,FALSE)</f>
        <v>#N/A</v>
      </c>
      <c r="Y823" s="77" t="e">
        <f>VLOOKUP(J823,'Component List'!Q$2:R$30,2,FALSE)</f>
        <v>#N/A</v>
      </c>
      <c r="Z823" s="77" t="e">
        <f>VLOOKUP(K823,'Component List'!S$2:T$30,2,FALSE)</f>
        <v>#N/A</v>
      </c>
      <c r="AA823" s="77" t="e">
        <f>VLOOKUP(L823,'Component List'!U$2:V$30,2,FALSE)</f>
        <v>#N/A</v>
      </c>
      <c r="AB823" s="77" t="e">
        <f>VLOOKUP(M823,'Component List'!AA$2:AB$30,2,FALSE)</f>
        <v>#N/A</v>
      </c>
      <c r="AC823" s="77" t="e">
        <f>VLOOKUP(N823,'Component List'!Y$2:Z$30,2,FALSE)</f>
        <v>#N/A</v>
      </c>
      <c r="AD823" s="159" t="e">
        <f>VLOOKUP(O823,'Component List'!W$3:X$30,2,FALSE)</f>
        <v>#N/A</v>
      </c>
    </row>
    <row r="824" spans="1:30" ht="30" customHeight="1" x14ac:dyDescent="0.3">
      <c r="A824" s="231"/>
      <c r="B824" s="173"/>
      <c r="C824" s="78"/>
      <c r="D824" s="78"/>
      <c r="E824" s="79"/>
      <c r="F824" s="78"/>
      <c r="G824" s="78"/>
      <c r="H824" s="78"/>
      <c r="I824" s="78"/>
      <c r="J824" s="78"/>
      <c r="K824" s="110"/>
      <c r="L824" s="110"/>
      <c r="M824" s="78"/>
      <c r="N824" s="78"/>
      <c r="O824" s="117"/>
      <c r="P824" s="114" t="e">
        <f t="shared" si="11"/>
        <v>#N/A</v>
      </c>
      <c r="Q824" s="77" t="e">
        <f>VLOOKUP($B824,'Component List'!$A$2:$B$30,2,FALSE)</f>
        <v>#N/A</v>
      </c>
      <c r="R824" s="77" t="e">
        <f>VLOOKUP($C824,'Component List'!C$2:D$28,2,FALSE)</f>
        <v>#N/A</v>
      </c>
      <c r="S824" s="77" t="e">
        <f>VLOOKUP($D824,'Component List'!E$2:F$30,2,FALSE)</f>
        <v>#N/A</v>
      </c>
      <c r="T824" s="77" t="e">
        <f>VLOOKUP($E824,'Component List'!G$2:H$30,2,FALSE)</f>
        <v>#N/A</v>
      </c>
      <c r="U824" s="77" t="e">
        <f>VLOOKUP($F824,'Component List'!I$2:J$30,2,FALSE)</f>
        <v>#N/A</v>
      </c>
      <c r="V824" s="77" t="e">
        <f>VLOOKUP(G824,'Component List'!K$2:L$30,2,FALSE)</f>
        <v>#N/A</v>
      </c>
      <c r="W824" s="77" t="e">
        <f>VLOOKUP(H824,'Component List'!M$2:N$31,2,FALSE)</f>
        <v>#N/A</v>
      </c>
      <c r="X824" s="77" t="e">
        <f>VLOOKUP(I824,'Component List'!O$2:P$30,2,FALSE)</f>
        <v>#N/A</v>
      </c>
      <c r="Y824" s="77" t="e">
        <f>VLOOKUP(J824,'Component List'!Q$2:R$30,2,FALSE)</f>
        <v>#N/A</v>
      </c>
      <c r="Z824" s="77" t="e">
        <f>VLOOKUP(K824,'Component List'!S$2:T$30,2,FALSE)</f>
        <v>#N/A</v>
      </c>
      <c r="AA824" s="77" t="e">
        <f>VLOOKUP(L824,'Component List'!U$2:V$30,2,FALSE)</f>
        <v>#N/A</v>
      </c>
      <c r="AB824" s="77" t="e">
        <f>VLOOKUP(M824,'Component List'!AA$2:AB$30,2,FALSE)</f>
        <v>#N/A</v>
      </c>
      <c r="AC824" s="77" t="e">
        <f>VLOOKUP(N824,'Component List'!Y$2:Z$30,2,FALSE)</f>
        <v>#N/A</v>
      </c>
      <c r="AD824" s="159" t="e">
        <f>VLOOKUP(O824,'Component List'!W$3:X$30,2,FALSE)</f>
        <v>#N/A</v>
      </c>
    </row>
    <row r="825" spans="1:30" ht="30" customHeight="1" x14ac:dyDescent="0.3">
      <c r="A825" s="231"/>
      <c r="B825" s="173"/>
      <c r="C825" s="78"/>
      <c r="D825" s="78"/>
      <c r="E825" s="79"/>
      <c r="F825" s="78"/>
      <c r="G825" s="78"/>
      <c r="H825" s="78"/>
      <c r="I825" s="78"/>
      <c r="J825" s="78"/>
      <c r="K825" s="110"/>
      <c r="L825" s="110"/>
      <c r="M825" s="78"/>
      <c r="N825" s="78"/>
      <c r="O825" s="117"/>
      <c r="P825" s="114" t="e">
        <f t="shared" si="11"/>
        <v>#N/A</v>
      </c>
      <c r="Q825" s="77" t="e">
        <f>VLOOKUP($B825,'Component List'!$A$2:$B$30,2,FALSE)</f>
        <v>#N/A</v>
      </c>
      <c r="R825" s="77" t="e">
        <f>VLOOKUP($C825,'Component List'!C$2:D$28,2,FALSE)</f>
        <v>#N/A</v>
      </c>
      <c r="S825" s="77" t="e">
        <f>VLOOKUP($D825,'Component List'!E$2:F$30,2,FALSE)</f>
        <v>#N/A</v>
      </c>
      <c r="T825" s="77" t="e">
        <f>VLOOKUP($E825,'Component List'!G$2:H$30,2,FALSE)</f>
        <v>#N/A</v>
      </c>
      <c r="U825" s="77" t="e">
        <f>VLOOKUP($F825,'Component List'!I$2:J$30,2,FALSE)</f>
        <v>#N/A</v>
      </c>
      <c r="V825" s="77" t="e">
        <f>VLOOKUP(G825,'Component List'!K$2:L$30,2,FALSE)</f>
        <v>#N/A</v>
      </c>
      <c r="W825" s="77" t="e">
        <f>VLOOKUP(H825,'Component List'!M$2:N$31,2,FALSE)</f>
        <v>#N/A</v>
      </c>
      <c r="X825" s="77" t="e">
        <f>VLOOKUP(I825,'Component List'!O$2:P$30,2,FALSE)</f>
        <v>#N/A</v>
      </c>
      <c r="Y825" s="77" t="e">
        <f>VLOOKUP(J825,'Component List'!Q$2:R$30,2,FALSE)</f>
        <v>#N/A</v>
      </c>
      <c r="Z825" s="77" t="e">
        <f>VLOOKUP(K825,'Component List'!S$2:T$30,2,FALSE)</f>
        <v>#N/A</v>
      </c>
      <c r="AA825" s="77" t="e">
        <f>VLOOKUP(L825,'Component List'!U$2:V$30,2,FALSE)</f>
        <v>#N/A</v>
      </c>
      <c r="AB825" s="77" t="e">
        <f>VLOOKUP(M825,'Component List'!AA$2:AB$30,2,FALSE)</f>
        <v>#N/A</v>
      </c>
      <c r="AC825" s="77" t="e">
        <f>VLOOKUP(N825,'Component List'!Y$2:Z$30,2,FALSE)</f>
        <v>#N/A</v>
      </c>
      <c r="AD825" s="159" t="e">
        <f>VLOOKUP(O825,'Component List'!W$3:X$30,2,FALSE)</f>
        <v>#N/A</v>
      </c>
    </row>
    <row r="826" spans="1:30" ht="30" customHeight="1" x14ac:dyDescent="0.3">
      <c r="A826" s="231"/>
      <c r="B826" s="173"/>
      <c r="C826" s="78"/>
      <c r="D826" s="78"/>
      <c r="E826" s="79"/>
      <c r="F826" s="78"/>
      <c r="G826" s="78"/>
      <c r="H826" s="78"/>
      <c r="I826" s="78"/>
      <c r="J826" s="78"/>
      <c r="K826" s="110"/>
      <c r="L826" s="110"/>
      <c r="M826" s="78"/>
      <c r="N826" s="78"/>
      <c r="O826" s="117"/>
      <c r="P826" s="114" t="e">
        <f t="shared" si="11"/>
        <v>#N/A</v>
      </c>
      <c r="Q826" s="77" t="e">
        <f>VLOOKUP($B826,'Component List'!$A$2:$B$30,2,FALSE)</f>
        <v>#N/A</v>
      </c>
      <c r="R826" s="77" t="e">
        <f>VLOOKUP($C826,'Component List'!C$2:D$28,2,FALSE)</f>
        <v>#N/A</v>
      </c>
      <c r="S826" s="77" t="e">
        <f>VLOOKUP($D826,'Component List'!E$2:F$30,2,FALSE)</f>
        <v>#N/A</v>
      </c>
      <c r="T826" s="77" t="e">
        <f>VLOOKUP($E826,'Component List'!G$2:H$30,2,FALSE)</f>
        <v>#N/A</v>
      </c>
      <c r="U826" s="77" t="e">
        <f>VLOOKUP($F826,'Component List'!I$2:J$30,2,FALSE)</f>
        <v>#N/A</v>
      </c>
      <c r="V826" s="77" t="e">
        <f>VLOOKUP(G826,'Component List'!K$2:L$30,2,FALSE)</f>
        <v>#N/A</v>
      </c>
      <c r="W826" s="77" t="e">
        <f>VLOOKUP(H826,'Component List'!M$2:N$31,2,FALSE)</f>
        <v>#N/A</v>
      </c>
      <c r="X826" s="77" t="e">
        <f>VLOOKUP(I826,'Component List'!O$2:P$30,2,FALSE)</f>
        <v>#N/A</v>
      </c>
      <c r="Y826" s="77" t="e">
        <f>VLOOKUP(J826,'Component List'!Q$2:R$30,2,FALSE)</f>
        <v>#N/A</v>
      </c>
      <c r="Z826" s="77" t="e">
        <f>VLOOKUP(K826,'Component List'!S$2:T$30,2,FALSE)</f>
        <v>#N/A</v>
      </c>
      <c r="AA826" s="77" t="e">
        <f>VLOOKUP(L826,'Component List'!U$2:V$30,2,FALSE)</f>
        <v>#N/A</v>
      </c>
      <c r="AB826" s="77" t="e">
        <f>VLOOKUP(M826,'Component List'!AA$2:AB$30,2,FALSE)</f>
        <v>#N/A</v>
      </c>
      <c r="AC826" s="77" t="e">
        <f>VLOOKUP(N826,'Component List'!Y$2:Z$30,2,FALSE)</f>
        <v>#N/A</v>
      </c>
      <c r="AD826" s="159" t="e">
        <f>VLOOKUP(O826,'Component List'!W$3:X$30,2,FALSE)</f>
        <v>#N/A</v>
      </c>
    </row>
    <row r="827" spans="1:30" ht="30" customHeight="1" x14ac:dyDescent="0.3">
      <c r="A827" s="231"/>
      <c r="B827" s="173"/>
      <c r="C827" s="78"/>
      <c r="D827" s="78"/>
      <c r="E827" s="79"/>
      <c r="F827" s="78"/>
      <c r="G827" s="78"/>
      <c r="H827" s="78"/>
      <c r="I827" s="78"/>
      <c r="J827" s="78"/>
      <c r="K827" s="110"/>
      <c r="L827" s="110"/>
      <c r="M827" s="78"/>
      <c r="N827" s="78"/>
      <c r="O827" s="117"/>
      <c r="P827" s="114" t="e">
        <f t="shared" si="11"/>
        <v>#N/A</v>
      </c>
      <c r="Q827" s="77" t="e">
        <f>VLOOKUP($B827,'Component List'!$A$2:$B$30,2,FALSE)</f>
        <v>#N/A</v>
      </c>
      <c r="R827" s="77" t="e">
        <f>VLOOKUP($C827,'Component List'!C$2:D$28,2,FALSE)</f>
        <v>#N/A</v>
      </c>
      <c r="S827" s="77" t="e">
        <f>VLOOKUP($D827,'Component List'!E$2:F$30,2,FALSE)</f>
        <v>#N/A</v>
      </c>
      <c r="T827" s="77" t="e">
        <f>VLOOKUP($E827,'Component List'!G$2:H$30,2,FALSE)</f>
        <v>#N/A</v>
      </c>
      <c r="U827" s="77" t="e">
        <f>VLOOKUP($F827,'Component List'!I$2:J$30,2,FALSE)</f>
        <v>#N/A</v>
      </c>
      <c r="V827" s="77" t="e">
        <f>VLOOKUP(G827,'Component List'!K$2:L$30,2,FALSE)</f>
        <v>#N/A</v>
      </c>
      <c r="W827" s="77" t="e">
        <f>VLOOKUP(H827,'Component List'!M$2:N$31,2,FALSE)</f>
        <v>#N/A</v>
      </c>
      <c r="X827" s="77" t="e">
        <f>VLOOKUP(I827,'Component List'!O$2:P$30,2,FALSE)</f>
        <v>#N/A</v>
      </c>
      <c r="Y827" s="77" t="e">
        <f>VLOOKUP(J827,'Component List'!Q$2:R$30,2,FALSE)</f>
        <v>#N/A</v>
      </c>
      <c r="Z827" s="77" t="e">
        <f>VLOOKUP(K827,'Component List'!S$2:T$30,2,FALSE)</f>
        <v>#N/A</v>
      </c>
      <c r="AA827" s="77" t="e">
        <f>VLOOKUP(L827,'Component List'!U$2:V$30,2,FALSE)</f>
        <v>#N/A</v>
      </c>
      <c r="AB827" s="77" t="e">
        <f>VLOOKUP(M827,'Component List'!AA$2:AB$30,2,FALSE)</f>
        <v>#N/A</v>
      </c>
      <c r="AC827" s="77" t="e">
        <f>VLOOKUP(N827,'Component List'!Y$2:Z$30,2,FALSE)</f>
        <v>#N/A</v>
      </c>
      <c r="AD827" s="159" t="e">
        <f>VLOOKUP(O827,'Component List'!W$3:X$30,2,FALSE)</f>
        <v>#N/A</v>
      </c>
    </row>
    <row r="828" spans="1:30" ht="30" customHeight="1" x14ac:dyDescent="0.3">
      <c r="A828" s="231"/>
      <c r="B828" s="173"/>
      <c r="C828" s="78"/>
      <c r="D828" s="78"/>
      <c r="E828" s="79"/>
      <c r="F828" s="78"/>
      <c r="G828" s="78"/>
      <c r="H828" s="78"/>
      <c r="I828" s="78"/>
      <c r="J828" s="78"/>
      <c r="K828" s="110"/>
      <c r="L828" s="110"/>
      <c r="M828" s="78"/>
      <c r="N828" s="78"/>
      <c r="O828" s="117"/>
      <c r="P828" s="114" t="e">
        <f t="shared" si="11"/>
        <v>#N/A</v>
      </c>
      <c r="Q828" s="77" t="e">
        <f>VLOOKUP($B828,'Component List'!$A$2:$B$30,2,FALSE)</f>
        <v>#N/A</v>
      </c>
      <c r="R828" s="77" t="e">
        <f>VLOOKUP($C828,'Component List'!C$2:D$28,2,FALSE)</f>
        <v>#N/A</v>
      </c>
      <c r="S828" s="77" t="e">
        <f>VLOOKUP($D828,'Component List'!E$2:F$30,2,FALSE)</f>
        <v>#N/A</v>
      </c>
      <c r="T828" s="77" t="e">
        <f>VLOOKUP($E828,'Component List'!G$2:H$30,2,FALSE)</f>
        <v>#N/A</v>
      </c>
      <c r="U828" s="77" t="e">
        <f>VLOOKUP($F828,'Component List'!I$2:J$30,2,FALSE)</f>
        <v>#N/A</v>
      </c>
      <c r="V828" s="77" t="e">
        <f>VLOOKUP(G828,'Component List'!K$2:L$30,2,FALSE)</f>
        <v>#N/A</v>
      </c>
      <c r="W828" s="77" t="e">
        <f>VLOOKUP(H828,'Component List'!M$2:N$31,2,FALSE)</f>
        <v>#N/A</v>
      </c>
      <c r="X828" s="77" t="e">
        <f>VLOOKUP(I828,'Component List'!O$2:P$30,2,FALSE)</f>
        <v>#N/A</v>
      </c>
      <c r="Y828" s="77" t="e">
        <f>VLOOKUP(J828,'Component List'!Q$2:R$30,2,FALSE)</f>
        <v>#N/A</v>
      </c>
      <c r="Z828" s="77" t="e">
        <f>VLOOKUP(K828,'Component List'!S$2:T$30,2,FALSE)</f>
        <v>#N/A</v>
      </c>
      <c r="AA828" s="77" t="e">
        <f>VLOOKUP(L828,'Component List'!U$2:V$30,2,FALSE)</f>
        <v>#N/A</v>
      </c>
      <c r="AB828" s="77" t="e">
        <f>VLOOKUP(M828,'Component List'!AA$2:AB$30,2,FALSE)</f>
        <v>#N/A</v>
      </c>
      <c r="AC828" s="77" t="e">
        <f>VLOOKUP(N828,'Component List'!Y$2:Z$30,2,FALSE)</f>
        <v>#N/A</v>
      </c>
      <c r="AD828" s="159" t="e">
        <f>VLOOKUP(O828,'Component List'!W$3:X$30,2,FALSE)</f>
        <v>#N/A</v>
      </c>
    </row>
    <row r="829" spans="1:30" ht="30" customHeight="1" x14ac:dyDescent="0.3">
      <c r="A829" s="231"/>
      <c r="B829" s="173"/>
      <c r="C829" s="78"/>
      <c r="D829" s="78"/>
      <c r="E829" s="79"/>
      <c r="F829" s="78"/>
      <c r="G829" s="78"/>
      <c r="H829" s="78"/>
      <c r="I829" s="78"/>
      <c r="J829" s="78"/>
      <c r="K829" s="110"/>
      <c r="L829" s="110"/>
      <c r="M829" s="78"/>
      <c r="N829" s="78"/>
      <c r="O829" s="117"/>
      <c r="P829" s="114" t="e">
        <f t="shared" si="11"/>
        <v>#N/A</v>
      </c>
      <c r="Q829" s="77" t="e">
        <f>VLOOKUP($B829,'Component List'!$A$2:$B$30,2,FALSE)</f>
        <v>#N/A</v>
      </c>
      <c r="R829" s="77" t="e">
        <f>VLOOKUP($C829,'Component List'!C$2:D$28,2,FALSE)</f>
        <v>#N/A</v>
      </c>
      <c r="S829" s="77" t="e">
        <f>VLOOKUP($D829,'Component List'!E$2:F$30,2,FALSE)</f>
        <v>#N/A</v>
      </c>
      <c r="T829" s="77" t="e">
        <f>VLOOKUP($E829,'Component List'!G$2:H$30,2,FALSE)</f>
        <v>#N/A</v>
      </c>
      <c r="U829" s="77" t="e">
        <f>VLOOKUP($F829,'Component List'!I$2:J$30,2,FALSE)</f>
        <v>#N/A</v>
      </c>
      <c r="V829" s="77" t="e">
        <f>VLOOKUP(G829,'Component List'!K$2:L$30,2,FALSE)</f>
        <v>#N/A</v>
      </c>
      <c r="W829" s="77" t="e">
        <f>VLOOKUP(H829,'Component List'!M$2:N$31,2,FALSE)</f>
        <v>#N/A</v>
      </c>
      <c r="X829" s="77" t="e">
        <f>VLOOKUP(I829,'Component List'!O$2:P$30,2,FALSE)</f>
        <v>#N/A</v>
      </c>
      <c r="Y829" s="77" t="e">
        <f>VLOOKUP(J829,'Component List'!Q$2:R$30,2,FALSE)</f>
        <v>#N/A</v>
      </c>
      <c r="Z829" s="77" t="e">
        <f>VLOOKUP(K829,'Component List'!S$2:T$30,2,FALSE)</f>
        <v>#N/A</v>
      </c>
      <c r="AA829" s="77" t="e">
        <f>VLOOKUP(L829,'Component List'!U$2:V$30,2,FALSE)</f>
        <v>#N/A</v>
      </c>
      <c r="AB829" s="77" t="e">
        <f>VLOOKUP(M829,'Component List'!AA$2:AB$30,2,FALSE)</f>
        <v>#N/A</v>
      </c>
      <c r="AC829" s="77" t="e">
        <f>VLOOKUP(N829,'Component List'!Y$2:Z$30,2,FALSE)</f>
        <v>#N/A</v>
      </c>
      <c r="AD829" s="159" t="e">
        <f>VLOOKUP(O829,'Component List'!W$3:X$30,2,FALSE)</f>
        <v>#N/A</v>
      </c>
    </row>
    <row r="830" spans="1:30" ht="30" customHeight="1" x14ac:dyDescent="0.3">
      <c r="A830" s="231"/>
      <c r="B830" s="173"/>
      <c r="C830" s="78"/>
      <c r="D830" s="78"/>
      <c r="E830" s="79"/>
      <c r="F830" s="78"/>
      <c r="G830" s="78"/>
      <c r="H830" s="78"/>
      <c r="I830" s="78"/>
      <c r="J830" s="78"/>
      <c r="K830" s="110"/>
      <c r="L830" s="110"/>
      <c r="M830" s="78"/>
      <c r="N830" s="78"/>
      <c r="O830" s="117"/>
      <c r="P830" s="114" t="e">
        <f t="shared" si="11"/>
        <v>#N/A</v>
      </c>
      <c r="Q830" s="77" t="e">
        <f>VLOOKUP($B830,'Component List'!$A$2:$B$30,2,FALSE)</f>
        <v>#N/A</v>
      </c>
      <c r="R830" s="77" t="e">
        <f>VLOOKUP($C830,'Component List'!C$2:D$28,2,FALSE)</f>
        <v>#N/A</v>
      </c>
      <c r="S830" s="77" t="e">
        <f>VLOOKUP($D830,'Component List'!E$2:F$30,2,FALSE)</f>
        <v>#N/A</v>
      </c>
      <c r="T830" s="77" t="e">
        <f>VLOOKUP($E830,'Component List'!G$2:H$30,2,FALSE)</f>
        <v>#N/A</v>
      </c>
      <c r="U830" s="77" t="e">
        <f>VLOOKUP($F830,'Component List'!I$2:J$30,2,FALSE)</f>
        <v>#N/A</v>
      </c>
      <c r="V830" s="77" t="e">
        <f>VLOOKUP(G830,'Component List'!K$2:L$30,2,FALSE)</f>
        <v>#N/A</v>
      </c>
      <c r="W830" s="77" t="e">
        <f>VLOOKUP(H830,'Component List'!M$2:N$31,2,FALSE)</f>
        <v>#N/A</v>
      </c>
      <c r="X830" s="77" t="e">
        <f>VLOOKUP(I830,'Component List'!O$2:P$30,2,FALSE)</f>
        <v>#N/A</v>
      </c>
      <c r="Y830" s="77" t="e">
        <f>VLOOKUP(J830,'Component List'!Q$2:R$30,2,FALSE)</f>
        <v>#N/A</v>
      </c>
      <c r="Z830" s="77" t="e">
        <f>VLOOKUP(K830,'Component List'!S$2:T$30,2,FALSE)</f>
        <v>#N/A</v>
      </c>
      <c r="AA830" s="77" t="e">
        <f>VLOOKUP(L830,'Component List'!U$2:V$30,2,FALSE)</f>
        <v>#N/A</v>
      </c>
      <c r="AB830" s="77" t="e">
        <f>VLOOKUP(M830,'Component List'!AA$2:AB$30,2,FALSE)</f>
        <v>#N/A</v>
      </c>
      <c r="AC830" s="77" t="e">
        <f>VLOOKUP(N830,'Component List'!Y$2:Z$30,2,FALSE)</f>
        <v>#N/A</v>
      </c>
      <c r="AD830" s="159" t="e">
        <f>VLOOKUP(O830,'Component List'!W$3:X$30,2,FALSE)</f>
        <v>#N/A</v>
      </c>
    </row>
    <row r="831" spans="1:30" ht="30" customHeight="1" x14ac:dyDescent="0.3">
      <c r="A831" s="231"/>
      <c r="B831" s="173"/>
      <c r="C831" s="78"/>
      <c r="D831" s="78"/>
      <c r="E831" s="79"/>
      <c r="F831" s="78"/>
      <c r="G831" s="78"/>
      <c r="H831" s="78"/>
      <c r="I831" s="78"/>
      <c r="J831" s="78"/>
      <c r="K831" s="110"/>
      <c r="L831" s="110"/>
      <c r="M831" s="78"/>
      <c r="N831" s="78"/>
      <c r="O831" s="117"/>
      <c r="P831" s="114" t="e">
        <f t="shared" si="11"/>
        <v>#N/A</v>
      </c>
      <c r="Q831" s="77" t="e">
        <f>VLOOKUP($B831,'Component List'!$A$2:$B$30,2,FALSE)</f>
        <v>#N/A</v>
      </c>
      <c r="R831" s="77" t="e">
        <f>VLOOKUP($C831,'Component List'!C$2:D$28,2,FALSE)</f>
        <v>#N/A</v>
      </c>
      <c r="S831" s="77" t="e">
        <f>VLOOKUP($D831,'Component List'!E$2:F$30,2,FALSE)</f>
        <v>#N/A</v>
      </c>
      <c r="T831" s="77" t="e">
        <f>VLOOKUP($E831,'Component List'!G$2:H$30,2,FALSE)</f>
        <v>#N/A</v>
      </c>
      <c r="U831" s="77" t="e">
        <f>VLOOKUP($F831,'Component List'!I$2:J$30,2,FALSE)</f>
        <v>#N/A</v>
      </c>
      <c r="V831" s="77" t="e">
        <f>VLOOKUP(G831,'Component List'!K$2:L$30,2,FALSE)</f>
        <v>#N/A</v>
      </c>
      <c r="W831" s="77" t="e">
        <f>VLOOKUP(H831,'Component List'!M$2:N$31,2,FALSE)</f>
        <v>#N/A</v>
      </c>
      <c r="X831" s="77" t="e">
        <f>VLOOKUP(I831,'Component List'!O$2:P$30,2,FALSE)</f>
        <v>#N/A</v>
      </c>
      <c r="Y831" s="77" t="e">
        <f>VLOOKUP(J831,'Component List'!Q$2:R$30,2,FALSE)</f>
        <v>#N/A</v>
      </c>
      <c r="Z831" s="77" t="e">
        <f>VLOOKUP(K831,'Component List'!S$2:T$30,2,FALSE)</f>
        <v>#N/A</v>
      </c>
      <c r="AA831" s="77" t="e">
        <f>VLOOKUP(L831,'Component List'!U$2:V$30,2,FALSE)</f>
        <v>#N/A</v>
      </c>
      <c r="AB831" s="77" t="e">
        <f>VLOOKUP(M831,'Component List'!AA$2:AB$30,2,FALSE)</f>
        <v>#N/A</v>
      </c>
      <c r="AC831" s="77" t="e">
        <f>VLOOKUP(N831,'Component List'!Y$2:Z$30,2,FALSE)</f>
        <v>#N/A</v>
      </c>
      <c r="AD831" s="159" t="e">
        <f>VLOOKUP(O831,'Component List'!W$3:X$30,2,FALSE)</f>
        <v>#N/A</v>
      </c>
    </row>
    <row r="832" spans="1:30" ht="30" customHeight="1" x14ac:dyDescent="0.3">
      <c r="A832" s="231"/>
      <c r="B832" s="173"/>
      <c r="C832" s="78"/>
      <c r="D832" s="78"/>
      <c r="E832" s="79"/>
      <c r="F832" s="78"/>
      <c r="G832" s="78"/>
      <c r="H832" s="78"/>
      <c r="I832" s="78"/>
      <c r="J832" s="78"/>
      <c r="K832" s="110"/>
      <c r="L832" s="110"/>
      <c r="M832" s="78"/>
      <c r="N832" s="78"/>
      <c r="O832" s="117"/>
      <c r="P832" s="114" t="e">
        <f t="shared" si="11"/>
        <v>#N/A</v>
      </c>
      <c r="Q832" s="77" t="e">
        <f>VLOOKUP($B832,'Component List'!$A$2:$B$30,2,FALSE)</f>
        <v>#N/A</v>
      </c>
      <c r="R832" s="77" t="e">
        <f>VLOOKUP($C832,'Component List'!C$2:D$28,2,FALSE)</f>
        <v>#N/A</v>
      </c>
      <c r="S832" s="77" t="e">
        <f>VLOOKUP($D832,'Component List'!E$2:F$30,2,FALSE)</f>
        <v>#N/A</v>
      </c>
      <c r="T832" s="77" t="e">
        <f>VLOOKUP($E832,'Component List'!G$2:H$30,2,FALSE)</f>
        <v>#N/A</v>
      </c>
      <c r="U832" s="77" t="e">
        <f>VLOOKUP($F832,'Component List'!I$2:J$30,2,FALSE)</f>
        <v>#N/A</v>
      </c>
      <c r="V832" s="77" t="e">
        <f>VLOOKUP(G832,'Component List'!K$2:L$30,2,FALSE)</f>
        <v>#N/A</v>
      </c>
      <c r="W832" s="77" t="e">
        <f>VLOOKUP(H832,'Component List'!M$2:N$31,2,FALSE)</f>
        <v>#N/A</v>
      </c>
      <c r="X832" s="77" t="e">
        <f>VLOOKUP(I832,'Component List'!O$2:P$30,2,FALSE)</f>
        <v>#N/A</v>
      </c>
      <c r="Y832" s="77" t="e">
        <f>VLOOKUP(J832,'Component List'!Q$2:R$30,2,FALSE)</f>
        <v>#N/A</v>
      </c>
      <c r="Z832" s="77" t="e">
        <f>VLOOKUP(K832,'Component List'!S$2:T$30,2,FALSE)</f>
        <v>#N/A</v>
      </c>
      <c r="AA832" s="77" t="e">
        <f>VLOOKUP(L832,'Component List'!U$2:V$30,2,FALSE)</f>
        <v>#N/A</v>
      </c>
      <c r="AB832" s="77" t="e">
        <f>VLOOKUP(M832,'Component List'!AA$2:AB$30,2,FALSE)</f>
        <v>#N/A</v>
      </c>
      <c r="AC832" s="77" t="e">
        <f>VLOOKUP(N832,'Component List'!Y$2:Z$30,2,FALSE)</f>
        <v>#N/A</v>
      </c>
      <c r="AD832" s="159" t="e">
        <f>VLOOKUP(O832,'Component List'!W$3:X$30,2,FALSE)</f>
        <v>#N/A</v>
      </c>
    </row>
    <row r="833" spans="1:30" ht="30" customHeight="1" x14ac:dyDescent="0.3">
      <c r="A833" s="231"/>
      <c r="B833" s="173"/>
      <c r="C833" s="78"/>
      <c r="D833" s="78"/>
      <c r="E833" s="79"/>
      <c r="F833" s="78"/>
      <c r="G833" s="78"/>
      <c r="H833" s="78"/>
      <c r="I833" s="78"/>
      <c r="J833" s="78"/>
      <c r="K833" s="110"/>
      <c r="L833" s="110"/>
      <c r="M833" s="78"/>
      <c r="N833" s="78"/>
      <c r="O833" s="117"/>
      <c r="P833" s="114" t="e">
        <f t="shared" si="11"/>
        <v>#N/A</v>
      </c>
      <c r="Q833" s="77" t="e">
        <f>VLOOKUP($B833,'Component List'!$A$2:$B$30,2,FALSE)</f>
        <v>#N/A</v>
      </c>
      <c r="R833" s="77" t="e">
        <f>VLOOKUP($C833,'Component List'!C$2:D$28,2,FALSE)</f>
        <v>#N/A</v>
      </c>
      <c r="S833" s="77" t="e">
        <f>VLOOKUP($D833,'Component List'!E$2:F$30,2,FALSE)</f>
        <v>#N/A</v>
      </c>
      <c r="T833" s="77" t="e">
        <f>VLOOKUP($E833,'Component List'!G$2:H$30,2,FALSE)</f>
        <v>#N/A</v>
      </c>
      <c r="U833" s="77" t="e">
        <f>VLOOKUP($F833,'Component List'!I$2:J$30,2,FALSE)</f>
        <v>#N/A</v>
      </c>
      <c r="V833" s="77" t="e">
        <f>VLOOKUP(G833,'Component List'!K$2:L$30,2,FALSE)</f>
        <v>#N/A</v>
      </c>
      <c r="W833" s="77" t="e">
        <f>VLOOKUP(H833,'Component List'!M$2:N$31,2,FALSE)</f>
        <v>#N/A</v>
      </c>
      <c r="X833" s="77" t="e">
        <f>VLOOKUP(I833,'Component List'!O$2:P$30,2,FALSE)</f>
        <v>#N/A</v>
      </c>
      <c r="Y833" s="77" t="e">
        <f>VLOOKUP(J833,'Component List'!Q$2:R$30,2,FALSE)</f>
        <v>#N/A</v>
      </c>
      <c r="Z833" s="77" t="e">
        <f>VLOOKUP(K833,'Component List'!S$2:T$30,2,FALSE)</f>
        <v>#N/A</v>
      </c>
      <c r="AA833" s="77" t="e">
        <f>VLOOKUP(L833,'Component List'!U$2:V$30,2,FALSE)</f>
        <v>#N/A</v>
      </c>
      <c r="AB833" s="77" t="e">
        <f>VLOOKUP(M833,'Component List'!AA$2:AB$30,2,FALSE)</f>
        <v>#N/A</v>
      </c>
      <c r="AC833" s="77" t="e">
        <f>VLOOKUP(N833,'Component List'!Y$2:Z$30,2,FALSE)</f>
        <v>#N/A</v>
      </c>
      <c r="AD833" s="159" t="e">
        <f>VLOOKUP(O833,'Component List'!W$3:X$30,2,FALSE)</f>
        <v>#N/A</v>
      </c>
    </row>
    <row r="834" spans="1:30" ht="30" customHeight="1" x14ac:dyDescent="0.3">
      <c r="A834" s="231"/>
      <c r="B834" s="173"/>
      <c r="C834" s="78"/>
      <c r="D834" s="78"/>
      <c r="E834" s="79"/>
      <c r="F834" s="78"/>
      <c r="G834" s="78"/>
      <c r="H834" s="78"/>
      <c r="I834" s="78"/>
      <c r="J834" s="78"/>
      <c r="K834" s="110"/>
      <c r="L834" s="110"/>
      <c r="M834" s="78"/>
      <c r="N834" s="78"/>
      <c r="O834" s="117"/>
      <c r="P834" s="114" t="e">
        <f t="shared" si="11"/>
        <v>#N/A</v>
      </c>
      <c r="Q834" s="77" t="e">
        <f>VLOOKUP($B834,'Component List'!$A$2:$B$30,2,FALSE)</f>
        <v>#N/A</v>
      </c>
      <c r="R834" s="77" t="e">
        <f>VLOOKUP($C834,'Component List'!C$2:D$28,2,FALSE)</f>
        <v>#N/A</v>
      </c>
      <c r="S834" s="77" t="e">
        <f>VLOOKUP($D834,'Component List'!E$2:F$30,2,FALSE)</f>
        <v>#N/A</v>
      </c>
      <c r="T834" s="77" t="e">
        <f>VLOOKUP($E834,'Component List'!G$2:H$30,2,FALSE)</f>
        <v>#N/A</v>
      </c>
      <c r="U834" s="77" t="e">
        <f>VLOOKUP($F834,'Component List'!I$2:J$30,2,FALSE)</f>
        <v>#N/A</v>
      </c>
      <c r="V834" s="77" t="e">
        <f>VLOOKUP(G834,'Component List'!K$2:L$30,2,FALSE)</f>
        <v>#N/A</v>
      </c>
      <c r="W834" s="77" t="e">
        <f>VLOOKUP(H834,'Component List'!M$2:N$31,2,FALSE)</f>
        <v>#N/A</v>
      </c>
      <c r="X834" s="77" t="e">
        <f>VLOOKUP(I834,'Component List'!O$2:P$30,2,FALSE)</f>
        <v>#N/A</v>
      </c>
      <c r="Y834" s="77" t="e">
        <f>VLOOKUP(J834,'Component List'!Q$2:R$30,2,FALSE)</f>
        <v>#N/A</v>
      </c>
      <c r="Z834" s="77" t="e">
        <f>VLOOKUP(K834,'Component List'!S$2:T$30,2,FALSE)</f>
        <v>#N/A</v>
      </c>
      <c r="AA834" s="77" t="e">
        <f>VLOOKUP(L834,'Component List'!U$2:V$30,2,FALSE)</f>
        <v>#N/A</v>
      </c>
      <c r="AB834" s="77" t="e">
        <f>VLOOKUP(M834,'Component List'!AA$2:AB$30,2,FALSE)</f>
        <v>#N/A</v>
      </c>
      <c r="AC834" s="77" t="e">
        <f>VLOOKUP(N834,'Component List'!Y$2:Z$30,2,FALSE)</f>
        <v>#N/A</v>
      </c>
      <c r="AD834" s="159" t="e">
        <f>VLOOKUP(O834,'Component List'!W$3:X$30,2,FALSE)</f>
        <v>#N/A</v>
      </c>
    </row>
    <row r="835" spans="1:30" ht="30" customHeight="1" x14ac:dyDescent="0.3">
      <c r="A835" s="231"/>
      <c r="B835" s="173"/>
      <c r="C835" s="78"/>
      <c r="D835" s="78"/>
      <c r="E835" s="79"/>
      <c r="F835" s="78"/>
      <c r="G835" s="78"/>
      <c r="H835" s="78"/>
      <c r="I835" s="78"/>
      <c r="J835" s="78"/>
      <c r="K835" s="110"/>
      <c r="L835" s="110"/>
      <c r="M835" s="78"/>
      <c r="N835" s="78"/>
      <c r="O835" s="117"/>
      <c r="P835" s="114" t="e">
        <f t="shared" si="11"/>
        <v>#N/A</v>
      </c>
      <c r="Q835" s="77" t="e">
        <f>VLOOKUP($B835,'Component List'!$A$2:$B$30,2,FALSE)</f>
        <v>#N/A</v>
      </c>
      <c r="R835" s="77" t="e">
        <f>VLOOKUP($C835,'Component List'!C$2:D$28,2,FALSE)</f>
        <v>#N/A</v>
      </c>
      <c r="S835" s="77" t="e">
        <f>VLOOKUP($D835,'Component List'!E$2:F$30,2,FALSE)</f>
        <v>#N/A</v>
      </c>
      <c r="T835" s="77" t="e">
        <f>VLOOKUP($E835,'Component List'!G$2:H$30,2,FALSE)</f>
        <v>#N/A</v>
      </c>
      <c r="U835" s="77" t="e">
        <f>VLOOKUP($F835,'Component List'!I$2:J$30,2,FALSE)</f>
        <v>#N/A</v>
      </c>
      <c r="V835" s="77" t="e">
        <f>VLOOKUP(G835,'Component List'!K$2:L$30,2,FALSE)</f>
        <v>#N/A</v>
      </c>
      <c r="W835" s="77" t="e">
        <f>VLOOKUP(H835,'Component List'!M$2:N$31,2,FALSE)</f>
        <v>#N/A</v>
      </c>
      <c r="X835" s="77" t="e">
        <f>VLOOKUP(I835,'Component List'!O$2:P$30,2,FALSE)</f>
        <v>#N/A</v>
      </c>
      <c r="Y835" s="77" t="e">
        <f>VLOOKUP(J835,'Component List'!Q$2:R$30,2,FALSE)</f>
        <v>#N/A</v>
      </c>
      <c r="Z835" s="77" t="e">
        <f>VLOOKUP(K835,'Component List'!S$2:T$30,2,FALSE)</f>
        <v>#N/A</v>
      </c>
      <c r="AA835" s="77" t="e">
        <f>VLOOKUP(L835,'Component List'!U$2:V$30,2,FALSE)</f>
        <v>#N/A</v>
      </c>
      <c r="AB835" s="77" t="e">
        <f>VLOOKUP(M835,'Component List'!AA$2:AB$30,2,FALSE)</f>
        <v>#N/A</v>
      </c>
      <c r="AC835" s="77" t="e">
        <f>VLOOKUP(N835,'Component List'!Y$2:Z$30,2,FALSE)</f>
        <v>#N/A</v>
      </c>
      <c r="AD835" s="159" t="e">
        <f>VLOOKUP(O835,'Component List'!W$3:X$30,2,FALSE)</f>
        <v>#N/A</v>
      </c>
    </row>
    <row r="836" spans="1:30" ht="30" customHeight="1" x14ac:dyDescent="0.3">
      <c r="A836" s="231"/>
      <c r="B836" s="173"/>
      <c r="C836" s="78"/>
      <c r="D836" s="78"/>
      <c r="E836" s="79"/>
      <c r="F836" s="78"/>
      <c r="G836" s="78"/>
      <c r="H836" s="78"/>
      <c r="I836" s="78"/>
      <c r="J836" s="78"/>
      <c r="K836" s="110"/>
      <c r="L836" s="110"/>
      <c r="M836" s="78"/>
      <c r="N836" s="78"/>
      <c r="O836" s="117"/>
      <c r="P836" s="114" t="e">
        <f t="shared" si="11"/>
        <v>#N/A</v>
      </c>
      <c r="Q836" s="77" t="e">
        <f>VLOOKUP($B836,'Component List'!$A$2:$B$30,2,FALSE)</f>
        <v>#N/A</v>
      </c>
      <c r="R836" s="77" t="e">
        <f>VLOOKUP($C836,'Component List'!C$2:D$28,2,FALSE)</f>
        <v>#N/A</v>
      </c>
      <c r="S836" s="77" t="e">
        <f>VLOOKUP($D836,'Component List'!E$2:F$30,2,FALSE)</f>
        <v>#N/A</v>
      </c>
      <c r="T836" s="77" t="e">
        <f>VLOOKUP($E836,'Component List'!G$2:H$30,2,FALSE)</f>
        <v>#N/A</v>
      </c>
      <c r="U836" s="77" t="e">
        <f>VLOOKUP($F836,'Component List'!I$2:J$30,2,FALSE)</f>
        <v>#N/A</v>
      </c>
      <c r="V836" s="77" t="e">
        <f>VLOOKUP(G836,'Component List'!K$2:L$30,2,FALSE)</f>
        <v>#N/A</v>
      </c>
      <c r="W836" s="77" t="e">
        <f>VLOOKUP(H836,'Component List'!M$2:N$31,2,FALSE)</f>
        <v>#N/A</v>
      </c>
      <c r="X836" s="77" t="e">
        <f>VLOOKUP(I836,'Component List'!O$2:P$30,2,FALSE)</f>
        <v>#N/A</v>
      </c>
      <c r="Y836" s="77" t="e">
        <f>VLOOKUP(J836,'Component List'!Q$2:R$30,2,FALSE)</f>
        <v>#N/A</v>
      </c>
      <c r="Z836" s="77" t="e">
        <f>VLOOKUP(K836,'Component List'!S$2:T$30,2,FALSE)</f>
        <v>#N/A</v>
      </c>
      <c r="AA836" s="77" t="e">
        <f>VLOOKUP(L836,'Component List'!U$2:V$30,2,FALSE)</f>
        <v>#N/A</v>
      </c>
      <c r="AB836" s="77" t="e">
        <f>VLOOKUP(M836,'Component List'!AA$2:AB$30,2,FALSE)</f>
        <v>#N/A</v>
      </c>
      <c r="AC836" s="77" t="e">
        <f>VLOOKUP(N836,'Component List'!Y$2:Z$30,2,FALSE)</f>
        <v>#N/A</v>
      </c>
      <c r="AD836" s="159" t="e">
        <f>VLOOKUP(O836,'Component List'!W$3:X$30,2,FALSE)</f>
        <v>#N/A</v>
      </c>
    </row>
    <row r="837" spans="1:30" ht="30" customHeight="1" x14ac:dyDescent="0.3">
      <c r="A837" s="231"/>
      <c r="B837" s="173"/>
      <c r="C837" s="78"/>
      <c r="D837" s="78"/>
      <c r="E837" s="79"/>
      <c r="F837" s="78"/>
      <c r="G837" s="78"/>
      <c r="H837" s="78"/>
      <c r="I837" s="78"/>
      <c r="J837" s="78"/>
      <c r="K837" s="110"/>
      <c r="L837" s="110"/>
      <c r="M837" s="78"/>
      <c r="N837" s="78"/>
      <c r="O837" s="117"/>
      <c r="P837" s="114" t="e">
        <f t="shared" si="11"/>
        <v>#N/A</v>
      </c>
      <c r="Q837" s="77" t="e">
        <f>VLOOKUP($B837,'Component List'!$A$2:$B$30,2,FALSE)</f>
        <v>#N/A</v>
      </c>
      <c r="R837" s="77" t="e">
        <f>VLOOKUP($C837,'Component List'!C$2:D$28,2,FALSE)</f>
        <v>#N/A</v>
      </c>
      <c r="S837" s="77" t="e">
        <f>VLOOKUP($D837,'Component List'!E$2:F$30,2,FALSE)</f>
        <v>#N/A</v>
      </c>
      <c r="T837" s="77" t="e">
        <f>VLOOKUP($E837,'Component List'!G$2:H$30,2,FALSE)</f>
        <v>#N/A</v>
      </c>
      <c r="U837" s="77" t="e">
        <f>VLOOKUP($F837,'Component List'!I$2:J$30,2,FALSE)</f>
        <v>#N/A</v>
      </c>
      <c r="V837" s="77" t="e">
        <f>VLOOKUP(G837,'Component List'!K$2:L$30,2,FALSE)</f>
        <v>#N/A</v>
      </c>
      <c r="W837" s="77" t="e">
        <f>VLOOKUP(H837,'Component List'!M$2:N$31,2,FALSE)</f>
        <v>#N/A</v>
      </c>
      <c r="X837" s="77" t="e">
        <f>VLOOKUP(I837,'Component List'!O$2:P$30,2,FALSE)</f>
        <v>#N/A</v>
      </c>
      <c r="Y837" s="77" t="e">
        <f>VLOOKUP(J837,'Component List'!Q$2:R$30,2,FALSE)</f>
        <v>#N/A</v>
      </c>
      <c r="Z837" s="77" t="e">
        <f>VLOOKUP(K837,'Component List'!S$2:T$30,2,FALSE)</f>
        <v>#N/A</v>
      </c>
      <c r="AA837" s="77" t="e">
        <f>VLOOKUP(L837,'Component List'!U$2:V$30,2,FALSE)</f>
        <v>#N/A</v>
      </c>
      <c r="AB837" s="77" t="e">
        <f>VLOOKUP(M837,'Component List'!AA$2:AB$30,2,FALSE)</f>
        <v>#N/A</v>
      </c>
      <c r="AC837" s="77" t="e">
        <f>VLOOKUP(N837,'Component List'!Y$2:Z$30,2,FALSE)</f>
        <v>#N/A</v>
      </c>
      <c r="AD837" s="159" t="e">
        <f>VLOOKUP(O837,'Component List'!W$3:X$30,2,FALSE)</f>
        <v>#N/A</v>
      </c>
    </row>
    <row r="838" spans="1:30" ht="30" customHeight="1" x14ac:dyDescent="0.3">
      <c r="A838" s="231"/>
      <c r="B838" s="173"/>
      <c r="C838" s="78"/>
      <c r="D838" s="78"/>
      <c r="E838" s="79"/>
      <c r="F838" s="78"/>
      <c r="G838" s="78"/>
      <c r="H838" s="78"/>
      <c r="I838" s="78"/>
      <c r="J838" s="78"/>
      <c r="K838" s="110"/>
      <c r="L838" s="110"/>
      <c r="M838" s="78"/>
      <c r="N838" s="78"/>
      <c r="O838" s="117"/>
      <c r="P838" s="114" t="e">
        <f t="shared" si="11"/>
        <v>#N/A</v>
      </c>
      <c r="Q838" s="77" t="e">
        <f>VLOOKUP($B838,'Component List'!$A$2:$B$30,2,FALSE)</f>
        <v>#N/A</v>
      </c>
      <c r="R838" s="77" t="e">
        <f>VLOOKUP($C838,'Component List'!C$2:D$28,2,FALSE)</f>
        <v>#N/A</v>
      </c>
      <c r="S838" s="77" t="e">
        <f>VLOOKUP($D838,'Component List'!E$2:F$30,2,FALSE)</f>
        <v>#N/A</v>
      </c>
      <c r="T838" s="77" t="e">
        <f>VLOOKUP($E838,'Component List'!G$2:H$30,2,FALSE)</f>
        <v>#N/A</v>
      </c>
      <c r="U838" s="77" t="e">
        <f>VLOOKUP($F838,'Component List'!I$2:J$30,2,FALSE)</f>
        <v>#N/A</v>
      </c>
      <c r="V838" s="77" t="e">
        <f>VLOOKUP(G838,'Component List'!K$2:L$30,2,FALSE)</f>
        <v>#N/A</v>
      </c>
      <c r="W838" s="77" t="e">
        <f>VLOOKUP(H838,'Component List'!M$2:N$31,2,FALSE)</f>
        <v>#N/A</v>
      </c>
      <c r="X838" s="77" t="e">
        <f>VLOOKUP(I838,'Component List'!O$2:P$30,2,FALSE)</f>
        <v>#N/A</v>
      </c>
      <c r="Y838" s="77" t="e">
        <f>VLOOKUP(J838,'Component List'!Q$2:R$30,2,FALSE)</f>
        <v>#N/A</v>
      </c>
      <c r="Z838" s="77" t="e">
        <f>VLOOKUP(K838,'Component List'!S$2:T$30,2,FALSE)</f>
        <v>#N/A</v>
      </c>
      <c r="AA838" s="77" t="e">
        <f>VLOOKUP(L838,'Component List'!U$2:V$30,2,FALSE)</f>
        <v>#N/A</v>
      </c>
      <c r="AB838" s="77" t="e">
        <f>VLOOKUP(M838,'Component List'!AA$2:AB$30,2,FALSE)</f>
        <v>#N/A</v>
      </c>
      <c r="AC838" s="77" t="e">
        <f>VLOOKUP(N838,'Component List'!Y$2:Z$30,2,FALSE)</f>
        <v>#N/A</v>
      </c>
      <c r="AD838" s="159" t="e">
        <f>VLOOKUP(O838,'Component List'!W$3:X$30,2,FALSE)</f>
        <v>#N/A</v>
      </c>
    </row>
    <row r="839" spans="1:30" ht="30" customHeight="1" x14ac:dyDescent="0.3">
      <c r="A839" s="231"/>
      <c r="B839" s="173"/>
      <c r="C839" s="78"/>
      <c r="D839" s="78"/>
      <c r="E839" s="79"/>
      <c r="F839" s="78"/>
      <c r="G839" s="78"/>
      <c r="H839" s="78"/>
      <c r="I839" s="78"/>
      <c r="J839" s="78"/>
      <c r="K839" s="110"/>
      <c r="L839" s="110"/>
      <c r="M839" s="78"/>
      <c r="N839" s="78"/>
      <c r="O839" s="117"/>
      <c r="P839" s="114" t="e">
        <f t="shared" si="11"/>
        <v>#N/A</v>
      </c>
      <c r="Q839" s="77" t="e">
        <f>VLOOKUP($B839,'Component List'!$A$2:$B$30,2,FALSE)</f>
        <v>#N/A</v>
      </c>
      <c r="R839" s="77" t="e">
        <f>VLOOKUP($C839,'Component List'!C$2:D$28,2,FALSE)</f>
        <v>#N/A</v>
      </c>
      <c r="S839" s="77" t="e">
        <f>VLOOKUP($D839,'Component List'!E$2:F$30,2,FALSE)</f>
        <v>#N/A</v>
      </c>
      <c r="T839" s="77" t="e">
        <f>VLOOKUP($E839,'Component List'!G$2:H$30,2,FALSE)</f>
        <v>#N/A</v>
      </c>
      <c r="U839" s="77" t="e">
        <f>VLOOKUP($F839,'Component List'!I$2:J$30,2,FALSE)</f>
        <v>#N/A</v>
      </c>
      <c r="V839" s="77" t="e">
        <f>VLOOKUP(G839,'Component List'!K$2:L$30,2,FALSE)</f>
        <v>#N/A</v>
      </c>
      <c r="W839" s="77" t="e">
        <f>VLOOKUP(H839,'Component List'!M$2:N$31,2,FALSE)</f>
        <v>#N/A</v>
      </c>
      <c r="X839" s="77" t="e">
        <f>VLOOKUP(I839,'Component List'!O$2:P$30,2,FALSE)</f>
        <v>#N/A</v>
      </c>
      <c r="Y839" s="77" t="e">
        <f>VLOOKUP(J839,'Component List'!Q$2:R$30,2,FALSE)</f>
        <v>#N/A</v>
      </c>
      <c r="Z839" s="77" t="e">
        <f>VLOOKUP(K839,'Component List'!S$2:T$30,2,FALSE)</f>
        <v>#N/A</v>
      </c>
      <c r="AA839" s="77" t="e">
        <f>VLOOKUP(L839,'Component List'!U$2:V$30,2,FALSE)</f>
        <v>#N/A</v>
      </c>
      <c r="AB839" s="77" t="e">
        <f>VLOOKUP(M839,'Component List'!AA$2:AB$30,2,FALSE)</f>
        <v>#N/A</v>
      </c>
      <c r="AC839" s="77" t="e">
        <f>VLOOKUP(N839,'Component List'!Y$2:Z$30,2,FALSE)</f>
        <v>#N/A</v>
      </c>
      <c r="AD839" s="159" t="e">
        <f>VLOOKUP(O839,'Component List'!W$3:X$30,2,FALSE)</f>
        <v>#N/A</v>
      </c>
    </row>
    <row r="840" spans="1:30" ht="30" customHeight="1" x14ac:dyDescent="0.3">
      <c r="A840" s="231"/>
      <c r="B840" s="175"/>
      <c r="C840" s="176"/>
      <c r="D840" s="176"/>
      <c r="E840" s="177"/>
      <c r="F840" s="176"/>
      <c r="G840" s="176"/>
      <c r="H840" s="176"/>
      <c r="I840" s="176"/>
      <c r="J840" s="176"/>
      <c r="K840" s="104"/>
      <c r="L840" s="104"/>
      <c r="M840" s="176"/>
      <c r="N840" s="176"/>
      <c r="O840" s="167"/>
      <c r="P840" s="178" t="e">
        <f t="shared" si="11"/>
        <v>#N/A</v>
      </c>
      <c r="Q840" s="163" t="e">
        <f>VLOOKUP($B840,'Component List'!$A$2:$B$30,2,FALSE)</f>
        <v>#N/A</v>
      </c>
      <c r="R840" s="163" t="e">
        <f>VLOOKUP($C840,'Component List'!C$2:D$28,2,FALSE)</f>
        <v>#N/A</v>
      </c>
      <c r="S840" s="163" t="e">
        <f>VLOOKUP($D840,'Component List'!E$2:F$30,2,FALSE)</f>
        <v>#N/A</v>
      </c>
      <c r="T840" s="163" t="e">
        <f>VLOOKUP($E840,'Component List'!G$2:H$30,2,FALSE)</f>
        <v>#N/A</v>
      </c>
      <c r="U840" s="163" t="e">
        <f>VLOOKUP($F840,'Component List'!I$2:J$30,2,FALSE)</f>
        <v>#N/A</v>
      </c>
      <c r="V840" s="163" t="e">
        <f>VLOOKUP(G840,'Component List'!K$2:L$30,2,FALSE)</f>
        <v>#N/A</v>
      </c>
      <c r="W840" s="163" t="e">
        <f>VLOOKUP(H840,'Component List'!M$2:N$31,2,FALSE)</f>
        <v>#N/A</v>
      </c>
      <c r="X840" s="163" t="e">
        <f>VLOOKUP(I840,'Component List'!O$2:P$30,2,FALSE)</f>
        <v>#N/A</v>
      </c>
      <c r="Y840" s="163" t="e">
        <f>VLOOKUP(J840,'Component List'!Q$2:R$30,2,FALSE)</f>
        <v>#N/A</v>
      </c>
      <c r="Z840" s="163" t="e">
        <f>VLOOKUP(K840,'Component List'!S$2:T$30,2,FALSE)</f>
        <v>#N/A</v>
      </c>
      <c r="AA840" s="163" t="e">
        <f>VLOOKUP(L840,'Component List'!U$2:V$30,2,FALSE)</f>
        <v>#N/A</v>
      </c>
      <c r="AB840" s="163" t="e">
        <f>VLOOKUP(M840,'Component List'!AA$2:AB$30,2,FALSE)</f>
        <v>#N/A</v>
      </c>
      <c r="AC840" s="163" t="e">
        <f>VLOOKUP(N840,'Component List'!Y$2:Z$30,2,FALSE)</f>
        <v>#N/A</v>
      </c>
      <c r="AD840" s="164" t="e">
        <f>VLOOKUP(O840,'Component List'!W$3:X$30,2,FALSE)</f>
        <v>#N/A</v>
      </c>
    </row>
    <row r="841" spans="1:30" ht="30" customHeight="1" x14ac:dyDescent="0.3">
      <c r="A841" s="231"/>
      <c r="B841" s="78"/>
      <c r="C841" s="78"/>
      <c r="D841" s="78"/>
      <c r="E841" s="79"/>
      <c r="F841" s="78"/>
      <c r="G841" s="78"/>
      <c r="H841" s="78"/>
      <c r="I841" s="78"/>
      <c r="J841" s="78"/>
      <c r="K841" s="110"/>
      <c r="L841" s="110"/>
      <c r="M841" s="78"/>
      <c r="N841" s="78"/>
      <c r="O841" s="117"/>
      <c r="P841" s="114" t="e">
        <f t="shared" si="11"/>
        <v>#N/A</v>
      </c>
      <c r="Q841" s="77" t="e">
        <f>VLOOKUP($B841,'Component List'!$A$2:$B$30,2,FALSE)</f>
        <v>#N/A</v>
      </c>
      <c r="R841" s="77" t="e">
        <f>VLOOKUP($C841,'Component List'!C$2:D$28,2,FALSE)</f>
        <v>#N/A</v>
      </c>
      <c r="S841" s="77" t="e">
        <f>VLOOKUP($D841,'Component List'!E$2:F$30,2,FALSE)</f>
        <v>#N/A</v>
      </c>
      <c r="T841" s="77" t="e">
        <f>VLOOKUP($E841,'Component List'!G$2:H$30,2,FALSE)</f>
        <v>#N/A</v>
      </c>
      <c r="U841" s="77" t="e">
        <f>VLOOKUP($F841,'Component List'!I$2:J$30,2,FALSE)</f>
        <v>#N/A</v>
      </c>
      <c r="V841" s="77" t="e">
        <f>VLOOKUP(G841,'Component List'!K$2:L$30,2,FALSE)</f>
        <v>#N/A</v>
      </c>
      <c r="W841" s="77" t="e">
        <f>VLOOKUP(H841,'Component List'!M$2:N$31,2,FALSE)</f>
        <v>#N/A</v>
      </c>
      <c r="X841" s="77" t="e">
        <f>VLOOKUP(I841,'Component List'!O$2:P$30,2,FALSE)</f>
        <v>#N/A</v>
      </c>
      <c r="Y841" s="77" t="e">
        <f>VLOOKUP(J841,'Component List'!Q$2:R$30,2,FALSE)</f>
        <v>#N/A</v>
      </c>
      <c r="Z841" s="77" t="e">
        <f>VLOOKUP(K841,'Component List'!S$2:T$30,2,FALSE)</f>
        <v>#N/A</v>
      </c>
      <c r="AA841" s="77" t="e">
        <f>VLOOKUP(L841,'Component List'!U$2:V$30,2,FALSE)</f>
        <v>#N/A</v>
      </c>
      <c r="AB841" s="77" t="e">
        <f>VLOOKUP(M841,'Component List'!AA$2:AB$30,2,FALSE)</f>
        <v>#N/A</v>
      </c>
      <c r="AC841" s="77" t="e">
        <f>VLOOKUP(N841,'Component List'!Y$2:Z$30,2,FALSE)</f>
        <v>#N/A</v>
      </c>
      <c r="AD841" s="77" t="e">
        <f>VLOOKUP(O841,'Component List'!W$3:X$30,2,FALSE)</f>
        <v>#N/A</v>
      </c>
    </row>
    <row r="842" spans="1:30" ht="30" customHeight="1" x14ac:dyDescent="0.3">
      <c r="A842" s="231"/>
      <c r="B842" s="78"/>
      <c r="C842" s="78"/>
      <c r="D842" s="78"/>
      <c r="E842" s="79"/>
      <c r="F842" s="78"/>
      <c r="G842" s="78"/>
      <c r="H842" s="78"/>
      <c r="I842" s="78"/>
      <c r="J842" s="78"/>
      <c r="K842" s="110"/>
      <c r="L842" s="110"/>
      <c r="M842" s="78"/>
      <c r="N842" s="78"/>
      <c r="O842" s="117"/>
      <c r="P842" s="114" t="e">
        <f t="shared" si="11"/>
        <v>#N/A</v>
      </c>
      <c r="Q842" s="77" t="e">
        <f>VLOOKUP($B842,'Component List'!$A$2:$B$30,2,FALSE)</f>
        <v>#N/A</v>
      </c>
      <c r="R842" s="77" t="e">
        <f>VLOOKUP($C842,'Component List'!C$2:D$28,2,FALSE)</f>
        <v>#N/A</v>
      </c>
      <c r="S842" s="77" t="e">
        <f>VLOOKUP($D842,'Component List'!E$2:F$30,2,FALSE)</f>
        <v>#N/A</v>
      </c>
      <c r="T842" s="77" t="e">
        <f>VLOOKUP($E842,'Component List'!G$2:H$30,2,FALSE)</f>
        <v>#N/A</v>
      </c>
      <c r="U842" s="77" t="e">
        <f>VLOOKUP($F842,'Component List'!I$2:J$30,2,FALSE)</f>
        <v>#N/A</v>
      </c>
      <c r="V842" s="77" t="e">
        <f>VLOOKUP(G842,'Component List'!K$2:L$30,2,FALSE)</f>
        <v>#N/A</v>
      </c>
      <c r="W842" s="77" t="e">
        <f>VLOOKUP(H842,'Component List'!M$2:N$31,2,FALSE)</f>
        <v>#N/A</v>
      </c>
      <c r="X842" s="77" t="e">
        <f>VLOOKUP(I842,'Component List'!O$2:P$30,2,FALSE)</f>
        <v>#N/A</v>
      </c>
      <c r="Y842" s="77" t="e">
        <f>VLOOKUP(J842,'Component List'!Q$2:R$30,2,FALSE)</f>
        <v>#N/A</v>
      </c>
      <c r="Z842" s="77" t="e">
        <f>VLOOKUP(K842,'Component List'!S$2:T$30,2,FALSE)</f>
        <v>#N/A</v>
      </c>
      <c r="AA842" s="77" t="e">
        <f>VLOOKUP(L842,'Component List'!U$2:V$30,2,FALSE)</f>
        <v>#N/A</v>
      </c>
      <c r="AB842" s="77" t="e">
        <f>VLOOKUP(M842,'Component List'!AA$2:AB$30,2,FALSE)</f>
        <v>#N/A</v>
      </c>
      <c r="AC842" s="77" t="e">
        <f>VLOOKUP(N842,'Component List'!Y$2:Z$30,2,FALSE)</f>
        <v>#N/A</v>
      </c>
      <c r="AD842" s="77" t="e">
        <f>VLOOKUP(O842,'Component List'!W$3:X$30,2,FALSE)</f>
        <v>#N/A</v>
      </c>
    </row>
    <row r="843" spans="1:30" ht="30" customHeight="1" x14ac:dyDescent="0.3">
      <c r="A843" s="231"/>
      <c r="B843" s="78"/>
      <c r="C843" s="78"/>
      <c r="D843" s="78"/>
      <c r="E843" s="79"/>
      <c r="F843" s="78"/>
      <c r="G843" s="78"/>
      <c r="H843" s="78"/>
      <c r="I843" s="78"/>
      <c r="J843" s="78"/>
      <c r="K843" s="110"/>
      <c r="L843" s="110"/>
      <c r="M843" s="78"/>
      <c r="N843" s="78"/>
      <c r="O843" s="117"/>
      <c r="P843" s="114" t="e">
        <f t="shared" si="11"/>
        <v>#N/A</v>
      </c>
      <c r="Q843" s="77" t="e">
        <f>VLOOKUP($B843,'Component List'!$A$2:$B$30,2,FALSE)</f>
        <v>#N/A</v>
      </c>
      <c r="R843" s="77" t="e">
        <f>VLOOKUP($C843,'Component List'!C$2:D$28,2,FALSE)</f>
        <v>#N/A</v>
      </c>
      <c r="S843" s="77" t="e">
        <f>VLOOKUP($D843,'Component List'!E$2:F$30,2,FALSE)</f>
        <v>#N/A</v>
      </c>
      <c r="T843" s="77" t="e">
        <f>VLOOKUP($E843,'Component List'!G$2:H$30,2,FALSE)</f>
        <v>#N/A</v>
      </c>
      <c r="U843" s="77" t="e">
        <f>VLOOKUP($F843,'Component List'!I$2:J$30,2,FALSE)</f>
        <v>#N/A</v>
      </c>
      <c r="V843" s="77" t="e">
        <f>VLOOKUP(G843,'Component List'!K$2:L$30,2,FALSE)</f>
        <v>#N/A</v>
      </c>
      <c r="W843" s="77" t="e">
        <f>VLOOKUP(H843,'Component List'!M$2:N$31,2,FALSE)</f>
        <v>#N/A</v>
      </c>
      <c r="X843" s="77" t="e">
        <f>VLOOKUP(I843,'Component List'!O$2:P$30,2,FALSE)</f>
        <v>#N/A</v>
      </c>
      <c r="Y843" s="77" t="e">
        <f>VLOOKUP(J843,'Component List'!Q$2:R$30,2,FALSE)</f>
        <v>#N/A</v>
      </c>
      <c r="Z843" s="77" t="e">
        <f>VLOOKUP(K843,'Component List'!S$2:T$30,2,FALSE)</f>
        <v>#N/A</v>
      </c>
      <c r="AA843" s="77" t="e">
        <f>VLOOKUP(L843,'Component List'!U$2:V$30,2,FALSE)</f>
        <v>#N/A</v>
      </c>
      <c r="AB843" s="77" t="e">
        <f>VLOOKUP(M843,'Component List'!AA$2:AB$30,2,FALSE)</f>
        <v>#N/A</v>
      </c>
      <c r="AC843" s="77" t="e">
        <f>VLOOKUP(N843,'Component List'!Y$2:Z$30,2,FALSE)</f>
        <v>#N/A</v>
      </c>
      <c r="AD843" s="77" t="e">
        <f>VLOOKUP(O843,'Component List'!W$3:X$30,2,FALSE)</f>
        <v>#N/A</v>
      </c>
    </row>
    <row r="844" spans="1:30" ht="30" customHeight="1" x14ac:dyDescent="0.3">
      <c r="A844" s="231"/>
      <c r="B844" s="78"/>
      <c r="C844" s="78"/>
      <c r="D844" s="78"/>
      <c r="E844" s="79"/>
      <c r="F844" s="78"/>
      <c r="G844" s="78"/>
      <c r="H844" s="78"/>
      <c r="I844" s="78"/>
      <c r="J844" s="78"/>
      <c r="K844" s="110"/>
      <c r="L844" s="110"/>
      <c r="M844" s="78"/>
      <c r="N844" s="78"/>
      <c r="O844" s="117"/>
      <c r="P844" s="114" t="e">
        <f t="shared" si="11"/>
        <v>#N/A</v>
      </c>
      <c r="Q844" s="77" t="e">
        <f>VLOOKUP($B844,'Component List'!$A$2:$B$30,2,FALSE)</f>
        <v>#N/A</v>
      </c>
      <c r="R844" s="77" t="e">
        <f>VLOOKUP($C844,'Component List'!C$2:D$28,2,FALSE)</f>
        <v>#N/A</v>
      </c>
      <c r="S844" s="77" t="e">
        <f>VLOOKUP($D844,'Component List'!E$2:F$30,2,FALSE)</f>
        <v>#N/A</v>
      </c>
      <c r="T844" s="77" t="e">
        <f>VLOOKUP($E844,'Component List'!G$2:H$30,2,FALSE)</f>
        <v>#N/A</v>
      </c>
      <c r="U844" s="77" t="e">
        <f>VLOOKUP($F844,'Component List'!I$2:J$30,2,FALSE)</f>
        <v>#N/A</v>
      </c>
      <c r="V844" s="77" t="e">
        <f>VLOOKUP(G844,'Component List'!K$2:L$30,2,FALSE)</f>
        <v>#N/A</v>
      </c>
      <c r="W844" s="77" t="e">
        <f>VLOOKUP(H844,'Component List'!M$2:N$31,2,FALSE)</f>
        <v>#N/A</v>
      </c>
      <c r="X844" s="77" t="e">
        <f>VLOOKUP(I844,'Component List'!O$2:P$30,2,FALSE)</f>
        <v>#N/A</v>
      </c>
      <c r="Y844" s="77" t="e">
        <f>VLOOKUP(J844,'Component List'!Q$2:R$30,2,FALSE)</f>
        <v>#N/A</v>
      </c>
      <c r="Z844" s="77" t="e">
        <f>VLOOKUP(K844,'Component List'!S$2:T$30,2,FALSE)</f>
        <v>#N/A</v>
      </c>
      <c r="AA844" s="77" t="e">
        <f>VLOOKUP(L844,'Component List'!U$2:V$30,2,FALSE)</f>
        <v>#N/A</v>
      </c>
      <c r="AB844" s="77" t="e">
        <f>VLOOKUP(M844,'Component List'!AA$2:AB$30,2,FALSE)</f>
        <v>#N/A</v>
      </c>
      <c r="AC844" s="77" t="e">
        <f>VLOOKUP(N844,'Component List'!Y$2:Z$30,2,FALSE)</f>
        <v>#N/A</v>
      </c>
      <c r="AD844" s="77" t="e">
        <f>VLOOKUP(O844,'Component List'!W$3:X$30,2,FALSE)</f>
        <v>#N/A</v>
      </c>
    </row>
    <row r="845" spans="1:30" ht="30" customHeight="1" x14ac:dyDescent="0.3">
      <c r="A845" s="231"/>
      <c r="B845" s="78"/>
      <c r="C845" s="78"/>
      <c r="D845" s="78"/>
      <c r="E845" s="79"/>
      <c r="F845" s="78"/>
      <c r="G845" s="78"/>
      <c r="H845" s="78"/>
      <c r="I845" s="78"/>
      <c r="J845" s="78"/>
      <c r="K845" s="110"/>
      <c r="L845" s="110"/>
      <c r="M845" s="78"/>
      <c r="N845" s="78"/>
      <c r="O845" s="117"/>
      <c r="P845" s="114" t="e">
        <f t="shared" ref="P845:P908" si="12">Q845&amp;R845&amp;S845&amp;T845&amp;U845&amp;V845&amp;W845&amp;X845&amp;Y845&amp;Z845&amp;AA845&amp;AD845&amp;AC845&amp;AB845</f>
        <v>#N/A</v>
      </c>
      <c r="Q845" s="77" t="e">
        <f>VLOOKUP($B845,'Component List'!$A$2:$B$30,2,FALSE)</f>
        <v>#N/A</v>
      </c>
      <c r="R845" s="77" t="e">
        <f>VLOOKUP($C845,'Component List'!C$2:D$28,2,FALSE)</f>
        <v>#N/A</v>
      </c>
      <c r="S845" s="77" t="e">
        <f>VLOOKUP($D845,'Component List'!E$2:F$30,2,FALSE)</f>
        <v>#N/A</v>
      </c>
      <c r="T845" s="77" t="e">
        <f>VLOOKUP($E845,'Component List'!G$2:H$30,2,FALSE)</f>
        <v>#N/A</v>
      </c>
      <c r="U845" s="77" t="e">
        <f>VLOOKUP($F845,'Component List'!I$2:J$30,2,FALSE)</f>
        <v>#N/A</v>
      </c>
      <c r="V845" s="77" t="e">
        <f>VLOOKUP(G845,'Component List'!K$2:L$30,2,FALSE)</f>
        <v>#N/A</v>
      </c>
      <c r="W845" s="77" t="e">
        <f>VLOOKUP(H845,'Component List'!M$2:N$31,2,FALSE)</f>
        <v>#N/A</v>
      </c>
      <c r="X845" s="77" t="e">
        <f>VLOOKUP(I845,'Component List'!O$2:P$30,2,FALSE)</f>
        <v>#N/A</v>
      </c>
      <c r="Y845" s="77" t="e">
        <f>VLOOKUP(J845,'Component List'!Q$2:R$30,2,FALSE)</f>
        <v>#N/A</v>
      </c>
      <c r="Z845" s="77" t="e">
        <f>VLOOKUP(K845,'Component List'!S$2:T$30,2,FALSE)</f>
        <v>#N/A</v>
      </c>
      <c r="AA845" s="77" t="e">
        <f>VLOOKUP(L845,'Component List'!U$2:V$30,2,FALSE)</f>
        <v>#N/A</v>
      </c>
      <c r="AB845" s="77" t="e">
        <f>VLOOKUP(M845,'Component List'!AA$2:AB$30,2,FALSE)</f>
        <v>#N/A</v>
      </c>
      <c r="AC845" s="77" t="e">
        <f>VLOOKUP(N845,'Component List'!Y$2:Z$30,2,FALSE)</f>
        <v>#N/A</v>
      </c>
      <c r="AD845" s="77" t="e">
        <f>VLOOKUP(O845,'Component List'!W$3:X$30,2,FALSE)</f>
        <v>#N/A</v>
      </c>
    </row>
    <row r="846" spans="1:30" ht="30" customHeight="1" x14ac:dyDescent="0.3">
      <c r="A846" s="231"/>
      <c r="B846" s="78"/>
      <c r="C846" s="78"/>
      <c r="D846" s="78"/>
      <c r="E846" s="79"/>
      <c r="F846" s="78"/>
      <c r="G846" s="78"/>
      <c r="H846" s="78"/>
      <c r="I846" s="78"/>
      <c r="J846" s="78"/>
      <c r="K846" s="110"/>
      <c r="L846" s="110"/>
      <c r="M846" s="78"/>
      <c r="N846" s="78"/>
      <c r="O846" s="117"/>
      <c r="P846" s="114" t="e">
        <f t="shared" si="12"/>
        <v>#N/A</v>
      </c>
      <c r="Q846" s="77" t="e">
        <f>VLOOKUP($B846,'Component List'!$A$2:$B$30,2,FALSE)</f>
        <v>#N/A</v>
      </c>
      <c r="R846" s="77" t="e">
        <f>VLOOKUP($C846,'Component List'!C$2:D$28,2,FALSE)</f>
        <v>#N/A</v>
      </c>
      <c r="S846" s="77" t="e">
        <f>VLOOKUP($D846,'Component List'!E$2:F$30,2,FALSE)</f>
        <v>#N/A</v>
      </c>
      <c r="T846" s="77" t="e">
        <f>VLOOKUP($E846,'Component List'!G$2:H$30,2,FALSE)</f>
        <v>#N/A</v>
      </c>
      <c r="U846" s="77" t="e">
        <f>VLOOKUP($F846,'Component List'!I$2:J$30,2,FALSE)</f>
        <v>#N/A</v>
      </c>
      <c r="V846" s="77" t="e">
        <f>VLOOKUP(G846,'Component List'!K$2:L$30,2,FALSE)</f>
        <v>#N/A</v>
      </c>
      <c r="W846" s="77" t="e">
        <f>VLOOKUP(H846,'Component List'!M$2:N$31,2,FALSE)</f>
        <v>#N/A</v>
      </c>
      <c r="X846" s="77" t="e">
        <f>VLOOKUP(I846,'Component List'!O$2:P$30,2,FALSE)</f>
        <v>#N/A</v>
      </c>
      <c r="Y846" s="77" t="e">
        <f>VLOOKUP(J846,'Component List'!Q$2:R$30,2,FALSE)</f>
        <v>#N/A</v>
      </c>
      <c r="Z846" s="77" t="e">
        <f>VLOOKUP(K846,'Component List'!S$2:T$30,2,FALSE)</f>
        <v>#N/A</v>
      </c>
      <c r="AA846" s="77" t="e">
        <f>VLOOKUP(L846,'Component List'!U$2:V$30,2,FALSE)</f>
        <v>#N/A</v>
      </c>
      <c r="AB846" s="77" t="e">
        <f>VLOOKUP(M846,'Component List'!AA$2:AB$30,2,FALSE)</f>
        <v>#N/A</v>
      </c>
      <c r="AC846" s="77" t="e">
        <f>VLOOKUP(N846,'Component List'!Y$2:Z$30,2,FALSE)</f>
        <v>#N/A</v>
      </c>
      <c r="AD846" s="77" t="e">
        <f>VLOOKUP(O846,'Component List'!W$3:X$30,2,FALSE)</f>
        <v>#N/A</v>
      </c>
    </row>
    <row r="847" spans="1:30" ht="30" customHeight="1" x14ac:dyDescent="0.3">
      <c r="A847" s="231"/>
      <c r="B847" s="78"/>
      <c r="C847" s="78"/>
      <c r="D847" s="78"/>
      <c r="E847" s="79"/>
      <c r="F847" s="78"/>
      <c r="G847" s="78"/>
      <c r="H847" s="78"/>
      <c r="I847" s="78"/>
      <c r="J847" s="78"/>
      <c r="K847" s="110"/>
      <c r="L847" s="110"/>
      <c r="M847" s="78"/>
      <c r="N847" s="78"/>
      <c r="O847" s="117"/>
      <c r="P847" s="114" t="e">
        <f t="shared" si="12"/>
        <v>#N/A</v>
      </c>
      <c r="Q847" s="77" t="e">
        <f>VLOOKUP($B847,'Component List'!$A$2:$B$30,2,FALSE)</f>
        <v>#N/A</v>
      </c>
      <c r="R847" s="77" t="e">
        <f>VLOOKUP($C847,'Component List'!C$2:D$28,2,FALSE)</f>
        <v>#N/A</v>
      </c>
      <c r="S847" s="77" t="e">
        <f>VLOOKUP($D847,'Component List'!E$2:F$30,2,FALSE)</f>
        <v>#N/A</v>
      </c>
      <c r="T847" s="77" t="e">
        <f>VLOOKUP($E847,'Component List'!G$2:H$30,2,FALSE)</f>
        <v>#N/A</v>
      </c>
      <c r="U847" s="77" t="e">
        <f>VLOOKUP($F847,'Component List'!I$2:J$30,2,FALSE)</f>
        <v>#N/A</v>
      </c>
      <c r="V847" s="77" t="e">
        <f>VLOOKUP(G847,'Component List'!K$2:L$30,2,FALSE)</f>
        <v>#N/A</v>
      </c>
      <c r="W847" s="77" t="e">
        <f>VLOOKUP(H847,'Component List'!M$2:N$31,2,FALSE)</f>
        <v>#N/A</v>
      </c>
      <c r="X847" s="77" t="e">
        <f>VLOOKUP(I847,'Component List'!O$2:P$30,2,FALSE)</f>
        <v>#N/A</v>
      </c>
      <c r="Y847" s="77" t="e">
        <f>VLOOKUP(J847,'Component List'!Q$2:R$30,2,FALSE)</f>
        <v>#N/A</v>
      </c>
      <c r="Z847" s="77" t="e">
        <f>VLOOKUP(K847,'Component List'!S$2:T$30,2,FALSE)</f>
        <v>#N/A</v>
      </c>
      <c r="AA847" s="77" t="e">
        <f>VLOOKUP(L847,'Component List'!U$2:V$30,2,FALSE)</f>
        <v>#N/A</v>
      </c>
      <c r="AB847" s="77" t="e">
        <f>VLOOKUP(M847,'Component List'!AA$2:AB$30,2,FALSE)</f>
        <v>#N/A</v>
      </c>
      <c r="AC847" s="77" t="e">
        <f>VLOOKUP(N847,'Component List'!Y$2:Z$30,2,FALSE)</f>
        <v>#N/A</v>
      </c>
      <c r="AD847" s="77" t="e">
        <f>VLOOKUP(O847,'Component List'!W$3:X$30,2,FALSE)</f>
        <v>#N/A</v>
      </c>
    </row>
    <row r="848" spans="1:30" ht="30" customHeight="1" x14ac:dyDescent="0.3">
      <c r="A848" s="231"/>
      <c r="B848" s="78"/>
      <c r="C848" s="78"/>
      <c r="D848" s="78"/>
      <c r="E848" s="79"/>
      <c r="F848" s="78"/>
      <c r="G848" s="78"/>
      <c r="H848" s="78"/>
      <c r="I848" s="78"/>
      <c r="J848" s="78"/>
      <c r="K848" s="110"/>
      <c r="L848" s="110"/>
      <c r="M848" s="78"/>
      <c r="N848" s="78"/>
      <c r="O848" s="117"/>
      <c r="P848" s="114" t="e">
        <f t="shared" si="12"/>
        <v>#N/A</v>
      </c>
      <c r="Q848" s="77" t="e">
        <f>VLOOKUP($B848,'Component List'!$A$2:$B$30,2,FALSE)</f>
        <v>#N/A</v>
      </c>
      <c r="R848" s="77" t="e">
        <f>VLOOKUP($C848,'Component List'!C$2:D$28,2,FALSE)</f>
        <v>#N/A</v>
      </c>
      <c r="S848" s="77" t="e">
        <f>VLOOKUP($D848,'Component List'!E$2:F$30,2,FALSE)</f>
        <v>#N/A</v>
      </c>
      <c r="T848" s="77" t="e">
        <f>VLOOKUP($E848,'Component List'!G$2:H$30,2,FALSE)</f>
        <v>#N/A</v>
      </c>
      <c r="U848" s="77" t="e">
        <f>VLOOKUP($F848,'Component List'!I$2:J$30,2,FALSE)</f>
        <v>#N/A</v>
      </c>
      <c r="V848" s="77" t="e">
        <f>VLOOKUP(G848,'Component List'!K$2:L$30,2,FALSE)</f>
        <v>#N/A</v>
      </c>
      <c r="W848" s="77" t="e">
        <f>VLOOKUP(H848,'Component List'!M$2:N$31,2,FALSE)</f>
        <v>#N/A</v>
      </c>
      <c r="X848" s="77" t="e">
        <f>VLOOKUP(I848,'Component List'!O$2:P$30,2,FALSE)</f>
        <v>#N/A</v>
      </c>
      <c r="Y848" s="77" t="e">
        <f>VLOOKUP(J848,'Component List'!Q$2:R$30,2,FALSE)</f>
        <v>#N/A</v>
      </c>
      <c r="Z848" s="77" t="e">
        <f>VLOOKUP(K848,'Component List'!S$2:T$30,2,FALSE)</f>
        <v>#N/A</v>
      </c>
      <c r="AA848" s="77" t="e">
        <f>VLOOKUP(L848,'Component List'!U$2:V$30,2,FALSE)</f>
        <v>#N/A</v>
      </c>
      <c r="AB848" s="77" t="e">
        <f>VLOOKUP(M848,'Component List'!AA$2:AB$30,2,FALSE)</f>
        <v>#N/A</v>
      </c>
      <c r="AC848" s="77" t="e">
        <f>VLOOKUP(N848,'Component List'!Y$2:Z$30,2,FALSE)</f>
        <v>#N/A</v>
      </c>
      <c r="AD848" s="77" t="e">
        <f>VLOOKUP(O848,'Component List'!W$3:X$30,2,FALSE)</f>
        <v>#N/A</v>
      </c>
    </row>
    <row r="849" spans="1:30" ht="30" customHeight="1" x14ac:dyDescent="0.3">
      <c r="A849" s="231"/>
      <c r="B849" s="78"/>
      <c r="C849" s="78"/>
      <c r="D849" s="78"/>
      <c r="E849" s="79"/>
      <c r="F849" s="78"/>
      <c r="G849" s="78"/>
      <c r="H849" s="78"/>
      <c r="I849" s="78"/>
      <c r="J849" s="78"/>
      <c r="K849" s="110"/>
      <c r="L849" s="110"/>
      <c r="M849" s="78"/>
      <c r="N849" s="78"/>
      <c r="O849" s="117"/>
      <c r="P849" s="114" t="e">
        <f t="shared" si="12"/>
        <v>#N/A</v>
      </c>
      <c r="Q849" s="77" t="e">
        <f>VLOOKUP($B849,'Component List'!$A$2:$B$30,2,FALSE)</f>
        <v>#N/A</v>
      </c>
      <c r="R849" s="77" t="e">
        <f>VLOOKUP($C849,'Component List'!C$2:D$28,2,FALSE)</f>
        <v>#N/A</v>
      </c>
      <c r="S849" s="77" t="e">
        <f>VLOOKUP($D849,'Component List'!E$2:F$30,2,FALSE)</f>
        <v>#N/A</v>
      </c>
      <c r="T849" s="77" t="e">
        <f>VLOOKUP($E849,'Component List'!G$2:H$30,2,FALSE)</f>
        <v>#N/A</v>
      </c>
      <c r="U849" s="77" t="e">
        <f>VLOOKUP($F849,'Component List'!I$2:J$30,2,FALSE)</f>
        <v>#N/A</v>
      </c>
      <c r="V849" s="77" t="e">
        <f>VLOOKUP(G849,'Component List'!K$2:L$30,2,FALSE)</f>
        <v>#N/A</v>
      </c>
      <c r="W849" s="77" t="e">
        <f>VLOOKUP(H849,'Component List'!M$2:N$31,2,FALSE)</f>
        <v>#N/A</v>
      </c>
      <c r="X849" s="77" t="e">
        <f>VLOOKUP(I849,'Component List'!O$2:P$30,2,FALSE)</f>
        <v>#N/A</v>
      </c>
      <c r="Y849" s="77" t="e">
        <f>VLOOKUP(J849,'Component List'!Q$2:R$30,2,FALSE)</f>
        <v>#N/A</v>
      </c>
      <c r="Z849" s="77" t="e">
        <f>VLOOKUP(K849,'Component List'!S$2:T$30,2,FALSE)</f>
        <v>#N/A</v>
      </c>
      <c r="AA849" s="77" t="e">
        <f>VLOOKUP(L849,'Component List'!U$2:V$30,2,FALSE)</f>
        <v>#N/A</v>
      </c>
      <c r="AB849" s="77" t="e">
        <f>VLOOKUP(M849,'Component List'!AA$2:AB$30,2,FALSE)</f>
        <v>#N/A</v>
      </c>
      <c r="AC849" s="77" t="e">
        <f>VLOOKUP(N849,'Component List'!Y$2:Z$30,2,FALSE)</f>
        <v>#N/A</v>
      </c>
      <c r="AD849" s="77" t="e">
        <f>VLOOKUP(O849,'Component List'!W$3:X$30,2,FALSE)</f>
        <v>#N/A</v>
      </c>
    </row>
    <row r="850" spans="1:30" ht="30" customHeight="1" x14ac:dyDescent="0.3">
      <c r="A850" s="231"/>
      <c r="B850" s="78"/>
      <c r="C850" s="78"/>
      <c r="D850" s="78"/>
      <c r="E850" s="79"/>
      <c r="F850" s="78"/>
      <c r="G850" s="78"/>
      <c r="H850" s="78"/>
      <c r="I850" s="78"/>
      <c r="J850" s="78"/>
      <c r="K850" s="110"/>
      <c r="L850" s="110"/>
      <c r="M850" s="78"/>
      <c r="N850" s="78"/>
      <c r="O850" s="117"/>
      <c r="P850" s="114" t="e">
        <f t="shared" si="12"/>
        <v>#N/A</v>
      </c>
      <c r="Q850" s="77" t="e">
        <f>VLOOKUP($B850,'Component List'!$A$2:$B$30,2,FALSE)</f>
        <v>#N/A</v>
      </c>
      <c r="R850" s="77" t="e">
        <f>VLOOKUP($C850,'Component List'!C$2:D$28,2,FALSE)</f>
        <v>#N/A</v>
      </c>
      <c r="S850" s="77" t="e">
        <f>VLOOKUP($D850,'Component List'!E$2:F$30,2,FALSE)</f>
        <v>#N/A</v>
      </c>
      <c r="T850" s="77" t="e">
        <f>VLOOKUP($E850,'Component List'!G$2:H$30,2,FALSE)</f>
        <v>#N/A</v>
      </c>
      <c r="U850" s="77" t="e">
        <f>VLOOKUP($F850,'Component List'!I$2:J$30,2,FALSE)</f>
        <v>#N/A</v>
      </c>
      <c r="V850" s="77" t="e">
        <f>VLOOKUP(G850,'Component List'!K$2:L$30,2,FALSE)</f>
        <v>#N/A</v>
      </c>
      <c r="W850" s="77" t="e">
        <f>VLOOKUP(H850,'Component List'!M$2:N$31,2,FALSE)</f>
        <v>#N/A</v>
      </c>
      <c r="X850" s="77" t="e">
        <f>VLOOKUP(I850,'Component List'!O$2:P$30,2,FALSE)</f>
        <v>#N/A</v>
      </c>
      <c r="Y850" s="77" t="e">
        <f>VLOOKUP(J850,'Component List'!Q$2:R$30,2,FALSE)</f>
        <v>#N/A</v>
      </c>
      <c r="Z850" s="77" t="e">
        <f>VLOOKUP(K850,'Component List'!S$2:T$30,2,FALSE)</f>
        <v>#N/A</v>
      </c>
      <c r="AA850" s="77" t="e">
        <f>VLOOKUP(L850,'Component List'!U$2:V$30,2,FALSE)</f>
        <v>#N/A</v>
      </c>
      <c r="AB850" s="77" t="e">
        <f>VLOOKUP(M850,'Component List'!AA$2:AB$30,2,FALSE)</f>
        <v>#N/A</v>
      </c>
      <c r="AC850" s="77" t="e">
        <f>VLOOKUP(N850,'Component List'!Y$2:Z$30,2,FALSE)</f>
        <v>#N/A</v>
      </c>
      <c r="AD850" s="77" t="e">
        <f>VLOOKUP(O850,'Component List'!W$3:X$30,2,FALSE)</f>
        <v>#N/A</v>
      </c>
    </row>
    <row r="851" spans="1:30" ht="30" customHeight="1" x14ac:dyDescent="0.3">
      <c r="A851" s="231"/>
      <c r="B851" s="78"/>
      <c r="C851" s="78"/>
      <c r="D851" s="78"/>
      <c r="E851" s="79"/>
      <c r="F851" s="78"/>
      <c r="G851" s="78"/>
      <c r="H851" s="78"/>
      <c r="I851" s="78"/>
      <c r="J851" s="78"/>
      <c r="K851" s="110"/>
      <c r="L851" s="110"/>
      <c r="M851" s="78"/>
      <c r="N851" s="78"/>
      <c r="O851" s="117"/>
      <c r="P851" s="114" t="e">
        <f t="shared" si="12"/>
        <v>#N/A</v>
      </c>
      <c r="Q851" s="77" t="e">
        <f>VLOOKUP($B851,'Component List'!$A$2:$B$30,2,FALSE)</f>
        <v>#N/A</v>
      </c>
      <c r="R851" s="77" t="e">
        <f>VLOOKUP($C851,'Component List'!C$2:D$28,2,FALSE)</f>
        <v>#N/A</v>
      </c>
      <c r="S851" s="77" t="e">
        <f>VLOOKUP($D851,'Component List'!E$2:F$30,2,FALSE)</f>
        <v>#N/A</v>
      </c>
      <c r="T851" s="77" t="e">
        <f>VLOOKUP($E851,'Component List'!G$2:H$30,2,FALSE)</f>
        <v>#N/A</v>
      </c>
      <c r="U851" s="77" t="e">
        <f>VLOOKUP($F851,'Component List'!I$2:J$30,2,FALSE)</f>
        <v>#N/A</v>
      </c>
      <c r="V851" s="77" t="e">
        <f>VLOOKUP(G851,'Component List'!K$2:L$30,2,FALSE)</f>
        <v>#N/A</v>
      </c>
      <c r="W851" s="77" t="e">
        <f>VLOOKUP(H851,'Component List'!M$2:N$31,2,FALSE)</f>
        <v>#N/A</v>
      </c>
      <c r="X851" s="77" t="e">
        <f>VLOOKUP(I851,'Component List'!O$2:P$30,2,FALSE)</f>
        <v>#N/A</v>
      </c>
      <c r="Y851" s="77" t="e">
        <f>VLOOKUP(J851,'Component List'!Q$2:R$30,2,FALSE)</f>
        <v>#N/A</v>
      </c>
      <c r="Z851" s="77" t="e">
        <f>VLOOKUP(K851,'Component List'!S$2:T$30,2,FALSE)</f>
        <v>#N/A</v>
      </c>
      <c r="AA851" s="77" t="e">
        <f>VLOOKUP(L851,'Component List'!U$2:V$30,2,FALSE)</f>
        <v>#N/A</v>
      </c>
      <c r="AB851" s="77" t="e">
        <f>VLOOKUP(M851,'Component List'!AA$2:AB$30,2,FALSE)</f>
        <v>#N/A</v>
      </c>
      <c r="AC851" s="77" t="e">
        <f>VLOOKUP(N851,'Component List'!Y$2:Z$30,2,FALSE)</f>
        <v>#N/A</v>
      </c>
      <c r="AD851" s="77" t="e">
        <f>VLOOKUP(O851,'Component List'!W$3:X$30,2,FALSE)</f>
        <v>#N/A</v>
      </c>
    </row>
    <row r="852" spans="1:30" ht="30" customHeight="1" x14ac:dyDescent="0.3">
      <c r="A852" s="76"/>
      <c r="B852" s="78"/>
      <c r="C852" s="78"/>
      <c r="D852" s="78"/>
      <c r="E852" s="79"/>
      <c r="F852" s="78"/>
      <c r="G852" s="78"/>
      <c r="H852" s="78"/>
      <c r="I852" s="78"/>
      <c r="J852" s="78"/>
      <c r="K852" s="110"/>
      <c r="L852" s="110"/>
      <c r="M852" s="78"/>
      <c r="N852" s="78"/>
      <c r="O852" s="117"/>
      <c r="P852" s="114" t="e">
        <f t="shared" si="12"/>
        <v>#N/A</v>
      </c>
      <c r="Q852" s="77" t="e">
        <f>VLOOKUP($B852,'Component List'!$A$2:$B$30,2,FALSE)</f>
        <v>#N/A</v>
      </c>
      <c r="R852" s="77" t="e">
        <f>VLOOKUP($C852,'Component List'!C$2:D$28,2,FALSE)</f>
        <v>#N/A</v>
      </c>
      <c r="S852" s="77" t="e">
        <f>VLOOKUP($D852,'Component List'!E$2:F$30,2,FALSE)</f>
        <v>#N/A</v>
      </c>
      <c r="T852" s="77" t="e">
        <f>VLOOKUP($E852,'Component List'!G$2:H$30,2,FALSE)</f>
        <v>#N/A</v>
      </c>
      <c r="U852" s="77" t="e">
        <f>VLOOKUP($F852,'Component List'!I$2:J$30,2,FALSE)</f>
        <v>#N/A</v>
      </c>
      <c r="V852" s="77" t="e">
        <f>VLOOKUP(G852,'Component List'!K$2:L$30,2,FALSE)</f>
        <v>#N/A</v>
      </c>
      <c r="W852" s="77" t="e">
        <f>VLOOKUP(H852,'Component List'!M$2:N$31,2,FALSE)</f>
        <v>#N/A</v>
      </c>
      <c r="X852" s="77" t="e">
        <f>VLOOKUP(I852,'Component List'!O$2:P$30,2,FALSE)</f>
        <v>#N/A</v>
      </c>
      <c r="Y852" s="77" t="e">
        <f>VLOOKUP(J852,'Component List'!Q$2:R$30,2,FALSE)</f>
        <v>#N/A</v>
      </c>
      <c r="Z852" s="77" t="e">
        <f>VLOOKUP(K852,'Component List'!S$2:T$30,2,FALSE)</f>
        <v>#N/A</v>
      </c>
      <c r="AA852" s="77" t="e">
        <f>VLOOKUP(L852,'Component List'!U$2:V$30,2,FALSE)</f>
        <v>#N/A</v>
      </c>
      <c r="AB852" s="77" t="e">
        <f>VLOOKUP(M852,'Component List'!AA$2:AB$30,2,FALSE)</f>
        <v>#N/A</v>
      </c>
      <c r="AC852" s="77" t="e">
        <f>VLOOKUP(N852,'Component List'!Y$2:Z$30,2,FALSE)</f>
        <v>#N/A</v>
      </c>
      <c r="AD852" s="77" t="e">
        <f>VLOOKUP(O852,'Component List'!W$3:X$30,2,FALSE)</f>
        <v>#N/A</v>
      </c>
    </row>
    <row r="853" spans="1:30" ht="30" customHeight="1" x14ac:dyDescent="0.3">
      <c r="A853" s="76"/>
      <c r="B853" s="78"/>
      <c r="C853" s="78"/>
      <c r="D853" s="78"/>
      <c r="E853" s="79"/>
      <c r="F853" s="78"/>
      <c r="G853" s="78"/>
      <c r="H853" s="78"/>
      <c r="I853" s="78"/>
      <c r="J853" s="78"/>
      <c r="K853" s="110"/>
      <c r="L853" s="110"/>
      <c r="M853" s="78"/>
      <c r="N853" s="78"/>
      <c r="O853" s="117"/>
      <c r="P853" s="114" t="e">
        <f t="shared" si="12"/>
        <v>#N/A</v>
      </c>
      <c r="Q853" s="77" t="e">
        <f>VLOOKUP($B853,'Component List'!$A$2:$B$30,2,FALSE)</f>
        <v>#N/A</v>
      </c>
      <c r="R853" s="77" t="e">
        <f>VLOOKUP($C853,'Component List'!C$2:D$28,2,FALSE)</f>
        <v>#N/A</v>
      </c>
      <c r="S853" s="77" t="e">
        <f>VLOOKUP($D853,'Component List'!E$2:F$30,2,FALSE)</f>
        <v>#N/A</v>
      </c>
      <c r="T853" s="77" t="e">
        <f>VLOOKUP($E853,'Component List'!G$2:H$30,2,FALSE)</f>
        <v>#N/A</v>
      </c>
      <c r="U853" s="77" t="e">
        <f>VLOOKUP($F853,'Component List'!I$2:J$30,2,FALSE)</f>
        <v>#N/A</v>
      </c>
      <c r="V853" s="77" t="e">
        <f>VLOOKUP(G853,'Component List'!K$2:L$30,2,FALSE)</f>
        <v>#N/A</v>
      </c>
      <c r="W853" s="77" t="e">
        <f>VLOOKUP(H853,'Component List'!M$2:N$31,2,FALSE)</f>
        <v>#N/A</v>
      </c>
      <c r="X853" s="77" t="e">
        <f>VLOOKUP(I853,'Component List'!O$2:P$30,2,FALSE)</f>
        <v>#N/A</v>
      </c>
      <c r="Y853" s="77" t="e">
        <f>VLOOKUP(J853,'Component List'!Q$2:R$30,2,FALSE)</f>
        <v>#N/A</v>
      </c>
      <c r="Z853" s="77" t="e">
        <f>VLOOKUP(K853,'Component List'!S$2:T$30,2,FALSE)</f>
        <v>#N/A</v>
      </c>
      <c r="AA853" s="77" t="e">
        <f>VLOOKUP(L853,'Component List'!U$2:V$30,2,FALSE)</f>
        <v>#N/A</v>
      </c>
      <c r="AB853" s="77" t="e">
        <f>VLOOKUP(M853,'Component List'!AA$2:AB$30,2,FALSE)</f>
        <v>#N/A</v>
      </c>
      <c r="AC853" s="77" t="e">
        <f>VLOOKUP(N853,'Component List'!Y$2:Z$30,2,FALSE)</f>
        <v>#N/A</v>
      </c>
      <c r="AD853" s="77" t="e">
        <f>VLOOKUP(O853,'Component List'!W$3:X$30,2,FALSE)</f>
        <v>#N/A</v>
      </c>
    </row>
    <row r="854" spans="1:30" ht="30" customHeight="1" x14ac:dyDescent="0.3">
      <c r="A854" s="76"/>
      <c r="B854" s="78"/>
      <c r="C854" s="78"/>
      <c r="D854" s="78"/>
      <c r="E854" s="79"/>
      <c r="F854" s="78"/>
      <c r="G854" s="78"/>
      <c r="H854" s="78"/>
      <c r="I854" s="78"/>
      <c r="J854" s="78"/>
      <c r="K854" s="110"/>
      <c r="L854" s="110"/>
      <c r="M854" s="78"/>
      <c r="N854" s="78"/>
      <c r="O854" s="117"/>
      <c r="P854" s="114" t="e">
        <f t="shared" si="12"/>
        <v>#N/A</v>
      </c>
      <c r="Q854" s="77" t="e">
        <f>VLOOKUP($B854,'Component List'!$A$2:$B$30,2,FALSE)</f>
        <v>#N/A</v>
      </c>
      <c r="R854" s="77" t="e">
        <f>VLOOKUP($C854,'Component List'!C$2:D$28,2,FALSE)</f>
        <v>#N/A</v>
      </c>
      <c r="S854" s="77" t="e">
        <f>VLOOKUP($D854,'Component List'!E$2:F$30,2,FALSE)</f>
        <v>#N/A</v>
      </c>
      <c r="T854" s="77" t="e">
        <f>VLOOKUP($E854,'Component List'!G$2:H$30,2,FALSE)</f>
        <v>#N/A</v>
      </c>
      <c r="U854" s="77" t="e">
        <f>VLOOKUP($F854,'Component List'!I$2:J$30,2,FALSE)</f>
        <v>#N/A</v>
      </c>
      <c r="V854" s="77" t="e">
        <f>VLOOKUP(G854,'Component List'!K$2:L$30,2,FALSE)</f>
        <v>#N/A</v>
      </c>
      <c r="W854" s="77" t="e">
        <f>VLOOKUP(H854,'Component List'!M$2:N$31,2,FALSE)</f>
        <v>#N/A</v>
      </c>
      <c r="X854" s="77" t="e">
        <f>VLOOKUP(I854,'Component List'!O$2:P$30,2,FALSE)</f>
        <v>#N/A</v>
      </c>
      <c r="Y854" s="77" t="e">
        <f>VLOOKUP(J854,'Component List'!Q$2:R$30,2,FALSE)</f>
        <v>#N/A</v>
      </c>
      <c r="Z854" s="77" t="e">
        <f>VLOOKUP(K854,'Component List'!S$2:T$30,2,FALSE)</f>
        <v>#N/A</v>
      </c>
      <c r="AA854" s="77" t="e">
        <f>VLOOKUP(L854,'Component List'!U$2:V$30,2,FALSE)</f>
        <v>#N/A</v>
      </c>
      <c r="AB854" s="77" t="e">
        <f>VLOOKUP(M854,'Component List'!AA$2:AB$30,2,FALSE)</f>
        <v>#N/A</v>
      </c>
      <c r="AC854" s="77" t="e">
        <f>VLOOKUP(N854,'Component List'!Y$2:Z$30,2,FALSE)</f>
        <v>#N/A</v>
      </c>
      <c r="AD854" s="77" t="e">
        <f>VLOOKUP(O854,'Component List'!W$3:X$30,2,FALSE)</f>
        <v>#N/A</v>
      </c>
    </row>
    <row r="855" spans="1:30" ht="30" customHeight="1" x14ac:dyDescent="0.3">
      <c r="A855" s="76"/>
      <c r="B855" s="78"/>
      <c r="C855" s="78"/>
      <c r="D855" s="78"/>
      <c r="E855" s="79"/>
      <c r="F855" s="78"/>
      <c r="G855" s="78"/>
      <c r="H855" s="78"/>
      <c r="I855" s="78"/>
      <c r="J855" s="78"/>
      <c r="K855" s="110"/>
      <c r="L855" s="110"/>
      <c r="M855" s="78"/>
      <c r="N855" s="78"/>
      <c r="O855" s="117"/>
      <c r="P855" s="114" t="e">
        <f t="shared" si="12"/>
        <v>#N/A</v>
      </c>
      <c r="Q855" s="77" t="e">
        <f>VLOOKUP($B855,'Component List'!$A$2:$B$30,2,FALSE)</f>
        <v>#N/A</v>
      </c>
      <c r="R855" s="77" t="e">
        <f>VLOOKUP($C855,'Component List'!C$2:D$28,2,FALSE)</f>
        <v>#N/A</v>
      </c>
      <c r="S855" s="77" t="e">
        <f>VLOOKUP($D855,'Component List'!E$2:F$30,2,FALSE)</f>
        <v>#N/A</v>
      </c>
      <c r="T855" s="77" t="e">
        <f>VLOOKUP($E855,'Component List'!G$2:H$30,2,FALSE)</f>
        <v>#N/A</v>
      </c>
      <c r="U855" s="77" t="e">
        <f>VLOOKUP($F855,'Component List'!I$2:J$30,2,FALSE)</f>
        <v>#N/A</v>
      </c>
      <c r="V855" s="77" t="e">
        <f>VLOOKUP(G855,'Component List'!K$2:L$30,2,FALSE)</f>
        <v>#N/A</v>
      </c>
      <c r="W855" s="77" t="e">
        <f>VLOOKUP(H855,'Component List'!M$2:N$31,2,FALSE)</f>
        <v>#N/A</v>
      </c>
      <c r="X855" s="77" t="e">
        <f>VLOOKUP(I855,'Component List'!O$2:P$30,2,FALSE)</f>
        <v>#N/A</v>
      </c>
      <c r="Y855" s="77" t="e">
        <f>VLOOKUP(J855,'Component List'!Q$2:R$30,2,FALSE)</f>
        <v>#N/A</v>
      </c>
      <c r="Z855" s="77" t="e">
        <f>VLOOKUP(K855,'Component List'!S$2:T$30,2,FALSE)</f>
        <v>#N/A</v>
      </c>
      <c r="AA855" s="77" t="e">
        <f>VLOOKUP(L855,'Component List'!U$2:V$30,2,FALSE)</f>
        <v>#N/A</v>
      </c>
      <c r="AB855" s="77" t="e">
        <f>VLOOKUP(M855,'Component List'!AA$2:AB$30,2,FALSE)</f>
        <v>#N/A</v>
      </c>
      <c r="AC855" s="77" t="e">
        <f>VLOOKUP(N855,'Component List'!Y$2:Z$30,2,FALSE)</f>
        <v>#N/A</v>
      </c>
      <c r="AD855" s="77" t="e">
        <f>VLOOKUP(O855,'Component List'!W$3:X$30,2,FALSE)</f>
        <v>#N/A</v>
      </c>
    </row>
    <row r="856" spans="1:30" ht="30" customHeight="1" x14ac:dyDescent="0.3">
      <c r="A856" s="76"/>
      <c r="B856" s="78"/>
      <c r="C856" s="78"/>
      <c r="D856" s="78"/>
      <c r="E856" s="79"/>
      <c r="F856" s="78"/>
      <c r="G856" s="78"/>
      <c r="H856" s="78"/>
      <c r="I856" s="78"/>
      <c r="J856" s="78"/>
      <c r="K856" s="110"/>
      <c r="L856" s="110"/>
      <c r="M856" s="78"/>
      <c r="N856" s="78"/>
      <c r="O856" s="117"/>
      <c r="P856" s="114" t="e">
        <f t="shared" si="12"/>
        <v>#N/A</v>
      </c>
      <c r="Q856" s="77" t="e">
        <f>VLOOKUP($B856,'Component List'!$A$2:$B$30,2,FALSE)</f>
        <v>#N/A</v>
      </c>
      <c r="R856" s="77" t="e">
        <f>VLOOKUP($C856,'Component List'!C$2:D$28,2,FALSE)</f>
        <v>#N/A</v>
      </c>
      <c r="S856" s="77" t="e">
        <f>VLOOKUP($D856,'Component List'!E$2:F$30,2,FALSE)</f>
        <v>#N/A</v>
      </c>
      <c r="T856" s="77" t="e">
        <f>VLOOKUP($E856,'Component List'!G$2:H$30,2,FALSE)</f>
        <v>#N/A</v>
      </c>
      <c r="U856" s="77" t="e">
        <f>VLOOKUP($F856,'Component List'!I$2:J$30,2,FALSE)</f>
        <v>#N/A</v>
      </c>
      <c r="V856" s="77" t="e">
        <f>VLOOKUP(G856,'Component List'!K$2:L$30,2,FALSE)</f>
        <v>#N/A</v>
      </c>
      <c r="W856" s="77" t="e">
        <f>VLOOKUP(H856,'Component List'!M$2:N$31,2,FALSE)</f>
        <v>#N/A</v>
      </c>
      <c r="X856" s="77" t="e">
        <f>VLOOKUP(I856,'Component List'!O$2:P$30,2,FALSE)</f>
        <v>#N/A</v>
      </c>
      <c r="Y856" s="77" t="e">
        <f>VLOOKUP(J856,'Component List'!Q$2:R$30,2,FALSE)</f>
        <v>#N/A</v>
      </c>
      <c r="Z856" s="77" t="e">
        <f>VLOOKUP(K856,'Component List'!S$2:T$30,2,FALSE)</f>
        <v>#N/A</v>
      </c>
      <c r="AA856" s="77" t="e">
        <f>VLOOKUP(L856,'Component List'!U$2:V$30,2,FALSE)</f>
        <v>#N/A</v>
      </c>
      <c r="AB856" s="77" t="e">
        <f>VLOOKUP(M856,'Component List'!AA$2:AB$30,2,FALSE)</f>
        <v>#N/A</v>
      </c>
      <c r="AC856" s="77" t="e">
        <f>VLOOKUP(N856,'Component List'!Y$2:Z$30,2,FALSE)</f>
        <v>#N/A</v>
      </c>
      <c r="AD856" s="77" t="e">
        <f>VLOOKUP(O856,'Component List'!W$3:X$30,2,FALSE)</f>
        <v>#N/A</v>
      </c>
    </row>
    <row r="857" spans="1:30" ht="30" customHeight="1" x14ac:dyDescent="0.3">
      <c r="A857" s="76"/>
      <c r="B857" s="78"/>
      <c r="C857" s="78"/>
      <c r="D857" s="78"/>
      <c r="E857" s="79"/>
      <c r="F857" s="78"/>
      <c r="G857" s="78"/>
      <c r="H857" s="78"/>
      <c r="I857" s="78"/>
      <c r="J857" s="78"/>
      <c r="K857" s="110"/>
      <c r="L857" s="110"/>
      <c r="M857" s="78"/>
      <c r="N857" s="78"/>
      <c r="O857" s="117"/>
      <c r="P857" s="114" t="e">
        <f t="shared" si="12"/>
        <v>#N/A</v>
      </c>
      <c r="Q857" s="77" t="e">
        <f>VLOOKUP($B857,'Component List'!$A$2:$B$30,2,FALSE)</f>
        <v>#N/A</v>
      </c>
      <c r="R857" s="77" t="e">
        <f>VLOOKUP($C857,'Component List'!C$2:D$28,2,FALSE)</f>
        <v>#N/A</v>
      </c>
      <c r="S857" s="77" t="e">
        <f>VLOOKUP($D857,'Component List'!E$2:F$30,2,FALSE)</f>
        <v>#N/A</v>
      </c>
      <c r="T857" s="77" t="e">
        <f>VLOOKUP($E857,'Component List'!G$2:H$30,2,FALSE)</f>
        <v>#N/A</v>
      </c>
      <c r="U857" s="77" t="e">
        <f>VLOOKUP($F857,'Component List'!I$2:J$30,2,FALSE)</f>
        <v>#N/A</v>
      </c>
      <c r="V857" s="77" t="e">
        <f>VLOOKUP(G857,'Component List'!K$2:L$30,2,FALSE)</f>
        <v>#N/A</v>
      </c>
      <c r="W857" s="77" t="e">
        <f>VLOOKUP(H857,'Component List'!M$2:N$31,2,FALSE)</f>
        <v>#N/A</v>
      </c>
      <c r="X857" s="77" t="e">
        <f>VLOOKUP(I857,'Component List'!O$2:P$30,2,FALSE)</f>
        <v>#N/A</v>
      </c>
      <c r="Y857" s="77" t="e">
        <f>VLOOKUP(J857,'Component List'!Q$2:R$30,2,FALSE)</f>
        <v>#N/A</v>
      </c>
      <c r="Z857" s="77" t="e">
        <f>VLOOKUP(K857,'Component List'!S$2:T$30,2,FALSE)</f>
        <v>#N/A</v>
      </c>
      <c r="AA857" s="77" t="e">
        <f>VLOOKUP(L857,'Component List'!U$2:V$30,2,FALSE)</f>
        <v>#N/A</v>
      </c>
      <c r="AB857" s="77" t="e">
        <f>VLOOKUP(M857,'Component List'!AA$2:AB$30,2,FALSE)</f>
        <v>#N/A</v>
      </c>
      <c r="AC857" s="77" t="e">
        <f>VLOOKUP(N857,'Component List'!Y$2:Z$30,2,FALSE)</f>
        <v>#N/A</v>
      </c>
      <c r="AD857" s="77" t="e">
        <f>VLOOKUP(O857,'Component List'!W$3:X$30,2,FALSE)</f>
        <v>#N/A</v>
      </c>
    </row>
    <row r="858" spans="1:30" ht="30" customHeight="1" x14ac:dyDescent="0.3">
      <c r="A858" s="76"/>
      <c r="B858" s="78"/>
      <c r="C858" s="78"/>
      <c r="D858" s="78"/>
      <c r="E858" s="79"/>
      <c r="F858" s="78"/>
      <c r="G858" s="78"/>
      <c r="H858" s="78"/>
      <c r="I858" s="78"/>
      <c r="J858" s="78"/>
      <c r="K858" s="110"/>
      <c r="L858" s="110"/>
      <c r="M858" s="78"/>
      <c r="N858" s="78"/>
      <c r="O858" s="117"/>
      <c r="P858" s="114" t="e">
        <f t="shared" si="12"/>
        <v>#N/A</v>
      </c>
      <c r="Q858" s="77" t="e">
        <f>VLOOKUP($B858,'Component List'!$A$2:$B$30,2,FALSE)</f>
        <v>#N/A</v>
      </c>
      <c r="R858" s="77" t="e">
        <f>VLOOKUP($C858,'Component List'!C$2:D$28,2,FALSE)</f>
        <v>#N/A</v>
      </c>
      <c r="S858" s="77" t="e">
        <f>VLOOKUP($D858,'Component List'!E$2:F$30,2,FALSE)</f>
        <v>#N/A</v>
      </c>
      <c r="T858" s="77" t="e">
        <f>VLOOKUP($E858,'Component List'!G$2:H$30,2,FALSE)</f>
        <v>#N/A</v>
      </c>
      <c r="U858" s="77" t="e">
        <f>VLOOKUP($F858,'Component List'!I$2:J$30,2,FALSE)</f>
        <v>#N/A</v>
      </c>
      <c r="V858" s="77" t="e">
        <f>VLOOKUP(G858,'Component List'!K$2:L$30,2,FALSE)</f>
        <v>#N/A</v>
      </c>
      <c r="W858" s="77" t="e">
        <f>VLOOKUP(H858,'Component List'!M$2:N$31,2,FALSE)</f>
        <v>#N/A</v>
      </c>
      <c r="X858" s="77" t="e">
        <f>VLOOKUP(I858,'Component List'!O$2:P$30,2,FALSE)</f>
        <v>#N/A</v>
      </c>
      <c r="Y858" s="77" t="e">
        <f>VLOOKUP(J858,'Component List'!Q$2:R$30,2,FALSE)</f>
        <v>#N/A</v>
      </c>
      <c r="Z858" s="77" t="e">
        <f>VLOOKUP(K858,'Component List'!S$2:T$30,2,FALSE)</f>
        <v>#N/A</v>
      </c>
      <c r="AA858" s="77" t="e">
        <f>VLOOKUP(L858,'Component List'!U$2:V$30,2,FALSE)</f>
        <v>#N/A</v>
      </c>
      <c r="AB858" s="77" t="e">
        <f>VLOOKUP(M858,'Component List'!AA$2:AB$30,2,FALSE)</f>
        <v>#N/A</v>
      </c>
      <c r="AC858" s="77" t="e">
        <f>VLOOKUP(N858,'Component List'!Y$2:Z$30,2,FALSE)</f>
        <v>#N/A</v>
      </c>
      <c r="AD858" s="77" t="e">
        <f>VLOOKUP(O858,'Component List'!W$3:X$30,2,FALSE)</f>
        <v>#N/A</v>
      </c>
    </row>
    <row r="859" spans="1:30" ht="30" customHeight="1" x14ac:dyDescent="0.3">
      <c r="A859" s="76"/>
      <c r="B859" s="78"/>
      <c r="C859" s="78"/>
      <c r="D859" s="78"/>
      <c r="E859" s="79"/>
      <c r="F859" s="78"/>
      <c r="G859" s="78"/>
      <c r="H859" s="78"/>
      <c r="I859" s="78"/>
      <c r="J859" s="78"/>
      <c r="K859" s="110"/>
      <c r="L859" s="110"/>
      <c r="M859" s="78"/>
      <c r="N859" s="78"/>
      <c r="O859" s="117"/>
      <c r="P859" s="114" t="e">
        <f t="shared" si="12"/>
        <v>#N/A</v>
      </c>
      <c r="Q859" s="77" t="e">
        <f>VLOOKUP($B859,'Component List'!$A$2:$B$30,2,FALSE)</f>
        <v>#N/A</v>
      </c>
      <c r="R859" s="77" t="e">
        <f>VLOOKUP($C859,'Component List'!C$2:D$28,2,FALSE)</f>
        <v>#N/A</v>
      </c>
      <c r="S859" s="77" t="e">
        <f>VLOOKUP($D859,'Component List'!E$2:F$30,2,FALSE)</f>
        <v>#N/A</v>
      </c>
      <c r="T859" s="77" t="e">
        <f>VLOOKUP($E859,'Component List'!G$2:H$30,2,FALSE)</f>
        <v>#N/A</v>
      </c>
      <c r="U859" s="77" t="e">
        <f>VLOOKUP($F859,'Component List'!I$2:J$30,2,FALSE)</f>
        <v>#N/A</v>
      </c>
      <c r="V859" s="77" t="e">
        <f>VLOOKUP(G859,'Component List'!K$2:L$30,2,FALSE)</f>
        <v>#N/A</v>
      </c>
      <c r="W859" s="77" t="e">
        <f>VLOOKUP(H859,'Component List'!M$2:N$31,2,FALSE)</f>
        <v>#N/A</v>
      </c>
      <c r="X859" s="77" t="e">
        <f>VLOOKUP(I859,'Component List'!O$2:P$30,2,FALSE)</f>
        <v>#N/A</v>
      </c>
      <c r="Y859" s="77" t="e">
        <f>VLOOKUP(J859,'Component List'!Q$2:R$30,2,FALSE)</f>
        <v>#N/A</v>
      </c>
      <c r="Z859" s="77" t="e">
        <f>VLOOKUP(K859,'Component List'!S$2:T$30,2,FALSE)</f>
        <v>#N/A</v>
      </c>
      <c r="AA859" s="77" t="e">
        <f>VLOOKUP(L859,'Component List'!U$2:V$30,2,FALSE)</f>
        <v>#N/A</v>
      </c>
      <c r="AB859" s="77" t="e">
        <f>VLOOKUP(M859,'Component List'!AA$2:AB$30,2,FALSE)</f>
        <v>#N/A</v>
      </c>
      <c r="AC859" s="77" t="e">
        <f>VLOOKUP(N859,'Component List'!Y$2:Z$30,2,FALSE)</f>
        <v>#N/A</v>
      </c>
      <c r="AD859" s="77" t="e">
        <f>VLOOKUP(O859,'Component List'!W$3:X$30,2,FALSE)</f>
        <v>#N/A</v>
      </c>
    </row>
    <row r="860" spans="1:30" ht="30" customHeight="1" x14ac:dyDescent="0.3">
      <c r="A860" s="76"/>
      <c r="B860" s="78"/>
      <c r="C860" s="78"/>
      <c r="D860" s="78"/>
      <c r="E860" s="79"/>
      <c r="F860" s="78"/>
      <c r="G860" s="78"/>
      <c r="H860" s="78"/>
      <c r="I860" s="78"/>
      <c r="J860" s="78"/>
      <c r="K860" s="110"/>
      <c r="L860" s="110"/>
      <c r="M860" s="78"/>
      <c r="N860" s="78"/>
      <c r="O860" s="117"/>
      <c r="P860" s="114" t="e">
        <f t="shared" si="12"/>
        <v>#N/A</v>
      </c>
      <c r="Q860" s="77" t="e">
        <f>VLOOKUP($B860,'Component List'!$A$2:$B$30,2,FALSE)</f>
        <v>#N/A</v>
      </c>
      <c r="R860" s="77" t="e">
        <f>VLOOKUP($C860,'Component List'!C$2:D$28,2,FALSE)</f>
        <v>#N/A</v>
      </c>
      <c r="S860" s="77" t="e">
        <f>VLOOKUP($D860,'Component List'!E$2:F$30,2,FALSE)</f>
        <v>#N/A</v>
      </c>
      <c r="T860" s="77" t="e">
        <f>VLOOKUP($E860,'Component List'!G$2:H$30,2,FALSE)</f>
        <v>#N/A</v>
      </c>
      <c r="U860" s="77" t="e">
        <f>VLOOKUP($F860,'Component List'!I$2:J$30,2,FALSE)</f>
        <v>#N/A</v>
      </c>
      <c r="V860" s="77" t="e">
        <f>VLOOKUP(G860,'Component List'!K$2:L$30,2,FALSE)</f>
        <v>#N/A</v>
      </c>
      <c r="W860" s="77" t="e">
        <f>VLOOKUP(H860,'Component List'!M$2:N$31,2,FALSE)</f>
        <v>#N/A</v>
      </c>
      <c r="X860" s="77" t="e">
        <f>VLOOKUP(I860,'Component List'!O$2:P$30,2,FALSE)</f>
        <v>#N/A</v>
      </c>
      <c r="Y860" s="77" t="e">
        <f>VLOOKUP(J860,'Component List'!Q$2:R$30,2,FALSE)</f>
        <v>#N/A</v>
      </c>
      <c r="Z860" s="77" t="e">
        <f>VLOOKUP(K860,'Component List'!S$2:T$30,2,FALSE)</f>
        <v>#N/A</v>
      </c>
      <c r="AA860" s="77" t="e">
        <f>VLOOKUP(L860,'Component List'!U$2:V$30,2,FALSE)</f>
        <v>#N/A</v>
      </c>
      <c r="AB860" s="77" t="e">
        <f>VLOOKUP(M860,'Component List'!AA$2:AB$30,2,FALSE)</f>
        <v>#N/A</v>
      </c>
      <c r="AC860" s="77" t="e">
        <f>VLOOKUP(N860,'Component List'!Y$2:Z$30,2,FALSE)</f>
        <v>#N/A</v>
      </c>
      <c r="AD860" s="77" t="e">
        <f>VLOOKUP(O860,'Component List'!W$3:X$30,2,FALSE)</f>
        <v>#N/A</v>
      </c>
    </row>
    <row r="861" spans="1:30" ht="30" customHeight="1" x14ac:dyDescent="0.3">
      <c r="A861" s="76"/>
      <c r="B861" s="78"/>
      <c r="C861" s="78"/>
      <c r="D861" s="78"/>
      <c r="E861" s="79"/>
      <c r="F861" s="78"/>
      <c r="G861" s="78"/>
      <c r="H861" s="78"/>
      <c r="I861" s="78"/>
      <c r="J861" s="78"/>
      <c r="K861" s="110"/>
      <c r="L861" s="110"/>
      <c r="M861" s="78"/>
      <c r="N861" s="78"/>
      <c r="O861" s="117"/>
      <c r="P861" s="114" t="e">
        <f t="shared" si="12"/>
        <v>#N/A</v>
      </c>
      <c r="Q861" s="77" t="e">
        <f>VLOOKUP($B861,'Component List'!$A$2:$B$30,2,FALSE)</f>
        <v>#N/A</v>
      </c>
      <c r="R861" s="77" t="e">
        <f>VLOOKUP($C861,'Component List'!C$2:D$28,2,FALSE)</f>
        <v>#N/A</v>
      </c>
      <c r="S861" s="77" t="e">
        <f>VLOOKUP($D861,'Component List'!E$2:F$30,2,FALSE)</f>
        <v>#N/A</v>
      </c>
      <c r="T861" s="77" t="e">
        <f>VLOOKUP($E861,'Component List'!G$2:H$30,2,FALSE)</f>
        <v>#N/A</v>
      </c>
      <c r="U861" s="77" t="e">
        <f>VLOOKUP($F861,'Component List'!I$2:J$30,2,FALSE)</f>
        <v>#N/A</v>
      </c>
      <c r="V861" s="77" t="e">
        <f>VLOOKUP(G861,'Component List'!K$2:L$30,2,FALSE)</f>
        <v>#N/A</v>
      </c>
      <c r="W861" s="77" t="e">
        <f>VLOOKUP(H861,'Component List'!M$2:N$31,2,FALSE)</f>
        <v>#N/A</v>
      </c>
      <c r="X861" s="77" t="e">
        <f>VLOOKUP(I861,'Component List'!O$2:P$30,2,FALSE)</f>
        <v>#N/A</v>
      </c>
      <c r="Y861" s="77" t="e">
        <f>VLOOKUP(J861,'Component List'!Q$2:R$30,2,FALSE)</f>
        <v>#N/A</v>
      </c>
      <c r="Z861" s="77" t="e">
        <f>VLOOKUP(K861,'Component List'!S$2:T$30,2,FALSE)</f>
        <v>#N/A</v>
      </c>
      <c r="AA861" s="77" t="e">
        <f>VLOOKUP(L861,'Component List'!U$2:V$30,2,FALSE)</f>
        <v>#N/A</v>
      </c>
      <c r="AB861" s="77" t="e">
        <f>VLOOKUP(M861,'Component List'!AA$2:AB$30,2,FALSE)</f>
        <v>#N/A</v>
      </c>
      <c r="AC861" s="77" t="e">
        <f>VLOOKUP(N861,'Component List'!Y$2:Z$30,2,FALSE)</f>
        <v>#N/A</v>
      </c>
      <c r="AD861" s="77" t="e">
        <f>VLOOKUP(O861,'Component List'!W$3:X$30,2,FALSE)</f>
        <v>#N/A</v>
      </c>
    </row>
    <row r="862" spans="1:30" ht="30" customHeight="1" x14ac:dyDescent="0.3">
      <c r="A862" s="76"/>
      <c r="B862" s="78"/>
      <c r="C862" s="78"/>
      <c r="D862" s="78"/>
      <c r="E862" s="79"/>
      <c r="F862" s="78"/>
      <c r="G862" s="78"/>
      <c r="H862" s="78"/>
      <c r="I862" s="78"/>
      <c r="J862" s="78"/>
      <c r="K862" s="110"/>
      <c r="L862" s="110"/>
      <c r="M862" s="78"/>
      <c r="N862" s="78"/>
      <c r="O862" s="117"/>
      <c r="P862" s="114" t="e">
        <f t="shared" si="12"/>
        <v>#N/A</v>
      </c>
      <c r="Q862" s="77" t="e">
        <f>VLOOKUP($B862,'Component List'!$A$2:$B$30,2,FALSE)</f>
        <v>#N/A</v>
      </c>
      <c r="R862" s="77" t="e">
        <f>VLOOKUP($C862,'Component List'!C$2:D$28,2,FALSE)</f>
        <v>#N/A</v>
      </c>
      <c r="S862" s="77" t="e">
        <f>VLOOKUP($D862,'Component List'!E$2:F$30,2,FALSE)</f>
        <v>#N/A</v>
      </c>
      <c r="T862" s="77" t="e">
        <f>VLOOKUP($E862,'Component List'!G$2:H$30,2,FALSE)</f>
        <v>#N/A</v>
      </c>
      <c r="U862" s="77" t="e">
        <f>VLOOKUP($F862,'Component List'!I$2:J$30,2,FALSE)</f>
        <v>#N/A</v>
      </c>
      <c r="V862" s="77" t="e">
        <f>VLOOKUP(G862,'Component List'!K$2:L$30,2,FALSE)</f>
        <v>#N/A</v>
      </c>
      <c r="W862" s="77" t="e">
        <f>VLOOKUP(H862,'Component List'!M$2:N$31,2,FALSE)</f>
        <v>#N/A</v>
      </c>
      <c r="X862" s="77" t="e">
        <f>VLOOKUP(I862,'Component List'!O$2:P$30,2,FALSE)</f>
        <v>#N/A</v>
      </c>
      <c r="Y862" s="77" t="e">
        <f>VLOOKUP(J862,'Component List'!Q$2:R$30,2,FALSE)</f>
        <v>#N/A</v>
      </c>
      <c r="Z862" s="77" t="e">
        <f>VLOOKUP(K862,'Component List'!S$2:T$30,2,FALSE)</f>
        <v>#N/A</v>
      </c>
      <c r="AA862" s="77" t="e">
        <f>VLOOKUP(L862,'Component List'!U$2:V$30,2,FALSE)</f>
        <v>#N/A</v>
      </c>
      <c r="AB862" s="77" t="e">
        <f>VLOOKUP(M862,'Component List'!AA$2:AB$30,2,FALSE)</f>
        <v>#N/A</v>
      </c>
      <c r="AC862" s="77" t="e">
        <f>VLOOKUP(N862,'Component List'!Y$2:Z$30,2,FALSE)</f>
        <v>#N/A</v>
      </c>
      <c r="AD862" s="77" t="e">
        <f>VLOOKUP(O862,'Component List'!W$3:X$30,2,FALSE)</f>
        <v>#N/A</v>
      </c>
    </row>
    <row r="863" spans="1:30" ht="30" customHeight="1" x14ac:dyDescent="0.3">
      <c r="A863" s="76"/>
      <c r="B863" s="78"/>
      <c r="C863" s="78"/>
      <c r="D863" s="78"/>
      <c r="E863" s="79"/>
      <c r="F863" s="78"/>
      <c r="G863" s="78"/>
      <c r="H863" s="78"/>
      <c r="I863" s="78"/>
      <c r="J863" s="78"/>
      <c r="K863" s="110"/>
      <c r="L863" s="110"/>
      <c r="M863" s="78"/>
      <c r="N863" s="78"/>
      <c r="O863" s="117"/>
      <c r="P863" s="114" t="e">
        <f t="shared" si="12"/>
        <v>#N/A</v>
      </c>
      <c r="Q863" s="77" t="e">
        <f>VLOOKUP($B863,'Component List'!$A$2:$B$30,2,FALSE)</f>
        <v>#N/A</v>
      </c>
      <c r="R863" s="77" t="e">
        <f>VLOOKUP($C863,'Component List'!C$2:D$28,2,FALSE)</f>
        <v>#N/A</v>
      </c>
      <c r="S863" s="77" t="e">
        <f>VLOOKUP($D863,'Component List'!E$2:F$30,2,FALSE)</f>
        <v>#N/A</v>
      </c>
      <c r="T863" s="77" t="e">
        <f>VLOOKUP($E863,'Component List'!G$2:H$30,2,FALSE)</f>
        <v>#N/A</v>
      </c>
      <c r="U863" s="77" t="e">
        <f>VLOOKUP($F863,'Component List'!I$2:J$30,2,FALSE)</f>
        <v>#N/A</v>
      </c>
      <c r="V863" s="77" t="e">
        <f>VLOOKUP(G863,'Component List'!K$2:L$30,2,FALSE)</f>
        <v>#N/A</v>
      </c>
      <c r="W863" s="77" t="e">
        <f>VLOOKUP(H863,'Component List'!M$2:N$31,2,FALSE)</f>
        <v>#N/A</v>
      </c>
      <c r="X863" s="77" t="e">
        <f>VLOOKUP(I863,'Component List'!O$2:P$30,2,FALSE)</f>
        <v>#N/A</v>
      </c>
      <c r="Y863" s="77" t="e">
        <f>VLOOKUP(J863,'Component List'!Q$2:R$30,2,FALSE)</f>
        <v>#N/A</v>
      </c>
      <c r="Z863" s="77" t="e">
        <f>VLOOKUP(K863,'Component List'!S$2:T$30,2,FALSE)</f>
        <v>#N/A</v>
      </c>
      <c r="AA863" s="77" t="e">
        <f>VLOOKUP(L863,'Component List'!U$2:V$30,2,FALSE)</f>
        <v>#N/A</v>
      </c>
      <c r="AB863" s="77" t="e">
        <f>VLOOKUP(M863,'Component List'!AA$2:AB$30,2,FALSE)</f>
        <v>#N/A</v>
      </c>
      <c r="AC863" s="77" t="e">
        <f>VLOOKUP(N863,'Component List'!Y$2:Z$30,2,FALSE)</f>
        <v>#N/A</v>
      </c>
      <c r="AD863" s="77" t="e">
        <f>VLOOKUP(O863,'Component List'!W$3:X$30,2,FALSE)</f>
        <v>#N/A</v>
      </c>
    </row>
    <row r="864" spans="1:30" ht="30" customHeight="1" x14ac:dyDescent="0.3">
      <c r="A864" s="76"/>
      <c r="B864" s="78"/>
      <c r="C864" s="78"/>
      <c r="D864" s="78"/>
      <c r="E864" s="79"/>
      <c r="F864" s="78"/>
      <c r="G864" s="78"/>
      <c r="H864" s="78"/>
      <c r="I864" s="78"/>
      <c r="J864" s="78"/>
      <c r="K864" s="110"/>
      <c r="L864" s="110"/>
      <c r="M864" s="78"/>
      <c r="N864" s="78"/>
      <c r="O864" s="117"/>
      <c r="P864" s="114" t="e">
        <f t="shared" si="12"/>
        <v>#N/A</v>
      </c>
      <c r="Q864" s="77" t="e">
        <f>VLOOKUP($B864,'Component List'!$A$2:$B$30,2,FALSE)</f>
        <v>#N/A</v>
      </c>
      <c r="R864" s="77" t="e">
        <f>VLOOKUP($C864,'Component List'!C$2:D$28,2,FALSE)</f>
        <v>#N/A</v>
      </c>
      <c r="S864" s="77" t="e">
        <f>VLOOKUP($D864,'Component List'!E$2:F$30,2,FALSE)</f>
        <v>#N/A</v>
      </c>
      <c r="T864" s="77" t="e">
        <f>VLOOKUP($E864,'Component List'!G$2:H$30,2,FALSE)</f>
        <v>#N/A</v>
      </c>
      <c r="U864" s="77" t="e">
        <f>VLOOKUP($F864,'Component List'!I$2:J$30,2,FALSE)</f>
        <v>#N/A</v>
      </c>
      <c r="V864" s="77" t="e">
        <f>VLOOKUP(G864,'Component List'!K$2:L$30,2,FALSE)</f>
        <v>#N/A</v>
      </c>
      <c r="W864" s="77" t="e">
        <f>VLOOKUP(H864,'Component List'!M$2:N$31,2,FALSE)</f>
        <v>#N/A</v>
      </c>
      <c r="X864" s="77" t="e">
        <f>VLOOKUP(I864,'Component List'!O$2:P$30,2,FALSE)</f>
        <v>#N/A</v>
      </c>
      <c r="Y864" s="77" t="e">
        <f>VLOOKUP(J864,'Component List'!Q$2:R$30,2,FALSE)</f>
        <v>#N/A</v>
      </c>
      <c r="Z864" s="77" t="e">
        <f>VLOOKUP(K864,'Component List'!S$2:T$30,2,FALSE)</f>
        <v>#N/A</v>
      </c>
      <c r="AA864" s="77" t="e">
        <f>VLOOKUP(L864,'Component List'!U$2:V$30,2,FALSE)</f>
        <v>#N/A</v>
      </c>
      <c r="AB864" s="77" t="e">
        <f>VLOOKUP(M864,'Component List'!AA$2:AB$30,2,FALSE)</f>
        <v>#N/A</v>
      </c>
      <c r="AC864" s="77" t="e">
        <f>VLOOKUP(N864,'Component List'!Y$2:Z$30,2,FALSE)</f>
        <v>#N/A</v>
      </c>
      <c r="AD864" s="77" t="e">
        <f>VLOOKUP(O864,'Component List'!W$3:X$30,2,FALSE)</f>
        <v>#N/A</v>
      </c>
    </row>
    <row r="865" spans="1:30" ht="30" customHeight="1" x14ac:dyDescent="0.3">
      <c r="A865" s="76"/>
      <c r="B865" s="78"/>
      <c r="C865" s="78"/>
      <c r="D865" s="78"/>
      <c r="E865" s="79"/>
      <c r="F865" s="78"/>
      <c r="G865" s="78"/>
      <c r="H865" s="78"/>
      <c r="I865" s="78"/>
      <c r="J865" s="78"/>
      <c r="K865" s="110"/>
      <c r="L865" s="110"/>
      <c r="M865" s="78"/>
      <c r="N865" s="78"/>
      <c r="O865" s="117"/>
      <c r="P865" s="114" t="e">
        <f t="shared" si="12"/>
        <v>#N/A</v>
      </c>
      <c r="Q865" s="77" t="e">
        <f>VLOOKUP($B865,'Component List'!$A$2:$B$30,2,FALSE)</f>
        <v>#N/A</v>
      </c>
      <c r="R865" s="77" t="e">
        <f>VLOOKUP($C865,'Component List'!C$2:D$28,2,FALSE)</f>
        <v>#N/A</v>
      </c>
      <c r="S865" s="77" t="e">
        <f>VLOOKUP($D865,'Component List'!E$2:F$30,2,FALSE)</f>
        <v>#N/A</v>
      </c>
      <c r="T865" s="77" t="e">
        <f>VLOOKUP($E865,'Component List'!G$2:H$30,2,FALSE)</f>
        <v>#N/A</v>
      </c>
      <c r="U865" s="77" t="e">
        <f>VLOOKUP($F865,'Component List'!I$2:J$30,2,FALSE)</f>
        <v>#N/A</v>
      </c>
      <c r="V865" s="77" t="e">
        <f>VLOOKUP(G865,'Component List'!K$2:L$30,2,FALSE)</f>
        <v>#N/A</v>
      </c>
      <c r="W865" s="77" t="e">
        <f>VLOOKUP(H865,'Component List'!M$2:N$31,2,FALSE)</f>
        <v>#N/A</v>
      </c>
      <c r="X865" s="77" t="e">
        <f>VLOOKUP(I865,'Component List'!O$2:P$30,2,FALSE)</f>
        <v>#N/A</v>
      </c>
      <c r="Y865" s="77" t="e">
        <f>VLOOKUP(J865,'Component List'!Q$2:R$30,2,FALSE)</f>
        <v>#N/A</v>
      </c>
      <c r="Z865" s="77" t="e">
        <f>VLOOKUP(K865,'Component List'!S$2:T$30,2,FALSE)</f>
        <v>#N/A</v>
      </c>
      <c r="AA865" s="77" t="e">
        <f>VLOOKUP(L865,'Component List'!U$2:V$30,2,FALSE)</f>
        <v>#N/A</v>
      </c>
      <c r="AB865" s="77" t="e">
        <f>VLOOKUP(M865,'Component List'!AA$2:AB$30,2,FALSE)</f>
        <v>#N/A</v>
      </c>
      <c r="AC865" s="77" t="e">
        <f>VLOOKUP(N865,'Component List'!Y$2:Z$30,2,FALSE)</f>
        <v>#N/A</v>
      </c>
      <c r="AD865" s="77" t="e">
        <f>VLOOKUP(O865,'Component List'!W$3:X$30,2,FALSE)</f>
        <v>#N/A</v>
      </c>
    </row>
    <row r="866" spans="1:30" ht="30" customHeight="1" x14ac:dyDescent="0.3">
      <c r="A866" s="76"/>
      <c r="B866" s="78"/>
      <c r="C866" s="78"/>
      <c r="D866" s="78"/>
      <c r="E866" s="79"/>
      <c r="F866" s="78"/>
      <c r="G866" s="78"/>
      <c r="H866" s="78"/>
      <c r="I866" s="78"/>
      <c r="J866" s="78"/>
      <c r="K866" s="110"/>
      <c r="L866" s="110"/>
      <c r="M866" s="78"/>
      <c r="N866" s="78"/>
      <c r="O866" s="117"/>
      <c r="P866" s="114" t="e">
        <f t="shared" si="12"/>
        <v>#N/A</v>
      </c>
      <c r="Q866" s="77" t="e">
        <f>VLOOKUP($B866,'Component List'!$A$2:$B$30,2,FALSE)</f>
        <v>#N/A</v>
      </c>
      <c r="R866" s="77" t="e">
        <f>VLOOKUP($C866,'Component List'!C$2:D$28,2,FALSE)</f>
        <v>#N/A</v>
      </c>
      <c r="S866" s="77" t="e">
        <f>VLOOKUP($D866,'Component List'!E$2:F$30,2,FALSE)</f>
        <v>#N/A</v>
      </c>
      <c r="T866" s="77" t="e">
        <f>VLOOKUP($E866,'Component List'!G$2:H$30,2,FALSE)</f>
        <v>#N/A</v>
      </c>
      <c r="U866" s="77" t="e">
        <f>VLOOKUP($F866,'Component List'!I$2:J$30,2,FALSE)</f>
        <v>#N/A</v>
      </c>
      <c r="V866" s="77" t="e">
        <f>VLOOKUP(G866,'Component List'!K$2:L$30,2,FALSE)</f>
        <v>#N/A</v>
      </c>
      <c r="W866" s="77" t="e">
        <f>VLOOKUP(H866,'Component List'!M$2:N$31,2,FALSE)</f>
        <v>#N/A</v>
      </c>
      <c r="X866" s="77" t="e">
        <f>VLOOKUP(I866,'Component List'!O$2:P$30,2,FALSE)</f>
        <v>#N/A</v>
      </c>
      <c r="Y866" s="77" t="e">
        <f>VLOOKUP(J866,'Component List'!Q$2:R$30,2,FALSE)</f>
        <v>#N/A</v>
      </c>
      <c r="Z866" s="77" t="e">
        <f>VLOOKUP(K866,'Component List'!S$2:T$30,2,FALSE)</f>
        <v>#N/A</v>
      </c>
      <c r="AA866" s="77" t="e">
        <f>VLOOKUP(L866,'Component List'!U$2:V$30,2,FALSE)</f>
        <v>#N/A</v>
      </c>
      <c r="AB866" s="77" t="e">
        <f>VLOOKUP(M866,'Component List'!AA$2:AB$30,2,FALSE)</f>
        <v>#N/A</v>
      </c>
      <c r="AC866" s="77" t="e">
        <f>VLOOKUP(N866,'Component List'!Y$2:Z$30,2,FALSE)</f>
        <v>#N/A</v>
      </c>
      <c r="AD866" s="77" t="e">
        <f>VLOOKUP(O866,'Component List'!W$3:X$30,2,FALSE)</f>
        <v>#N/A</v>
      </c>
    </row>
    <row r="867" spans="1:30" ht="30" customHeight="1" x14ac:dyDescent="0.3">
      <c r="A867" s="76"/>
      <c r="B867" s="78"/>
      <c r="C867" s="78"/>
      <c r="D867" s="78"/>
      <c r="E867" s="79"/>
      <c r="F867" s="78"/>
      <c r="G867" s="78"/>
      <c r="H867" s="78"/>
      <c r="I867" s="78"/>
      <c r="J867" s="78"/>
      <c r="K867" s="110"/>
      <c r="L867" s="110"/>
      <c r="M867" s="78"/>
      <c r="N867" s="78"/>
      <c r="O867" s="117"/>
      <c r="P867" s="114" t="e">
        <f t="shared" si="12"/>
        <v>#N/A</v>
      </c>
      <c r="Q867" s="77" t="e">
        <f>VLOOKUP($B867,'Component List'!$A$2:$B$30,2,FALSE)</f>
        <v>#N/A</v>
      </c>
      <c r="R867" s="77" t="e">
        <f>VLOOKUP($C867,'Component List'!C$2:D$28,2,FALSE)</f>
        <v>#N/A</v>
      </c>
      <c r="S867" s="77" t="e">
        <f>VLOOKUP($D867,'Component List'!E$2:F$30,2,FALSE)</f>
        <v>#N/A</v>
      </c>
      <c r="T867" s="77" t="e">
        <f>VLOOKUP($E867,'Component List'!G$2:H$30,2,FALSE)</f>
        <v>#N/A</v>
      </c>
      <c r="U867" s="77" t="e">
        <f>VLOOKUP($F867,'Component List'!I$2:J$30,2,FALSE)</f>
        <v>#N/A</v>
      </c>
      <c r="V867" s="77" t="e">
        <f>VLOOKUP(G867,'Component List'!K$2:L$30,2,FALSE)</f>
        <v>#N/A</v>
      </c>
      <c r="W867" s="77" t="e">
        <f>VLOOKUP(H867,'Component List'!M$2:N$31,2,FALSE)</f>
        <v>#N/A</v>
      </c>
      <c r="X867" s="77" t="e">
        <f>VLOOKUP(I867,'Component List'!O$2:P$30,2,FALSE)</f>
        <v>#N/A</v>
      </c>
      <c r="Y867" s="77" t="e">
        <f>VLOOKUP(J867,'Component List'!Q$2:R$30,2,FALSE)</f>
        <v>#N/A</v>
      </c>
      <c r="Z867" s="77" t="e">
        <f>VLOOKUP(K867,'Component List'!S$2:T$30,2,FALSE)</f>
        <v>#N/A</v>
      </c>
      <c r="AA867" s="77" t="e">
        <f>VLOOKUP(L867,'Component List'!U$2:V$30,2,FALSE)</f>
        <v>#N/A</v>
      </c>
      <c r="AB867" s="77" t="e">
        <f>VLOOKUP(M867,'Component List'!AA$2:AB$30,2,FALSE)</f>
        <v>#N/A</v>
      </c>
      <c r="AC867" s="77" t="e">
        <f>VLOOKUP(N867,'Component List'!Y$2:Z$30,2,FALSE)</f>
        <v>#N/A</v>
      </c>
      <c r="AD867" s="77" t="e">
        <f>VLOOKUP(O867,'Component List'!W$3:X$30,2,FALSE)</f>
        <v>#N/A</v>
      </c>
    </row>
    <row r="868" spans="1:30" ht="30" customHeight="1" x14ac:dyDescent="0.3">
      <c r="A868" s="76"/>
      <c r="B868" s="78"/>
      <c r="C868" s="78"/>
      <c r="D868" s="78"/>
      <c r="E868" s="79"/>
      <c r="F868" s="78"/>
      <c r="G868" s="78"/>
      <c r="H868" s="78"/>
      <c r="I868" s="78"/>
      <c r="J868" s="78"/>
      <c r="K868" s="110"/>
      <c r="L868" s="110"/>
      <c r="M868" s="78"/>
      <c r="N868" s="78"/>
      <c r="O868" s="117"/>
      <c r="P868" s="114" t="e">
        <f t="shared" si="12"/>
        <v>#N/A</v>
      </c>
      <c r="Q868" s="77" t="e">
        <f>VLOOKUP($B868,'Component List'!$A$2:$B$30,2,FALSE)</f>
        <v>#N/A</v>
      </c>
      <c r="R868" s="77" t="e">
        <f>VLOOKUP($C868,'Component List'!C$2:D$28,2,FALSE)</f>
        <v>#N/A</v>
      </c>
      <c r="S868" s="77" t="e">
        <f>VLOOKUP($D868,'Component List'!E$2:F$30,2,FALSE)</f>
        <v>#N/A</v>
      </c>
      <c r="T868" s="77" t="e">
        <f>VLOOKUP($E868,'Component List'!G$2:H$30,2,FALSE)</f>
        <v>#N/A</v>
      </c>
      <c r="U868" s="77" t="e">
        <f>VLOOKUP($F868,'Component List'!I$2:J$30,2,FALSE)</f>
        <v>#N/A</v>
      </c>
      <c r="V868" s="77" t="e">
        <f>VLOOKUP(G868,'Component List'!K$2:L$30,2,FALSE)</f>
        <v>#N/A</v>
      </c>
      <c r="W868" s="77" t="e">
        <f>VLOOKUP(H868,'Component List'!M$2:N$31,2,FALSE)</f>
        <v>#N/A</v>
      </c>
      <c r="X868" s="77" t="e">
        <f>VLOOKUP(I868,'Component List'!O$2:P$30,2,FALSE)</f>
        <v>#N/A</v>
      </c>
      <c r="Y868" s="77" t="e">
        <f>VLOOKUP(J868,'Component List'!Q$2:R$30,2,FALSE)</f>
        <v>#N/A</v>
      </c>
      <c r="Z868" s="77" t="e">
        <f>VLOOKUP(K868,'Component List'!S$2:T$30,2,FALSE)</f>
        <v>#N/A</v>
      </c>
      <c r="AA868" s="77" t="e">
        <f>VLOOKUP(L868,'Component List'!U$2:V$30,2,FALSE)</f>
        <v>#N/A</v>
      </c>
      <c r="AB868" s="77" t="e">
        <f>VLOOKUP(M868,'Component List'!AA$2:AB$30,2,FALSE)</f>
        <v>#N/A</v>
      </c>
      <c r="AC868" s="77" t="e">
        <f>VLOOKUP(N868,'Component List'!Y$2:Z$30,2,FALSE)</f>
        <v>#N/A</v>
      </c>
      <c r="AD868" s="77" t="e">
        <f>VLOOKUP(O868,'Component List'!W$3:X$30,2,FALSE)</f>
        <v>#N/A</v>
      </c>
    </row>
    <row r="869" spans="1:30" ht="30" customHeight="1" x14ac:dyDescent="0.3">
      <c r="A869" s="76"/>
      <c r="B869" s="78"/>
      <c r="C869" s="78"/>
      <c r="D869" s="78"/>
      <c r="E869" s="79"/>
      <c r="F869" s="78"/>
      <c r="G869" s="78"/>
      <c r="H869" s="78"/>
      <c r="I869" s="78"/>
      <c r="J869" s="78"/>
      <c r="K869" s="110"/>
      <c r="L869" s="110"/>
      <c r="M869" s="78"/>
      <c r="N869" s="78"/>
      <c r="O869" s="117"/>
      <c r="P869" s="114" t="e">
        <f t="shared" si="12"/>
        <v>#N/A</v>
      </c>
      <c r="Q869" s="77" t="e">
        <f>VLOOKUP($B869,'Component List'!$A$2:$B$30,2,FALSE)</f>
        <v>#N/A</v>
      </c>
      <c r="R869" s="77" t="e">
        <f>VLOOKUP($C869,'Component List'!C$2:D$28,2,FALSE)</f>
        <v>#N/A</v>
      </c>
      <c r="S869" s="77" t="e">
        <f>VLOOKUP($D869,'Component List'!E$2:F$30,2,FALSE)</f>
        <v>#N/A</v>
      </c>
      <c r="T869" s="77" t="e">
        <f>VLOOKUP($E869,'Component List'!G$2:H$30,2,FALSE)</f>
        <v>#N/A</v>
      </c>
      <c r="U869" s="77" t="e">
        <f>VLOOKUP($F869,'Component List'!I$2:J$30,2,FALSE)</f>
        <v>#N/A</v>
      </c>
      <c r="V869" s="77" t="e">
        <f>VLOOKUP(G869,'Component List'!K$2:L$30,2,FALSE)</f>
        <v>#N/A</v>
      </c>
      <c r="W869" s="77" t="e">
        <f>VLOOKUP(H869,'Component List'!M$2:N$31,2,FALSE)</f>
        <v>#N/A</v>
      </c>
      <c r="X869" s="77" t="e">
        <f>VLOOKUP(I869,'Component List'!O$2:P$30,2,FALSE)</f>
        <v>#N/A</v>
      </c>
      <c r="Y869" s="77" t="e">
        <f>VLOOKUP(J869,'Component List'!Q$2:R$30,2,FALSE)</f>
        <v>#N/A</v>
      </c>
      <c r="Z869" s="77" t="e">
        <f>VLOOKUP(K869,'Component List'!S$2:T$30,2,FALSE)</f>
        <v>#N/A</v>
      </c>
      <c r="AA869" s="77" t="e">
        <f>VLOOKUP(L869,'Component List'!U$2:V$30,2,FALSE)</f>
        <v>#N/A</v>
      </c>
      <c r="AB869" s="77" t="e">
        <f>VLOOKUP(M869,'Component List'!AA$2:AB$30,2,FALSE)</f>
        <v>#N/A</v>
      </c>
      <c r="AC869" s="77" t="e">
        <f>VLOOKUP(N869,'Component List'!Y$2:Z$30,2,FALSE)</f>
        <v>#N/A</v>
      </c>
      <c r="AD869" s="77" t="e">
        <f>VLOOKUP(O869,'Component List'!W$3:X$30,2,FALSE)</f>
        <v>#N/A</v>
      </c>
    </row>
    <row r="870" spans="1:30" ht="30" customHeight="1" x14ac:dyDescent="0.3">
      <c r="A870" s="76"/>
      <c r="B870" s="78"/>
      <c r="C870" s="78"/>
      <c r="D870" s="78"/>
      <c r="E870" s="79"/>
      <c r="F870" s="78"/>
      <c r="G870" s="78"/>
      <c r="H870" s="78"/>
      <c r="I870" s="78"/>
      <c r="J870" s="78"/>
      <c r="K870" s="110"/>
      <c r="L870" s="110"/>
      <c r="M870" s="78"/>
      <c r="N870" s="78"/>
      <c r="O870" s="117"/>
      <c r="P870" s="114" t="e">
        <f t="shared" si="12"/>
        <v>#N/A</v>
      </c>
      <c r="Q870" s="77" t="e">
        <f>VLOOKUP($B870,'Component List'!$A$2:$B$30,2,FALSE)</f>
        <v>#N/A</v>
      </c>
      <c r="R870" s="77" t="e">
        <f>VLOOKUP($C870,'Component List'!C$2:D$28,2,FALSE)</f>
        <v>#N/A</v>
      </c>
      <c r="S870" s="77" t="e">
        <f>VLOOKUP($D870,'Component List'!E$2:F$30,2,FALSE)</f>
        <v>#N/A</v>
      </c>
      <c r="T870" s="77" t="e">
        <f>VLOOKUP($E870,'Component List'!G$2:H$30,2,FALSE)</f>
        <v>#N/A</v>
      </c>
      <c r="U870" s="77" t="e">
        <f>VLOOKUP($F870,'Component List'!I$2:J$30,2,FALSE)</f>
        <v>#N/A</v>
      </c>
      <c r="V870" s="77" t="e">
        <f>VLOOKUP(G870,'Component List'!K$2:L$30,2,FALSE)</f>
        <v>#N/A</v>
      </c>
      <c r="W870" s="77" t="e">
        <f>VLOOKUP(H870,'Component List'!M$2:N$31,2,FALSE)</f>
        <v>#N/A</v>
      </c>
      <c r="X870" s="77" t="e">
        <f>VLOOKUP(I870,'Component List'!O$2:P$30,2,FALSE)</f>
        <v>#N/A</v>
      </c>
      <c r="Y870" s="77" t="e">
        <f>VLOOKUP(J870,'Component List'!Q$2:R$30,2,FALSE)</f>
        <v>#N/A</v>
      </c>
      <c r="Z870" s="77" t="e">
        <f>VLOOKUP(K870,'Component List'!S$2:T$30,2,FALSE)</f>
        <v>#N/A</v>
      </c>
      <c r="AA870" s="77" t="e">
        <f>VLOOKUP(L870,'Component List'!U$2:V$30,2,FALSE)</f>
        <v>#N/A</v>
      </c>
      <c r="AB870" s="77" t="e">
        <f>VLOOKUP(M870,'Component List'!AA$2:AB$30,2,FALSE)</f>
        <v>#N/A</v>
      </c>
      <c r="AC870" s="77" t="e">
        <f>VLOOKUP(N870,'Component List'!Y$2:Z$30,2,FALSE)</f>
        <v>#N/A</v>
      </c>
      <c r="AD870" s="77" t="e">
        <f>VLOOKUP(O870,'Component List'!W$3:X$30,2,FALSE)</f>
        <v>#N/A</v>
      </c>
    </row>
    <row r="871" spans="1:30" ht="30" customHeight="1" x14ac:dyDescent="0.3">
      <c r="A871" s="76"/>
      <c r="B871" s="78"/>
      <c r="C871" s="78"/>
      <c r="D871" s="78"/>
      <c r="E871" s="79"/>
      <c r="F871" s="78"/>
      <c r="G871" s="78"/>
      <c r="H871" s="78"/>
      <c r="I871" s="78"/>
      <c r="J871" s="78"/>
      <c r="K871" s="110"/>
      <c r="L871" s="110"/>
      <c r="M871" s="78"/>
      <c r="N871" s="78"/>
      <c r="O871" s="117"/>
      <c r="P871" s="114" t="e">
        <f t="shared" si="12"/>
        <v>#N/A</v>
      </c>
      <c r="Q871" s="77" t="e">
        <f>VLOOKUP($B871,'Component List'!$A$2:$B$30,2,FALSE)</f>
        <v>#N/A</v>
      </c>
      <c r="R871" s="77" t="e">
        <f>VLOOKUP($C871,'Component List'!C$2:D$28,2,FALSE)</f>
        <v>#N/A</v>
      </c>
      <c r="S871" s="77" t="e">
        <f>VLOOKUP($D871,'Component List'!E$2:F$30,2,FALSE)</f>
        <v>#N/A</v>
      </c>
      <c r="T871" s="77" t="e">
        <f>VLOOKUP($E871,'Component List'!G$2:H$30,2,FALSE)</f>
        <v>#N/A</v>
      </c>
      <c r="U871" s="77" t="e">
        <f>VLOOKUP($F871,'Component List'!I$2:J$30,2,FALSE)</f>
        <v>#N/A</v>
      </c>
      <c r="V871" s="77" t="e">
        <f>VLOOKUP(G871,'Component List'!K$2:L$30,2,FALSE)</f>
        <v>#N/A</v>
      </c>
      <c r="W871" s="77" t="e">
        <f>VLOOKUP(H871,'Component List'!M$2:N$31,2,FALSE)</f>
        <v>#N/A</v>
      </c>
      <c r="X871" s="77" t="e">
        <f>VLOOKUP(I871,'Component List'!O$2:P$30,2,FALSE)</f>
        <v>#N/A</v>
      </c>
      <c r="Y871" s="77" t="e">
        <f>VLOOKUP(J871,'Component List'!Q$2:R$30,2,FALSE)</f>
        <v>#N/A</v>
      </c>
      <c r="Z871" s="77" t="e">
        <f>VLOOKUP(K871,'Component List'!S$2:T$30,2,FALSE)</f>
        <v>#N/A</v>
      </c>
      <c r="AA871" s="77" t="e">
        <f>VLOOKUP(L871,'Component List'!U$2:V$30,2,FALSE)</f>
        <v>#N/A</v>
      </c>
      <c r="AB871" s="77" t="e">
        <f>VLOOKUP(M871,'Component List'!AA$2:AB$30,2,FALSE)</f>
        <v>#N/A</v>
      </c>
      <c r="AC871" s="77" t="e">
        <f>VLOOKUP(N871,'Component List'!Y$2:Z$30,2,FALSE)</f>
        <v>#N/A</v>
      </c>
      <c r="AD871" s="77" t="e">
        <f>VLOOKUP(O871,'Component List'!W$3:X$30,2,FALSE)</f>
        <v>#N/A</v>
      </c>
    </row>
    <row r="872" spans="1:30" ht="30" customHeight="1" x14ac:dyDescent="0.3">
      <c r="A872" s="76"/>
      <c r="B872" s="78"/>
      <c r="C872" s="78"/>
      <c r="D872" s="78"/>
      <c r="E872" s="79"/>
      <c r="F872" s="78"/>
      <c r="G872" s="78"/>
      <c r="H872" s="78"/>
      <c r="I872" s="78"/>
      <c r="J872" s="78"/>
      <c r="K872" s="110"/>
      <c r="L872" s="110"/>
      <c r="M872" s="78"/>
      <c r="N872" s="78"/>
      <c r="O872" s="117"/>
      <c r="P872" s="114" t="e">
        <f t="shared" si="12"/>
        <v>#N/A</v>
      </c>
      <c r="Q872" s="77" t="e">
        <f>VLOOKUP($B872,'Component List'!$A$2:$B$30,2,FALSE)</f>
        <v>#N/A</v>
      </c>
      <c r="R872" s="77" t="e">
        <f>VLOOKUP($C872,'Component List'!C$2:D$28,2,FALSE)</f>
        <v>#N/A</v>
      </c>
      <c r="S872" s="77" t="e">
        <f>VLOOKUP($D872,'Component List'!E$2:F$30,2,FALSE)</f>
        <v>#N/A</v>
      </c>
      <c r="T872" s="77" t="e">
        <f>VLOOKUP($E872,'Component List'!G$2:H$30,2,FALSE)</f>
        <v>#N/A</v>
      </c>
      <c r="U872" s="77" t="e">
        <f>VLOOKUP($F872,'Component List'!I$2:J$30,2,FALSE)</f>
        <v>#N/A</v>
      </c>
      <c r="V872" s="77" t="e">
        <f>VLOOKUP(G872,'Component List'!K$2:L$30,2,FALSE)</f>
        <v>#N/A</v>
      </c>
      <c r="W872" s="77" t="e">
        <f>VLOOKUP(H872,'Component List'!M$2:N$31,2,FALSE)</f>
        <v>#N/A</v>
      </c>
      <c r="X872" s="77" t="e">
        <f>VLOOKUP(I872,'Component List'!O$2:P$30,2,FALSE)</f>
        <v>#N/A</v>
      </c>
      <c r="Y872" s="77" t="e">
        <f>VLOOKUP(J872,'Component List'!Q$2:R$30,2,FALSE)</f>
        <v>#N/A</v>
      </c>
      <c r="Z872" s="77" t="e">
        <f>VLOOKUP(K872,'Component List'!S$2:T$30,2,FALSE)</f>
        <v>#N/A</v>
      </c>
      <c r="AA872" s="77" t="e">
        <f>VLOOKUP(L872,'Component List'!U$2:V$30,2,FALSE)</f>
        <v>#N/A</v>
      </c>
      <c r="AB872" s="77" t="e">
        <f>VLOOKUP(M872,'Component List'!AA$2:AB$30,2,FALSE)</f>
        <v>#N/A</v>
      </c>
      <c r="AC872" s="77" t="e">
        <f>VLOOKUP(N872,'Component List'!Y$2:Z$30,2,FALSE)</f>
        <v>#N/A</v>
      </c>
      <c r="AD872" s="77" t="e">
        <f>VLOOKUP(O872,'Component List'!W$3:X$30,2,FALSE)</f>
        <v>#N/A</v>
      </c>
    </row>
    <row r="873" spans="1:30" ht="30" customHeight="1" x14ac:dyDescent="0.3">
      <c r="A873" s="76"/>
      <c r="B873" s="78"/>
      <c r="C873" s="78"/>
      <c r="D873" s="78"/>
      <c r="E873" s="79"/>
      <c r="F873" s="78"/>
      <c r="G873" s="78"/>
      <c r="H873" s="78"/>
      <c r="I873" s="78"/>
      <c r="J873" s="78"/>
      <c r="K873" s="110"/>
      <c r="L873" s="110"/>
      <c r="M873" s="78"/>
      <c r="N873" s="78"/>
      <c r="O873" s="117"/>
      <c r="P873" s="114" t="e">
        <f t="shared" si="12"/>
        <v>#N/A</v>
      </c>
      <c r="Q873" s="77" t="e">
        <f>VLOOKUP($B873,'Component List'!$A$2:$B$30,2,FALSE)</f>
        <v>#N/A</v>
      </c>
      <c r="R873" s="77" t="e">
        <f>VLOOKUP($C873,'Component List'!C$2:D$28,2,FALSE)</f>
        <v>#N/A</v>
      </c>
      <c r="S873" s="77" t="e">
        <f>VLOOKUP($D873,'Component List'!E$2:F$30,2,FALSE)</f>
        <v>#N/A</v>
      </c>
      <c r="T873" s="77" t="e">
        <f>VLOOKUP($E873,'Component List'!G$2:H$30,2,FALSE)</f>
        <v>#N/A</v>
      </c>
      <c r="U873" s="77" t="e">
        <f>VLOOKUP($F873,'Component List'!I$2:J$30,2,FALSE)</f>
        <v>#N/A</v>
      </c>
      <c r="V873" s="77" t="e">
        <f>VLOOKUP(G873,'Component List'!K$2:L$30,2,FALSE)</f>
        <v>#N/A</v>
      </c>
      <c r="W873" s="77" t="e">
        <f>VLOOKUP(H873,'Component List'!M$2:N$31,2,FALSE)</f>
        <v>#N/A</v>
      </c>
      <c r="X873" s="77" t="e">
        <f>VLOOKUP(I873,'Component List'!O$2:P$30,2,FALSE)</f>
        <v>#N/A</v>
      </c>
      <c r="Y873" s="77" t="e">
        <f>VLOOKUP(J873,'Component List'!Q$2:R$30,2,FALSE)</f>
        <v>#N/A</v>
      </c>
      <c r="Z873" s="77" t="e">
        <f>VLOOKUP(K873,'Component List'!S$2:T$30,2,FALSE)</f>
        <v>#N/A</v>
      </c>
      <c r="AA873" s="77" t="e">
        <f>VLOOKUP(L873,'Component List'!U$2:V$30,2,FALSE)</f>
        <v>#N/A</v>
      </c>
      <c r="AB873" s="77" t="e">
        <f>VLOOKUP(M873,'Component List'!AA$2:AB$30,2,FALSE)</f>
        <v>#N/A</v>
      </c>
      <c r="AC873" s="77" t="e">
        <f>VLOOKUP(N873,'Component List'!Y$2:Z$30,2,FALSE)</f>
        <v>#N/A</v>
      </c>
      <c r="AD873" s="77" t="e">
        <f>VLOOKUP(O873,'Component List'!W$3:X$30,2,FALSE)</f>
        <v>#N/A</v>
      </c>
    </row>
    <row r="874" spans="1:30" ht="30" customHeight="1" x14ac:dyDescent="0.3">
      <c r="A874" s="76"/>
      <c r="B874" s="78"/>
      <c r="C874" s="78"/>
      <c r="D874" s="78"/>
      <c r="E874" s="79"/>
      <c r="F874" s="78"/>
      <c r="G874" s="78"/>
      <c r="H874" s="78"/>
      <c r="I874" s="78"/>
      <c r="J874" s="78"/>
      <c r="K874" s="110"/>
      <c r="L874" s="110"/>
      <c r="M874" s="78"/>
      <c r="N874" s="78"/>
      <c r="O874" s="117"/>
      <c r="P874" s="114" t="e">
        <f t="shared" si="12"/>
        <v>#N/A</v>
      </c>
      <c r="Q874" s="77" t="e">
        <f>VLOOKUP($B874,'Component List'!$A$2:$B$30,2,FALSE)</f>
        <v>#N/A</v>
      </c>
      <c r="R874" s="77" t="e">
        <f>VLOOKUP($C874,'Component List'!C$2:D$28,2,FALSE)</f>
        <v>#N/A</v>
      </c>
      <c r="S874" s="77" t="e">
        <f>VLOOKUP($D874,'Component List'!E$2:F$30,2,FALSE)</f>
        <v>#N/A</v>
      </c>
      <c r="T874" s="77" t="e">
        <f>VLOOKUP($E874,'Component List'!G$2:H$30,2,FALSE)</f>
        <v>#N/A</v>
      </c>
      <c r="U874" s="77" t="e">
        <f>VLOOKUP($F874,'Component List'!I$2:J$30,2,FALSE)</f>
        <v>#N/A</v>
      </c>
      <c r="V874" s="77" t="e">
        <f>VLOOKUP(G874,'Component List'!K$2:L$30,2,FALSE)</f>
        <v>#N/A</v>
      </c>
      <c r="W874" s="77" t="e">
        <f>VLOOKUP(H874,'Component List'!M$2:N$31,2,FALSE)</f>
        <v>#N/A</v>
      </c>
      <c r="X874" s="77" t="e">
        <f>VLOOKUP(I874,'Component List'!O$2:P$30,2,FALSE)</f>
        <v>#N/A</v>
      </c>
      <c r="Y874" s="77" t="e">
        <f>VLOOKUP(J874,'Component List'!Q$2:R$30,2,FALSE)</f>
        <v>#N/A</v>
      </c>
      <c r="Z874" s="77" t="e">
        <f>VLOOKUP(K874,'Component List'!S$2:T$30,2,FALSE)</f>
        <v>#N/A</v>
      </c>
      <c r="AA874" s="77" t="e">
        <f>VLOOKUP(L874,'Component List'!U$2:V$30,2,FALSE)</f>
        <v>#N/A</v>
      </c>
      <c r="AB874" s="77" t="e">
        <f>VLOOKUP(M874,'Component List'!AA$2:AB$30,2,FALSE)</f>
        <v>#N/A</v>
      </c>
      <c r="AC874" s="77" t="e">
        <f>VLOOKUP(N874,'Component List'!Y$2:Z$30,2,FALSE)</f>
        <v>#N/A</v>
      </c>
      <c r="AD874" s="77" t="e">
        <f>VLOOKUP(O874,'Component List'!W$3:X$30,2,FALSE)</f>
        <v>#N/A</v>
      </c>
    </row>
    <row r="875" spans="1:30" ht="30" customHeight="1" x14ac:dyDescent="0.3">
      <c r="A875" s="76"/>
      <c r="B875" s="78"/>
      <c r="C875" s="78"/>
      <c r="D875" s="78"/>
      <c r="E875" s="79"/>
      <c r="F875" s="78"/>
      <c r="G875" s="78"/>
      <c r="H875" s="78"/>
      <c r="I875" s="78"/>
      <c r="J875" s="78"/>
      <c r="K875" s="110"/>
      <c r="L875" s="110"/>
      <c r="M875" s="78"/>
      <c r="N875" s="78"/>
      <c r="O875" s="117"/>
      <c r="P875" s="114" t="e">
        <f t="shared" si="12"/>
        <v>#N/A</v>
      </c>
      <c r="Q875" s="77" t="e">
        <f>VLOOKUP($B875,'Component List'!$A$2:$B$30,2,FALSE)</f>
        <v>#N/A</v>
      </c>
      <c r="R875" s="77" t="e">
        <f>VLOOKUP($C875,'Component List'!C$2:D$28,2,FALSE)</f>
        <v>#N/A</v>
      </c>
      <c r="S875" s="77" t="e">
        <f>VLOOKUP($D875,'Component List'!E$2:F$30,2,FALSE)</f>
        <v>#N/A</v>
      </c>
      <c r="T875" s="77" t="e">
        <f>VLOOKUP($E875,'Component List'!G$2:H$30,2,FALSE)</f>
        <v>#N/A</v>
      </c>
      <c r="U875" s="77" t="e">
        <f>VLOOKUP($F875,'Component List'!I$2:J$30,2,FALSE)</f>
        <v>#N/A</v>
      </c>
      <c r="V875" s="77" t="e">
        <f>VLOOKUP(G875,'Component List'!K$2:L$30,2,FALSE)</f>
        <v>#N/A</v>
      </c>
      <c r="W875" s="77" t="e">
        <f>VLOOKUP(H875,'Component List'!M$2:N$31,2,FALSE)</f>
        <v>#N/A</v>
      </c>
      <c r="X875" s="77" t="e">
        <f>VLOOKUP(I875,'Component List'!O$2:P$30,2,FALSE)</f>
        <v>#N/A</v>
      </c>
      <c r="Y875" s="77" t="e">
        <f>VLOOKUP(J875,'Component List'!Q$2:R$30,2,FALSE)</f>
        <v>#N/A</v>
      </c>
      <c r="Z875" s="77" t="e">
        <f>VLOOKUP(K875,'Component List'!S$2:T$30,2,FALSE)</f>
        <v>#N/A</v>
      </c>
      <c r="AA875" s="77" t="e">
        <f>VLOOKUP(L875,'Component List'!U$2:V$30,2,FALSE)</f>
        <v>#N/A</v>
      </c>
      <c r="AB875" s="77" t="e">
        <f>VLOOKUP(M875,'Component List'!AA$2:AB$30,2,FALSE)</f>
        <v>#N/A</v>
      </c>
      <c r="AC875" s="77" t="e">
        <f>VLOOKUP(N875,'Component List'!Y$2:Z$30,2,FALSE)</f>
        <v>#N/A</v>
      </c>
      <c r="AD875" s="77" t="e">
        <f>VLOOKUP(O875,'Component List'!W$3:X$30,2,FALSE)</f>
        <v>#N/A</v>
      </c>
    </row>
    <row r="876" spans="1:30" ht="30" customHeight="1" x14ac:dyDescent="0.3">
      <c r="A876" s="76"/>
      <c r="B876" s="78"/>
      <c r="C876" s="78"/>
      <c r="D876" s="78"/>
      <c r="E876" s="79"/>
      <c r="F876" s="78"/>
      <c r="G876" s="78"/>
      <c r="H876" s="78"/>
      <c r="I876" s="78"/>
      <c r="J876" s="78"/>
      <c r="K876" s="110"/>
      <c r="L876" s="110"/>
      <c r="M876" s="78"/>
      <c r="N876" s="78"/>
      <c r="O876" s="117"/>
      <c r="P876" s="114" t="e">
        <f t="shared" si="12"/>
        <v>#N/A</v>
      </c>
      <c r="Q876" s="77" t="e">
        <f>VLOOKUP($B876,'Component List'!$A$2:$B$30,2,FALSE)</f>
        <v>#N/A</v>
      </c>
      <c r="R876" s="77" t="e">
        <f>VLOOKUP($C876,'Component List'!C$2:D$28,2,FALSE)</f>
        <v>#N/A</v>
      </c>
      <c r="S876" s="77" t="e">
        <f>VLOOKUP($D876,'Component List'!E$2:F$30,2,FALSE)</f>
        <v>#N/A</v>
      </c>
      <c r="T876" s="77" t="e">
        <f>VLOOKUP($E876,'Component List'!G$2:H$30,2,FALSE)</f>
        <v>#N/A</v>
      </c>
      <c r="U876" s="77" t="e">
        <f>VLOOKUP($F876,'Component List'!I$2:J$30,2,FALSE)</f>
        <v>#N/A</v>
      </c>
      <c r="V876" s="77" t="e">
        <f>VLOOKUP(G876,'Component List'!K$2:L$30,2,FALSE)</f>
        <v>#N/A</v>
      </c>
      <c r="W876" s="77" t="e">
        <f>VLOOKUP(H876,'Component List'!M$2:N$31,2,FALSE)</f>
        <v>#N/A</v>
      </c>
      <c r="X876" s="77" t="e">
        <f>VLOOKUP(I876,'Component List'!O$2:P$30,2,FALSE)</f>
        <v>#N/A</v>
      </c>
      <c r="Y876" s="77" t="e">
        <f>VLOOKUP(J876,'Component List'!Q$2:R$30,2,FALSE)</f>
        <v>#N/A</v>
      </c>
      <c r="Z876" s="77" t="e">
        <f>VLOOKUP(K876,'Component List'!S$2:T$30,2,FALSE)</f>
        <v>#N/A</v>
      </c>
      <c r="AA876" s="77" t="e">
        <f>VLOOKUP(L876,'Component List'!U$2:V$30,2,FALSE)</f>
        <v>#N/A</v>
      </c>
      <c r="AB876" s="77" t="e">
        <f>VLOOKUP(M876,'Component List'!AA$2:AB$30,2,FALSE)</f>
        <v>#N/A</v>
      </c>
      <c r="AC876" s="77" t="e">
        <f>VLOOKUP(N876,'Component List'!Y$2:Z$30,2,FALSE)</f>
        <v>#N/A</v>
      </c>
      <c r="AD876" s="77" t="e">
        <f>VLOOKUP(O876,'Component List'!W$3:X$30,2,FALSE)</f>
        <v>#N/A</v>
      </c>
    </row>
    <row r="877" spans="1:30" ht="30" customHeight="1" x14ac:dyDescent="0.3">
      <c r="A877" s="76"/>
      <c r="B877" s="78"/>
      <c r="C877" s="78"/>
      <c r="D877" s="78"/>
      <c r="E877" s="79"/>
      <c r="F877" s="78"/>
      <c r="G877" s="78"/>
      <c r="H877" s="78"/>
      <c r="I877" s="78"/>
      <c r="J877" s="78"/>
      <c r="K877" s="110"/>
      <c r="L877" s="110"/>
      <c r="M877" s="78"/>
      <c r="N877" s="78"/>
      <c r="O877" s="117"/>
      <c r="P877" s="114" t="e">
        <f t="shared" si="12"/>
        <v>#N/A</v>
      </c>
      <c r="Q877" s="77" t="e">
        <f>VLOOKUP($B877,'Component List'!$A$2:$B$30,2,FALSE)</f>
        <v>#N/A</v>
      </c>
      <c r="R877" s="77" t="e">
        <f>VLOOKUP($C877,'Component List'!C$2:D$28,2,FALSE)</f>
        <v>#N/A</v>
      </c>
      <c r="S877" s="77" t="e">
        <f>VLOOKUP($D877,'Component List'!E$2:F$30,2,FALSE)</f>
        <v>#N/A</v>
      </c>
      <c r="T877" s="77" t="e">
        <f>VLOOKUP($E877,'Component List'!G$2:H$30,2,FALSE)</f>
        <v>#N/A</v>
      </c>
      <c r="U877" s="77" t="e">
        <f>VLOOKUP($F877,'Component List'!I$2:J$30,2,FALSE)</f>
        <v>#N/A</v>
      </c>
      <c r="V877" s="77" t="e">
        <f>VLOOKUP(G877,'Component List'!K$2:L$30,2,FALSE)</f>
        <v>#N/A</v>
      </c>
      <c r="W877" s="77" t="e">
        <f>VLOOKUP(H877,'Component List'!M$2:N$31,2,FALSE)</f>
        <v>#N/A</v>
      </c>
      <c r="X877" s="77" t="e">
        <f>VLOOKUP(I877,'Component List'!O$2:P$30,2,FALSE)</f>
        <v>#N/A</v>
      </c>
      <c r="Y877" s="77" t="e">
        <f>VLOOKUP(J877,'Component List'!Q$2:R$30,2,FALSE)</f>
        <v>#N/A</v>
      </c>
      <c r="Z877" s="77" t="e">
        <f>VLOOKUP(K877,'Component List'!S$2:T$30,2,FALSE)</f>
        <v>#N/A</v>
      </c>
      <c r="AA877" s="77" t="e">
        <f>VLOOKUP(L877,'Component List'!U$2:V$30,2,FALSE)</f>
        <v>#N/A</v>
      </c>
      <c r="AB877" s="77" t="e">
        <f>VLOOKUP(M877,'Component List'!AA$2:AB$30,2,FALSE)</f>
        <v>#N/A</v>
      </c>
      <c r="AC877" s="77" t="e">
        <f>VLOOKUP(N877,'Component List'!Y$2:Z$30,2,FALSE)</f>
        <v>#N/A</v>
      </c>
      <c r="AD877" s="77" t="e">
        <f>VLOOKUP(O877,'Component List'!W$3:X$30,2,FALSE)</f>
        <v>#N/A</v>
      </c>
    </row>
    <row r="878" spans="1:30" ht="30" customHeight="1" x14ac:dyDescent="0.3">
      <c r="A878" s="76"/>
      <c r="B878" s="78"/>
      <c r="C878" s="78"/>
      <c r="D878" s="78"/>
      <c r="E878" s="79"/>
      <c r="F878" s="78"/>
      <c r="G878" s="78"/>
      <c r="H878" s="78"/>
      <c r="I878" s="78"/>
      <c r="J878" s="78"/>
      <c r="K878" s="110"/>
      <c r="L878" s="110"/>
      <c r="M878" s="78"/>
      <c r="N878" s="78"/>
      <c r="O878" s="117"/>
      <c r="P878" s="114" t="e">
        <f t="shared" si="12"/>
        <v>#N/A</v>
      </c>
      <c r="Q878" s="77" t="e">
        <f>VLOOKUP($B878,'Component List'!$A$2:$B$30,2,FALSE)</f>
        <v>#N/A</v>
      </c>
      <c r="R878" s="77" t="e">
        <f>VLOOKUP($C878,'Component List'!C$2:D$28,2,FALSE)</f>
        <v>#N/A</v>
      </c>
      <c r="S878" s="77" t="e">
        <f>VLOOKUP($D878,'Component List'!E$2:F$30,2,FALSE)</f>
        <v>#N/A</v>
      </c>
      <c r="T878" s="77" t="e">
        <f>VLOOKUP($E878,'Component List'!G$2:H$30,2,FALSE)</f>
        <v>#N/A</v>
      </c>
      <c r="U878" s="77" t="e">
        <f>VLOOKUP($F878,'Component List'!I$2:J$30,2,FALSE)</f>
        <v>#N/A</v>
      </c>
      <c r="V878" s="77" t="e">
        <f>VLOOKUP(G878,'Component List'!K$2:L$30,2,FALSE)</f>
        <v>#N/A</v>
      </c>
      <c r="W878" s="77" t="e">
        <f>VLOOKUP(H878,'Component List'!M$2:N$31,2,FALSE)</f>
        <v>#N/A</v>
      </c>
      <c r="X878" s="77" t="e">
        <f>VLOOKUP(I878,'Component List'!O$2:P$30,2,FALSE)</f>
        <v>#N/A</v>
      </c>
      <c r="Y878" s="77" t="e">
        <f>VLOOKUP(J878,'Component List'!Q$2:R$30,2,FALSE)</f>
        <v>#N/A</v>
      </c>
      <c r="Z878" s="77" t="e">
        <f>VLOOKUP(K878,'Component List'!S$2:T$30,2,FALSE)</f>
        <v>#N/A</v>
      </c>
      <c r="AA878" s="77" t="e">
        <f>VLOOKUP(L878,'Component List'!U$2:V$30,2,FALSE)</f>
        <v>#N/A</v>
      </c>
      <c r="AB878" s="77" t="e">
        <f>VLOOKUP(M878,'Component List'!AA$2:AB$30,2,FALSE)</f>
        <v>#N/A</v>
      </c>
      <c r="AC878" s="77" t="e">
        <f>VLOOKUP(N878,'Component List'!Y$2:Z$30,2,FALSE)</f>
        <v>#N/A</v>
      </c>
      <c r="AD878" s="77" t="e">
        <f>VLOOKUP(O878,'Component List'!W$3:X$30,2,FALSE)</f>
        <v>#N/A</v>
      </c>
    </row>
    <row r="879" spans="1:30" ht="30" customHeight="1" x14ac:dyDescent="0.3">
      <c r="A879" s="76"/>
      <c r="B879" s="78"/>
      <c r="C879" s="78"/>
      <c r="D879" s="78"/>
      <c r="E879" s="79"/>
      <c r="F879" s="78"/>
      <c r="G879" s="78"/>
      <c r="H879" s="78"/>
      <c r="I879" s="78"/>
      <c r="J879" s="78"/>
      <c r="K879" s="110"/>
      <c r="L879" s="110"/>
      <c r="M879" s="78"/>
      <c r="N879" s="78"/>
      <c r="O879" s="117"/>
      <c r="P879" s="114" t="e">
        <f t="shared" si="12"/>
        <v>#N/A</v>
      </c>
      <c r="Q879" s="77" t="e">
        <f>VLOOKUP($B879,'Component List'!$A$2:$B$30,2,FALSE)</f>
        <v>#N/A</v>
      </c>
      <c r="R879" s="77" t="e">
        <f>VLOOKUP($C879,'Component List'!C$2:D$28,2,FALSE)</f>
        <v>#N/A</v>
      </c>
      <c r="S879" s="77" t="e">
        <f>VLOOKUP($D879,'Component List'!E$2:F$30,2,FALSE)</f>
        <v>#N/A</v>
      </c>
      <c r="T879" s="77" t="e">
        <f>VLOOKUP($E879,'Component List'!G$2:H$30,2,FALSE)</f>
        <v>#N/A</v>
      </c>
      <c r="U879" s="77" t="e">
        <f>VLOOKUP($F879,'Component List'!I$2:J$30,2,FALSE)</f>
        <v>#N/A</v>
      </c>
      <c r="V879" s="77" t="e">
        <f>VLOOKUP(G879,'Component List'!K$2:L$30,2,FALSE)</f>
        <v>#N/A</v>
      </c>
      <c r="W879" s="77" t="e">
        <f>VLOOKUP(H879,'Component List'!M$2:N$31,2,FALSE)</f>
        <v>#N/A</v>
      </c>
      <c r="X879" s="77" t="e">
        <f>VLOOKUP(I879,'Component List'!O$2:P$30,2,FALSE)</f>
        <v>#N/A</v>
      </c>
      <c r="Y879" s="77" t="e">
        <f>VLOOKUP(J879,'Component List'!Q$2:R$30,2,FALSE)</f>
        <v>#N/A</v>
      </c>
      <c r="Z879" s="77" t="e">
        <f>VLOOKUP(K879,'Component List'!S$2:T$30,2,FALSE)</f>
        <v>#N/A</v>
      </c>
      <c r="AA879" s="77" t="e">
        <f>VLOOKUP(L879,'Component List'!U$2:V$30,2,FALSE)</f>
        <v>#N/A</v>
      </c>
      <c r="AB879" s="77" t="e">
        <f>VLOOKUP(M879,'Component List'!AA$2:AB$30,2,FALSE)</f>
        <v>#N/A</v>
      </c>
      <c r="AC879" s="77" t="e">
        <f>VLOOKUP(N879,'Component List'!Y$2:Z$30,2,FALSE)</f>
        <v>#N/A</v>
      </c>
      <c r="AD879" s="77" t="e">
        <f>VLOOKUP(O879,'Component List'!W$3:X$30,2,FALSE)</f>
        <v>#N/A</v>
      </c>
    </row>
    <row r="880" spans="1:30" ht="30" customHeight="1" x14ac:dyDescent="0.3">
      <c r="A880" s="76"/>
      <c r="B880" s="78"/>
      <c r="C880" s="78"/>
      <c r="D880" s="78"/>
      <c r="E880" s="79"/>
      <c r="F880" s="78"/>
      <c r="G880" s="78"/>
      <c r="H880" s="78"/>
      <c r="I880" s="78"/>
      <c r="J880" s="78"/>
      <c r="K880" s="110"/>
      <c r="L880" s="110"/>
      <c r="M880" s="78"/>
      <c r="N880" s="78"/>
      <c r="O880" s="117"/>
      <c r="P880" s="114" t="e">
        <f t="shared" si="12"/>
        <v>#N/A</v>
      </c>
      <c r="Q880" s="77" t="e">
        <f>VLOOKUP($B880,'Component List'!$A$2:$B$30,2,FALSE)</f>
        <v>#N/A</v>
      </c>
      <c r="R880" s="77" t="e">
        <f>VLOOKUP($C880,'Component List'!C$2:D$28,2,FALSE)</f>
        <v>#N/A</v>
      </c>
      <c r="S880" s="77" t="e">
        <f>VLOOKUP($D880,'Component List'!E$2:F$30,2,FALSE)</f>
        <v>#N/A</v>
      </c>
      <c r="T880" s="77" t="e">
        <f>VLOOKUP($E880,'Component List'!G$2:H$30,2,FALSE)</f>
        <v>#N/A</v>
      </c>
      <c r="U880" s="77" t="e">
        <f>VLOOKUP($F880,'Component List'!I$2:J$30,2,FALSE)</f>
        <v>#N/A</v>
      </c>
      <c r="V880" s="77" t="e">
        <f>VLOOKUP(G880,'Component List'!K$2:L$30,2,FALSE)</f>
        <v>#N/A</v>
      </c>
      <c r="W880" s="77" t="e">
        <f>VLOOKUP(H880,'Component List'!M$2:N$31,2,FALSE)</f>
        <v>#N/A</v>
      </c>
      <c r="X880" s="77" t="e">
        <f>VLOOKUP(I880,'Component List'!O$2:P$30,2,FALSE)</f>
        <v>#N/A</v>
      </c>
      <c r="Y880" s="77" t="e">
        <f>VLOOKUP(J880,'Component List'!Q$2:R$30,2,FALSE)</f>
        <v>#N/A</v>
      </c>
      <c r="Z880" s="77" t="e">
        <f>VLOOKUP(K880,'Component List'!S$2:T$30,2,FALSE)</f>
        <v>#N/A</v>
      </c>
      <c r="AA880" s="77" t="e">
        <f>VLOOKUP(L880,'Component List'!U$2:V$30,2,FALSE)</f>
        <v>#N/A</v>
      </c>
      <c r="AB880" s="77" t="e">
        <f>VLOOKUP(M880,'Component List'!AA$2:AB$30,2,FALSE)</f>
        <v>#N/A</v>
      </c>
      <c r="AC880" s="77" t="e">
        <f>VLOOKUP(N880,'Component List'!Y$2:Z$30,2,FALSE)</f>
        <v>#N/A</v>
      </c>
      <c r="AD880" s="77" t="e">
        <f>VLOOKUP(O880,'Component List'!W$3:X$30,2,FALSE)</f>
        <v>#N/A</v>
      </c>
    </row>
    <row r="881" spans="1:30" ht="30" customHeight="1" x14ac:dyDescent="0.3">
      <c r="A881" s="76"/>
      <c r="B881" s="78"/>
      <c r="C881" s="78"/>
      <c r="D881" s="78"/>
      <c r="E881" s="79"/>
      <c r="F881" s="78"/>
      <c r="G881" s="78"/>
      <c r="H881" s="78"/>
      <c r="I881" s="78"/>
      <c r="J881" s="78"/>
      <c r="K881" s="110"/>
      <c r="L881" s="110"/>
      <c r="M881" s="78"/>
      <c r="N881" s="78"/>
      <c r="O881" s="117"/>
      <c r="P881" s="114" t="e">
        <f t="shared" si="12"/>
        <v>#N/A</v>
      </c>
      <c r="Q881" s="77" t="e">
        <f>VLOOKUP($B881,'Component List'!$A$2:$B$30,2,FALSE)</f>
        <v>#N/A</v>
      </c>
      <c r="R881" s="77" t="e">
        <f>VLOOKUP($C881,'Component List'!C$2:D$28,2,FALSE)</f>
        <v>#N/A</v>
      </c>
      <c r="S881" s="77" t="e">
        <f>VLOOKUP($D881,'Component List'!E$2:F$30,2,FALSE)</f>
        <v>#N/A</v>
      </c>
      <c r="T881" s="77" t="e">
        <f>VLOOKUP($E881,'Component List'!G$2:H$30,2,FALSE)</f>
        <v>#N/A</v>
      </c>
      <c r="U881" s="77" t="e">
        <f>VLOOKUP($F881,'Component List'!I$2:J$30,2,FALSE)</f>
        <v>#N/A</v>
      </c>
      <c r="V881" s="77" t="e">
        <f>VLOOKUP(G881,'Component List'!K$2:L$30,2,FALSE)</f>
        <v>#N/A</v>
      </c>
      <c r="W881" s="77" t="e">
        <f>VLOOKUP(H881,'Component List'!M$2:N$31,2,FALSE)</f>
        <v>#N/A</v>
      </c>
      <c r="X881" s="77" t="e">
        <f>VLOOKUP(I881,'Component List'!O$2:P$30,2,FALSE)</f>
        <v>#N/A</v>
      </c>
      <c r="Y881" s="77" t="e">
        <f>VLOOKUP(J881,'Component List'!Q$2:R$30,2,FALSE)</f>
        <v>#N/A</v>
      </c>
      <c r="Z881" s="77" t="e">
        <f>VLOOKUP(K881,'Component List'!S$2:T$30,2,FALSE)</f>
        <v>#N/A</v>
      </c>
      <c r="AA881" s="77" t="e">
        <f>VLOOKUP(L881,'Component List'!U$2:V$30,2,FALSE)</f>
        <v>#N/A</v>
      </c>
      <c r="AB881" s="77" t="e">
        <f>VLOOKUP(M881,'Component List'!AA$2:AB$30,2,FALSE)</f>
        <v>#N/A</v>
      </c>
      <c r="AC881" s="77" t="e">
        <f>VLOOKUP(N881,'Component List'!Y$2:Z$30,2,FALSE)</f>
        <v>#N/A</v>
      </c>
      <c r="AD881" s="77" t="e">
        <f>VLOOKUP(O881,'Component List'!W$3:X$30,2,FALSE)</f>
        <v>#N/A</v>
      </c>
    </row>
    <row r="882" spans="1:30" ht="30" customHeight="1" x14ac:dyDescent="0.3">
      <c r="A882" s="76"/>
      <c r="B882" s="78"/>
      <c r="C882" s="78"/>
      <c r="D882" s="78"/>
      <c r="E882" s="79"/>
      <c r="F882" s="78"/>
      <c r="G882" s="78"/>
      <c r="H882" s="78"/>
      <c r="I882" s="78"/>
      <c r="J882" s="78"/>
      <c r="K882" s="110"/>
      <c r="L882" s="110"/>
      <c r="M882" s="78"/>
      <c r="N882" s="78"/>
      <c r="O882" s="117"/>
      <c r="P882" s="114" t="e">
        <f t="shared" si="12"/>
        <v>#N/A</v>
      </c>
      <c r="Q882" s="77" t="e">
        <f>VLOOKUP($B882,'Component List'!$A$2:$B$30,2,FALSE)</f>
        <v>#N/A</v>
      </c>
      <c r="R882" s="77" t="e">
        <f>VLOOKUP($C882,'Component List'!C$2:D$28,2,FALSE)</f>
        <v>#N/A</v>
      </c>
      <c r="S882" s="77" t="e">
        <f>VLOOKUP($D882,'Component List'!E$2:F$30,2,FALSE)</f>
        <v>#N/A</v>
      </c>
      <c r="T882" s="77" t="e">
        <f>VLOOKUP($E882,'Component List'!G$2:H$30,2,FALSE)</f>
        <v>#N/A</v>
      </c>
      <c r="U882" s="77" t="e">
        <f>VLOOKUP($F882,'Component List'!I$2:J$30,2,FALSE)</f>
        <v>#N/A</v>
      </c>
      <c r="V882" s="77" t="e">
        <f>VLOOKUP(G882,'Component List'!K$2:L$30,2,FALSE)</f>
        <v>#N/A</v>
      </c>
      <c r="W882" s="77" t="e">
        <f>VLOOKUP(H882,'Component List'!M$2:N$31,2,FALSE)</f>
        <v>#N/A</v>
      </c>
      <c r="X882" s="77" t="e">
        <f>VLOOKUP(I882,'Component List'!O$2:P$30,2,FALSE)</f>
        <v>#N/A</v>
      </c>
      <c r="Y882" s="77" t="e">
        <f>VLOOKUP(J882,'Component List'!Q$2:R$30,2,FALSE)</f>
        <v>#N/A</v>
      </c>
      <c r="Z882" s="77" t="e">
        <f>VLOOKUP(K882,'Component List'!S$2:T$30,2,FALSE)</f>
        <v>#N/A</v>
      </c>
      <c r="AA882" s="77" t="e">
        <f>VLOOKUP(L882,'Component List'!U$2:V$30,2,FALSE)</f>
        <v>#N/A</v>
      </c>
      <c r="AB882" s="77" t="e">
        <f>VLOOKUP(M882,'Component List'!AA$2:AB$30,2,FALSE)</f>
        <v>#N/A</v>
      </c>
      <c r="AC882" s="77" t="e">
        <f>VLOOKUP(N882,'Component List'!Y$2:Z$30,2,FALSE)</f>
        <v>#N/A</v>
      </c>
      <c r="AD882" s="77" t="e">
        <f>VLOOKUP(O882,'Component List'!W$3:X$30,2,FALSE)</f>
        <v>#N/A</v>
      </c>
    </row>
    <row r="883" spans="1:30" ht="30" customHeight="1" x14ac:dyDescent="0.3">
      <c r="A883" s="76"/>
      <c r="B883" s="78"/>
      <c r="C883" s="78"/>
      <c r="D883" s="78"/>
      <c r="E883" s="79"/>
      <c r="F883" s="78"/>
      <c r="G883" s="78"/>
      <c r="H883" s="78"/>
      <c r="I883" s="78"/>
      <c r="J883" s="78"/>
      <c r="K883" s="110"/>
      <c r="L883" s="110"/>
      <c r="M883" s="78"/>
      <c r="N883" s="78"/>
      <c r="O883" s="117"/>
      <c r="P883" s="114" t="e">
        <f t="shared" si="12"/>
        <v>#N/A</v>
      </c>
      <c r="Q883" s="77" t="e">
        <f>VLOOKUP($B883,'Component List'!$A$2:$B$30,2,FALSE)</f>
        <v>#N/A</v>
      </c>
      <c r="R883" s="77" t="e">
        <f>VLOOKUP($C883,'Component List'!C$2:D$28,2,FALSE)</f>
        <v>#N/A</v>
      </c>
      <c r="S883" s="77" t="e">
        <f>VLOOKUP($D883,'Component List'!E$2:F$30,2,FALSE)</f>
        <v>#N/A</v>
      </c>
      <c r="T883" s="77" t="e">
        <f>VLOOKUP($E883,'Component List'!G$2:H$30,2,FALSE)</f>
        <v>#N/A</v>
      </c>
      <c r="U883" s="77" t="e">
        <f>VLOOKUP($F883,'Component List'!I$2:J$30,2,FALSE)</f>
        <v>#N/A</v>
      </c>
      <c r="V883" s="77" t="e">
        <f>VLOOKUP(G883,'Component List'!K$2:L$30,2,FALSE)</f>
        <v>#N/A</v>
      </c>
      <c r="W883" s="77" t="e">
        <f>VLOOKUP(H883,'Component List'!M$2:N$31,2,FALSE)</f>
        <v>#N/A</v>
      </c>
      <c r="X883" s="77" t="e">
        <f>VLOOKUP(I883,'Component List'!O$2:P$30,2,FALSE)</f>
        <v>#N/A</v>
      </c>
      <c r="Y883" s="77" t="e">
        <f>VLOOKUP(J883,'Component List'!Q$2:R$30,2,FALSE)</f>
        <v>#N/A</v>
      </c>
      <c r="Z883" s="77" t="e">
        <f>VLOOKUP(K883,'Component List'!S$2:T$30,2,FALSE)</f>
        <v>#N/A</v>
      </c>
      <c r="AA883" s="77" t="e">
        <f>VLOOKUP(L883,'Component List'!U$2:V$30,2,FALSE)</f>
        <v>#N/A</v>
      </c>
      <c r="AB883" s="77" t="e">
        <f>VLOOKUP(M883,'Component List'!AA$2:AB$30,2,FALSE)</f>
        <v>#N/A</v>
      </c>
      <c r="AC883" s="77" t="e">
        <f>VLOOKUP(N883,'Component List'!Y$2:Z$30,2,FALSE)</f>
        <v>#N/A</v>
      </c>
      <c r="AD883" s="77" t="e">
        <f>VLOOKUP(O883,'Component List'!W$3:X$30,2,FALSE)</f>
        <v>#N/A</v>
      </c>
    </row>
    <row r="884" spans="1:30" ht="30" customHeight="1" x14ac:dyDescent="0.3">
      <c r="A884" s="76"/>
      <c r="B884" s="78"/>
      <c r="C884" s="78"/>
      <c r="D884" s="78"/>
      <c r="E884" s="79"/>
      <c r="F884" s="78"/>
      <c r="G884" s="78"/>
      <c r="H884" s="78"/>
      <c r="I884" s="78"/>
      <c r="J884" s="78"/>
      <c r="K884" s="110"/>
      <c r="L884" s="110"/>
      <c r="M884" s="78"/>
      <c r="N884" s="78"/>
      <c r="O884" s="117"/>
      <c r="P884" s="114" t="e">
        <f t="shared" si="12"/>
        <v>#N/A</v>
      </c>
      <c r="Q884" s="77" t="e">
        <f>VLOOKUP($B884,'Component List'!$A$2:$B$30,2,FALSE)</f>
        <v>#N/A</v>
      </c>
      <c r="R884" s="77" t="e">
        <f>VLOOKUP($C884,'Component List'!C$2:D$28,2,FALSE)</f>
        <v>#N/A</v>
      </c>
      <c r="S884" s="77" t="e">
        <f>VLOOKUP($D884,'Component List'!E$2:F$30,2,FALSE)</f>
        <v>#N/A</v>
      </c>
      <c r="T884" s="77" t="e">
        <f>VLOOKUP($E884,'Component List'!G$2:H$30,2,FALSE)</f>
        <v>#N/A</v>
      </c>
      <c r="U884" s="77" t="e">
        <f>VLOOKUP($F884,'Component List'!I$2:J$30,2,FALSE)</f>
        <v>#N/A</v>
      </c>
      <c r="V884" s="77" t="e">
        <f>VLOOKUP(G884,'Component List'!K$2:L$30,2,FALSE)</f>
        <v>#N/A</v>
      </c>
      <c r="W884" s="77" t="e">
        <f>VLOOKUP(H884,'Component List'!M$2:N$31,2,FALSE)</f>
        <v>#N/A</v>
      </c>
      <c r="X884" s="77" t="e">
        <f>VLOOKUP(I884,'Component List'!O$2:P$30,2,FALSE)</f>
        <v>#N/A</v>
      </c>
      <c r="Y884" s="77" t="e">
        <f>VLOOKUP(J884,'Component List'!Q$2:R$30,2,FALSE)</f>
        <v>#N/A</v>
      </c>
      <c r="Z884" s="77" t="e">
        <f>VLOOKUP(K884,'Component List'!S$2:T$30,2,FALSE)</f>
        <v>#N/A</v>
      </c>
      <c r="AA884" s="77" t="e">
        <f>VLOOKUP(L884,'Component List'!U$2:V$30,2,FALSE)</f>
        <v>#N/A</v>
      </c>
      <c r="AB884" s="77" t="e">
        <f>VLOOKUP(M884,'Component List'!AA$2:AB$30,2,FALSE)</f>
        <v>#N/A</v>
      </c>
      <c r="AC884" s="77" t="e">
        <f>VLOOKUP(N884,'Component List'!Y$2:Z$30,2,FALSE)</f>
        <v>#N/A</v>
      </c>
      <c r="AD884" s="77" t="e">
        <f>VLOOKUP(O884,'Component List'!W$3:X$30,2,FALSE)</f>
        <v>#N/A</v>
      </c>
    </row>
    <row r="885" spans="1:30" ht="30" customHeight="1" x14ac:dyDescent="0.3">
      <c r="A885" s="76"/>
      <c r="B885" s="78"/>
      <c r="C885" s="78"/>
      <c r="D885" s="78"/>
      <c r="E885" s="79"/>
      <c r="F885" s="78"/>
      <c r="G885" s="78"/>
      <c r="H885" s="78"/>
      <c r="I885" s="78"/>
      <c r="J885" s="78"/>
      <c r="K885" s="110"/>
      <c r="L885" s="110"/>
      <c r="M885" s="78"/>
      <c r="N885" s="78"/>
      <c r="O885" s="117"/>
      <c r="P885" s="114" t="e">
        <f t="shared" si="12"/>
        <v>#N/A</v>
      </c>
      <c r="Q885" s="77" t="e">
        <f>VLOOKUP($B885,'Component List'!$A$2:$B$30,2,FALSE)</f>
        <v>#N/A</v>
      </c>
      <c r="R885" s="77" t="e">
        <f>VLOOKUP($C885,'Component List'!C$2:D$28,2,FALSE)</f>
        <v>#N/A</v>
      </c>
      <c r="S885" s="77" t="e">
        <f>VLOOKUP($D885,'Component List'!E$2:F$30,2,FALSE)</f>
        <v>#N/A</v>
      </c>
      <c r="T885" s="77" t="e">
        <f>VLOOKUP($E885,'Component List'!G$2:H$30,2,FALSE)</f>
        <v>#N/A</v>
      </c>
      <c r="U885" s="77" t="e">
        <f>VLOOKUP($F885,'Component List'!I$2:J$30,2,FALSE)</f>
        <v>#N/A</v>
      </c>
      <c r="V885" s="77" t="e">
        <f>VLOOKUP(G885,'Component List'!K$2:L$30,2,FALSE)</f>
        <v>#N/A</v>
      </c>
      <c r="W885" s="77" t="e">
        <f>VLOOKUP(H885,'Component List'!M$2:N$31,2,FALSE)</f>
        <v>#N/A</v>
      </c>
      <c r="X885" s="77" t="e">
        <f>VLOOKUP(I885,'Component List'!O$2:P$30,2,FALSE)</f>
        <v>#N/A</v>
      </c>
      <c r="Y885" s="77" t="e">
        <f>VLOOKUP(J885,'Component List'!Q$2:R$30,2,FALSE)</f>
        <v>#N/A</v>
      </c>
      <c r="Z885" s="77" t="e">
        <f>VLOOKUP(K885,'Component List'!S$2:T$30,2,FALSE)</f>
        <v>#N/A</v>
      </c>
      <c r="AA885" s="77" t="e">
        <f>VLOOKUP(L885,'Component List'!U$2:V$30,2,FALSE)</f>
        <v>#N/A</v>
      </c>
      <c r="AB885" s="77" t="e">
        <f>VLOOKUP(M885,'Component List'!AA$2:AB$30,2,FALSE)</f>
        <v>#N/A</v>
      </c>
      <c r="AC885" s="77" t="e">
        <f>VLOOKUP(N885,'Component List'!Y$2:Z$30,2,FALSE)</f>
        <v>#N/A</v>
      </c>
      <c r="AD885" s="77" t="e">
        <f>VLOOKUP(O885,'Component List'!W$3:X$30,2,FALSE)</f>
        <v>#N/A</v>
      </c>
    </row>
    <row r="886" spans="1:30" ht="30" customHeight="1" x14ac:dyDescent="0.3">
      <c r="A886" s="76"/>
      <c r="B886" s="78"/>
      <c r="C886" s="78"/>
      <c r="D886" s="78"/>
      <c r="E886" s="79"/>
      <c r="F886" s="78"/>
      <c r="G886" s="78"/>
      <c r="H886" s="78"/>
      <c r="I886" s="78"/>
      <c r="J886" s="78"/>
      <c r="K886" s="110"/>
      <c r="L886" s="110"/>
      <c r="M886" s="78"/>
      <c r="N886" s="78"/>
      <c r="O886" s="117"/>
      <c r="P886" s="114" t="e">
        <f t="shared" si="12"/>
        <v>#N/A</v>
      </c>
      <c r="Q886" s="77" t="e">
        <f>VLOOKUP($B886,'Component List'!$A$2:$B$30,2,FALSE)</f>
        <v>#N/A</v>
      </c>
      <c r="R886" s="77" t="e">
        <f>VLOOKUP($C886,'Component List'!C$2:D$28,2,FALSE)</f>
        <v>#N/A</v>
      </c>
      <c r="S886" s="77" t="e">
        <f>VLOOKUP($D886,'Component List'!E$2:F$30,2,FALSE)</f>
        <v>#N/A</v>
      </c>
      <c r="T886" s="77" t="e">
        <f>VLOOKUP($E886,'Component List'!G$2:H$30,2,FALSE)</f>
        <v>#N/A</v>
      </c>
      <c r="U886" s="77" t="e">
        <f>VLOOKUP($F886,'Component List'!I$2:J$30,2,FALSE)</f>
        <v>#N/A</v>
      </c>
      <c r="V886" s="77" t="e">
        <f>VLOOKUP(G886,'Component List'!K$2:L$30,2,FALSE)</f>
        <v>#N/A</v>
      </c>
      <c r="W886" s="77" t="e">
        <f>VLOOKUP(H886,'Component List'!M$2:N$31,2,FALSE)</f>
        <v>#N/A</v>
      </c>
      <c r="X886" s="77" t="e">
        <f>VLOOKUP(I886,'Component List'!O$2:P$30,2,FALSE)</f>
        <v>#N/A</v>
      </c>
      <c r="Y886" s="77" t="e">
        <f>VLOOKUP(J886,'Component List'!Q$2:R$30,2,FALSE)</f>
        <v>#N/A</v>
      </c>
      <c r="Z886" s="77" t="e">
        <f>VLOOKUP(K886,'Component List'!S$2:T$30,2,FALSE)</f>
        <v>#N/A</v>
      </c>
      <c r="AA886" s="77" t="e">
        <f>VLOOKUP(L886,'Component List'!U$2:V$30,2,FALSE)</f>
        <v>#N/A</v>
      </c>
      <c r="AB886" s="77" t="e">
        <f>VLOOKUP(M886,'Component List'!AA$2:AB$30,2,FALSE)</f>
        <v>#N/A</v>
      </c>
      <c r="AC886" s="77" t="e">
        <f>VLOOKUP(N886,'Component List'!Y$2:Z$30,2,FALSE)</f>
        <v>#N/A</v>
      </c>
      <c r="AD886" s="77" t="e">
        <f>VLOOKUP(O886,'Component List'!W$3:X$30,2,FALSE)</f>
        <v>#N/A</v>
      </c>
    </row>
    <row r="887" spans="1:30" ht="30" customHeight="1" x14ac:dyDescent="0.3">
      <c r="A887" s="76"/>
      <c r="B887" s="78"/>
      <c r="C887" s="78"/>
      <c r="D887" s="78"/>
      <c r="E887" s="79"/>
      <c r="F887" s="78"/>
      <c r="G887" s="78"/>
      <c r="H887" s="78"/>
      <c r="I887" s="78"/>
      <c r="J887" s="78"/>
      <c r="K887" s="110"/>
      <c r="L887" s="110"/>
      <c r="M887" s="78"/>
      <c r="N887" s="78"/>
      <c r="O887" s="117"/>
      <c r="P887" s="114" t="e">
        <f t="shared" si="12"/>
        <v>#N/A</v>
      </c>
      <c r="Q887" s="77" t="e">
        <f>VLOOKUP($B887,'Component List'!$A$2:$B$30,2,FALSE)</f>
        <v>#N/A</v>
      </c>
      <c r="R887" s="77" t="e">
        <f>VLOOKUP($C887,'Component List'!C$2:D$28,2,FALSE)</f>
        <v>#N/A</v>
      </c>
      <c r="S887" s="77" t="e">
        <f>VLOOKUP($D887,'Component List'!E$2:F$30,2,FALSE)</f>
        <v>#N/A</v>
      </c>
      <c r="T887" s="77" t="e">
        <f>VLOOKUP($E887,'Component List'!G$2:H$30,2,FALSE)</f>
        <v>#N/A</v>
      </c>
      <c r="U887" s="77" t="e">
        <f>VLOOKUP($F887,'Component List'!I$2:J$30,2,FALSE)</f>
        <v>#N/A</v>
      </c>
      <c r="V887" s="77" t="e">
        <f>VLOOKUP(G887,'Component List'!K$2:L$30,2,FALSE)</f>
        <v>#N/A</v>
      </c>
      <c r="W887" s="77" t="e">
        <f>VLOOKUP(H887,'Component List'!M$2:N$31,2,FALSE)</f>
        <v>#N/A</v>
      </c>
      <c r="X887" s="77" t="e">
        <f>VLOOKUP(I887,'Component List'!O$2:P$30,2,FALSE)</f>
        <v>#N/A</v>
      </c>
      <c r="Y887" s="77" t="e">
        <f>VLOOKUP(J887,'Component List'!Q$2:R$30,2,FALSE)</f>
        <v>#N/A</v>
      </c>
      <c r="Z887" s="77" t="e">
        <f>VLOOKUP(K887,'Component List'!S$2:T$30,2,FALSE)</f>
        <v>#N/A</v>
      </c>
      <c r="AA887" s="77" t="e">
        <f>VLOOKUP(L887,'Component List'!U$2:V$30,2,FALSE)</f>
        <v>#N/A</v>
      </c>
      <c r="AB887" s="77" t="e">
        <f>VLOOKUP(M887,'Component List'!AA$2:AB$30,2,FALSE)</f>
        <v>#N/A</v>
      </c>
      <c r="AC887" s="77" t="e">
        <f>VLOOKUP(N887,'Component List'!Y$2:Z$30,2,FALSE)</f>
        <v>#N/A</v>
      </c>
      <c r="AD887" s="77" t="e">
        <f>VLOOKUP(O887,'Component List'!W$3:X$30,2,FALSE)</f>
        <v>#N/A</v>
      </c>
    </row>
    <row r="888" spans="1:30" ht="30" customHeight="1" x14ac:dyDescent="0.3">
      <c r="A888" s="76"/>
      <c r="B888" s="78"/>
      <c r="C888" s="78"/>
      <c r="D888" s="78"/>
      <c r="E888" s="79"/>
      <c r="F888" s="78"/>
      <c r="G888" s="78"/>
      <c r="H888" s="78"/>
      <c r="I888" s="78"/>
      <c r="J888" s="78"/>
      <c r="K888" s="110"/>
      <c r="L888" s="110"/>
      <c r="M888" s="78"/>
      <c r="N888" s="78"/>
      <c r="O888" s="117"/>
      <c r="P888" s="114" t="e">
        <f t="shared" si="12"/>
        <v>#N/A</v>
      </c>
      <c r="Q888" s="77" t="e">
        <f>VLOOKUP($B888,'Component List'!$A$2:$B$30,2,FALSE)</f>
        <v>#N/A</v>
      </c>
      <c r="R888" s="77" t="e">
        <f>VLOOKUP($C888,'Component List'!C$2:D$28,2,FALSE)</f>
        <v>#N/A</v>
      </c>
      <c r="S888" s="77" t="e">
        <f>VLOOKUP($D888,'Component List'!E$2:F$30,2,FALSE)</f>
        <v>#N/A</v>
      </c>
      <c r="T888" s="77" t="e">
        <f>VLOOKUP($E888,'Component List'!G$2:H$30,2,FALSE)</f>
        <v>#N/A</v>
      </c>
      <c r="U888" s="77" t="e">
        <f>VLOOKUP($F888,'Component List'!I$2:J$30,2,FALSE)</f>
        <v>#N/A</v>
      </c>
      <c r="V888" s="77" t="e">
        <f>VLOOKUP(G888,'Component List'!K$2:L$30,2,FALSE)</f>
        <v>#N/A</v>
      </c>
      <c r="W888" s="77" t="e">
        <f>VLOOKUP(H888,'Component List'!M$2:N$31,2,FALSE)</f>
        <v>#N/A</v>
      </c>
      <c r="X888" s="77" t="e">
        <f>VLOOKUP(I888,'Component List'!O$2:P$30,2,FALSE)</f>
        <v>#N/A</v>
      </c>
      <c r="Y888" s="77" t="e">
        <f>VLOOKUP(J888,'Component List'!Q$2:R$30,2,FALSE)</f>
        <v>#N/A</v>
      </c>
      <c r="Z888" s="77" t="e">
        <f>VLOOKUP(K888,'Component List'!S$2:T$30,2,FALSE)</f>
        <v>#N/A</v>
      </c>
      <c r="AA888" s="77" t="e">
        <f>VLOOKUP(L888,'Component List'!U$2:V$30,2,FALSE)</f>
        <v>#N/A</v>
      </c>
      <c r="AB888" s="77" t="e">
        <f>VLOOKUP(M888,'Component List'!AA$2:AB$30,2,FALSE)</f>
        <v>#N/A</v>
      </c>
      <c r="AC888" s="77" t="e">
        <f>VLOOKUP(N888,'Component List'!Y$2:Z$30,2,FALSE)</f>
        <v>#N/A</v>
      </c>
      <c r="AD888" s="77" t="e">
        <f>VLOOKUP(O888,'Component List'!W$3:X$30,2,FALSE)</f>
        <v>#N/A</v>
      </c>
    </row>
    <row r="889" spans="1:30" ht="30" customHeight="1" x14ac:dyDescent="0.3">
      <c r="A889" s="76"/>
      <c r="B889" s="78"/>
      <c r="C889" s="78"/>
      <c r="D889" s="78"/>
      <c r="E889" s="79"/>
      <c r="F889" s="78"/>
      <c r="G889" s="78"/>
      <c r="H889" s="78"/>
      <c r="I889" s="78"/>
      <c r="J889" s="78"/>
      <c r="K889" s="110"/>
      <c r="L889" s="110"/>
      <c r="M889" s="78"/>
      <c r="N889" s="78"/>
      <c r="O889" s="117"/>
      <c r="P889" s="114" t="e">
        <f t="shared" si="12"/>
        <v>#N/A</v>
      </c>
      <c r="Q889" s="77" t="e">
        <f>VLOOKUP($B889,'Component List'!$A$2:$B$30,2,FALSE)</f>
        <v>#N/A</v>
      </c>
      <c r="R889" s="77" t="e">
        <f>VLOOKUP($C889,'Component List'!C$2:D$28,2,FALSE)</f>
        <v>#N/A</v>
      </c>
      <c r="S889" s="77" t="e">
        <f>VLOOKUP($D889,'Component List'!E$2:F$30,2,FALSE)</f>
        <v>#N/A</v>
      </c>
      <c r="T889" s="77" t="e">
        <f>VLOOKUP($E889,'Component List'!G$2:H$30,2,FALSE)</f>
        <v>#N/A</v>
      </c>
      <c r="U889" s="77" t="e">
        <f>VLOOKUP($F889,'Component List'!I$2:J$30,2,FALSE)</f>
        <v>#N/A</v>
      </c>
      <c r="V889" s="77" t="e">
        <f>VLOOKUP(G889,'Component List'!K$2:L$30,2,FALSE)</f>
        <v>#N/A</v>
      </c>
      <c r="W889" s="77" t="e">
        <f>VLOOKUP(H889,'Component List'!M$2:N$31,2,FALSE)</f>
        <v>#N/A</v>
      </c>
      <c r="X889" s="77" t="e">
        <f>VLOOKUP(I889,'Component List'!O$2:P$30,2,FALSE)</f>
        <v>#N/A</v>
      </c>
      <c r="Y889" s="77" t="e">
        <f>VLOOKUP(J889,'Component List'!Q$2:R$30,2,FALSE)</f>
        <v>#N/A</v>
      </c>
      <c r="Z889" s="77" t="e">
        <f>VLOOKUP(K889,'Component List'!S$2:T$30,2,FALSE)</f>
        <v>#N/A</v>
      </c>
      <c r="AA889" s="77" t="e">
        <f>VLOOKUP(L889,'Component List'!U$2:V$30,2,FALSE)</f>
        <v>#N/A</v>
      </c>
      <c r="AB889" s="77" t="e">
        <f>VLOOKUP(M889,'Component List'!AA$2:AB$30,2,FALSE)</f>
        <v>#N/A</v>
      </c>
      <c r="AC889" s="77" t="e">
        <f>VLOOKUP(N889,'Component List'!Y$2:Z$30,2,FALSE)</f>
        <v>#N/A</v>
      </c>
      <c r="AD889" s="77" t="e">
        <f>VLOOKUP(O889,'Component List'!W$3:X$30,2,FALSE)</f>
        <v>#N/A</v>
      </c>
    </row>
    <row r="890" spans="1:30" ht="30" customHeight="1" x14ac:dyDescent="0.3">
      <c r="A890" s="76"/>
      <c r="B890" s="78"/>
      <c r="C890" s="78"/>
      <c r="D890" s="78"/>
      <c r="E890" s="79"/>
      <c r="F890" s="78"/>
      <c r="G890" s="78"/>
      <c r="H890" s="78"/>
      <c r="I890" s="78"/>
      <c r="J890" s="78"/>
      <c r="K890" s="110"/>
      <c r="L890" s="110"/>
      <c r="M890" s="78"/>
      <c r="N890" s="78"/>
      <c r="O890" s="117"/>
      <c r="P890" s="114" t="e">
        <f t="shared" si="12"/>
        <v>#N/A</v>
      </c>
      <c r="Q890" s="77" t="e">
        <f>VLOOKUP($B890,'Component List'!$A$2:$B$30,2,FALSE)</f>
        <v>#N/A</v>
      </c>
      <c r="R890" s="77" t="e">
        <f>VLOOKUP($C890,'Component List'!C$2:D$28,2,FALSE)</f>
        <v>#N/A</v>
      </c>
      <c r="S890" s="77" t="e">
        <f>VLOOKUP($D890,'Component List'!E$2:F$30,2,FALSE)</f>
        <v>#N/A</v>
      </c>
      <c r="T890" s="77" t="e">
        <f>VLOOKUP($E890,'Component List'!G$2:H$30,2,FALSE)</f>
        <v>#N/A</v>
      </c>
      <c r="U890" s="77" t="e">
        <f>VLOOKUP($F890,'Component List'!I$2:J$30,2,FALSE)</f>
        <v>#N/A</v>
      </c>
      <c r="V890" s="77" t="e">
        <f>VLOOKUP(G890,'Component List'!K$2:L$30,2,FALSE)</f>
        <v>#N/A</v>
      </c>
      <c r="W890" s="77" t="e">
        <f>VLOOKUP(H890,'Component List'!M$2:N$31,2,FALSE)</f>
        <v>#N/A</v>
      </c>
      <c r="X890" s="77" t="e">
        <f>VLOOKUP(I890,'Component List'!O$2:P$30,2,FALSE)</f>
        <v>#N/A</v>
      </c>
      <c r="Y890" s="77" t="e">
        <f>VLOOKUP(J890,'Component List'!Q$2:R$30,2,FALSE)</f>
        <v>#N/A</v>
      </c>
      <c r="Z890" s="77" t="e">
        <f>VLOOKUP(K890,'Component List'!S$2:T$30,2,FALSE)</f>
        <v>#N/A</v>
      </c>
      <c r="AA890" s="77" t="e">
        <f>VLOOKUP(L890,'Component List'!U$2:V$30,2,FALSE)</f>
        <v>#N/A</v>
      </c>
      <c r="AB890" s="77" t="e">
        <f>VLOOKUP(M890,'Component List'!AA$2:AB$30,2,FALSE)</f>
        <v>#N/A</v>
      </c>
      <c r="AC890" s="77" t="e">
        <f>VLOOKUP(N890,'Component List'!Y$2:Z$30,2,FALSE)</f>
        <v>#N/A</v>
      </c>
      <c r="AD890" s="77" t="e">
        <f>VLOOKUP(O890,'Component List'!W$3:X$30,2,FALSE)</f>
        <v>#N/A</v>
      </c>
    </row>
    <row r="891" spans="1:30" ht="30" customHeight="1" x14ac:dyDescent="0.3">
      <c r="A891" s="76"/>
      <c r="B891" s="78"/>
      <c r="C891" s="78"/>
      <c r="D891" s="78"/>
      <c r="E891" s="79"/>
      <c r="F891" s="78"/>
      <c r="G891" s="78"/>
      <c r="H891" s="78"/>
      <c r="I891" s="78"/>
      <c r="J891" s="78"/>
      <c r="K891" s="110"/>
      <c r="L891" s="110"/>
      <c r="M891" s="78"/>
      <c r="N891" s="78"/>
      <c r="O891" s="117"/>
      <c r="P891" s="114" t="e">
        <f t="shared" si="12"/>
        <v>#N/A</v>
      </c>
      <c r="Q891" s="77" t="e">
        <f>VLOOKUP($B891,'Component List'!$A$2:$B$30,2,FALSE)</f>
        <v>#N/A</v>
      </c>
      <c r="R891" s="77" t="e">
        <f>VLOOKUP($C891,'Component List'!C$2:D$28,2,FALSE)</f>
        <v>#N/A</v>
      </c>
      <c r="S891" s="77" t="e">
        <f>VLOOKUP($D891,'Component List'!E$2:F$30,2,FALSE)</f>
        <v>#N/A</v>
      </c>
      <c r="T891" s="77" t="e">
        <f>VLOOKUP($E891,'Component List'!G$2:H$30,2,FALSE)</f>
        <v>#N/A</v>
      </c>
      <c r="U891" s="77" t="e">
        <f>VLOOKUP($F891,'Component List'!I$2:J$30,2,FALSE)</f>
        <v>#N/A</v>
      </c>
      <c r="V891" s="77" t="e">
        <f>VLOOKUP(G891,'Component List'!K$2:L$30,2,FALSE)</f>
        <v>#N/A</v>
      </c>
      <c r="W891" s="77" t="e">
        <f>VLOOKUP(H891,'Component List'!M$2:N$31,2,FALSE)</f>
        <v>#N/A</v>
      </c>
      <c r="X891" s="77" t="e">
        <f>VLOOKUP(I891,'Component List'!O$2:P$30,2,FALSE)</f>
        <v>#N/A</v>
      </c>
      <c r="Y891" s="77" t="e">
        <f>VLOOKUP(J891,'Component List'!Q$2:R$30,2,FALSE)</f>
        <v>#N/A</v>
      </c>
      <c r="Z891" s="77" t="e">
        <f>VLOOKUP(K891,'Component List'!S$2:T$30,2,FALSE)</f>
        <v>#N/A</v>
      </c>
      <c r="AA891" s="77" t="e">
        <f>VLOOKUP(L891,'Component List'!U$2:V$30,2,FALSE)</f>
        <v>#N/A</v>
      </c>
      <c r="AB891" s="77" t="e">
        <f>VLOOKUP(M891,'Component List'!AA$2:AB$30,2,FALSE)</f>
        <v>#N/A</v>
      </c>
      <c r="AC891" s="77" t="e">
        <f>VLOOKUP(N891,'Component List'!Y$2:Z$30,2,FALSE)</f>
        <v>#N/A</v>
      </c>
      <c r="AD891" s="77" t="e">
        <f>VLOOKUP(O891,'Component List'!W$3:X$30,2,FALSE)</f>
        <v>#N/A</v>
      </c>
    </row>
    <row r="892" spans="1:30" ht="30" customHeight="1" x14ac:dyDescent="0.3">
      <c r="A892" s="76"/>
      <c r="B892" s="78"/>
      <c r="C892" s="78"/>
      <c r="D892" s="78"/>
      <c r="E892" s="79"/>
      <c r="F892" s="78"/>
      <c r="G892" s="78"/>
      <c r="H892" s="78"/>
      <c r="I892" s="78"/>
      <c r="J892" s="78"/>
      <c r="K892" s="110"/>
      <c r="L892" s="110"/>
      <c r="M892" s="78"/>
      <c r="N892" s="78"/>
      <c r="O892" s="117"/>
      <c r="P892" s="114" t="e">
        <f t="shared" si="12"/>
        <v>#N/A</v>
      </c>
      <c r="Q892" s="77" t="e">
        <f>VLOOKUP($B892,'Component List'!$A$2:$B$30,2,FALSE)</f>
        <v>#N/A</v>
      </c>
      <c r="R892" s="77" t="e">
        <f>VLOOKUP($C892,'Component List'!C$2:D$28,2,FALSE)</f>
        <v>#N/A</v>
      </c>
      <c r="S892" s="77" t="e">
        <f>VLOOKUP($D892,'Component List'!E$2:F$30,2,FALSE)</f>
        <v>#N/A</v>
      </c>
      <c r="T892" s="77" t="e">
        <f>VLOOKUP($E892,'Component List'!G$2:H$30,2,FALSE)</f>
        <v>#N/A</v>
      </c>
      <c r="U892" s="77" t="e">
        <f>VLOOKUP($F892,'Component List'!I$2:J$30,2,FALSE)</f>
        <v>#N/A</v>
      </c>
      <c r="V892" s="77" t="e">
        <f>VLOOKUP(G892,'Component List'!K$2:L$30,2,FALSE)</f>
        <v>#N/A</v>
      </c>
      <c r="W892" s="77" t="e">
        <f>VLOOKUP(H892,'Component List'!M$2:N$31,2,FALSE)</f>
        <v>#N/A</v>
      </c>
      <c r="X892" s="77" t="e">
        <f>VLOOKUP(I892,'Component List'!O$2:P$30,2,FALSE)</f>
        <v>#N/A</v>
      </c>
      <c r="Y892" s="77" t="e">
        <f>VLOOKUP(J892,'Component List'!Q$2:R$30,2,FALSE)</f>
        <v>#N/A</v>
      </c>
      <c r="Z892" s="77" t="e">
        <f>VLOOKUP(K892,'Component List'!S$2:T$30,2,FALSE)</f>
        <v>#N/A</v>
      </c>
      <c r="AA892" s="77" t="e">
        <f>VLOOKUP(L892,'Component List'!U$2:V$30,2,FALSE)</f>
        <v>#N/A</v>
      </c>
      <c r="AB892" s="77" t="e">
        <f>VLOOKUP(M892,'Component List'!AA$2:AB$30,2,FALSE)</f>
        <v>#N/A</v>
      </c>
      <c r="AC892" s="77" t="e">
        <f>VLOOKUP(N892,'Component List'!Y$2:Z$30,2,FALSE)</f>
        <v>#N/A</v>
      </c>
      <c r="AD892" s="77" t="e">
        <f>VLOOKUP(O892,'Component List'!W$3:X$30,2,FALSE)</f>
        <v>#N/A</v>
      </c>
    </row>
    <row r="893" spans="1:30" ht="30" customHeight="1" x14ac:dyDescent="0.3">
      <c r="A893" s="76"/>
      <c r="B893" s="78"/>
      <c r="C893" s="78"/>
      <c r="D893" s="78"/>
      <c r="E893" s="79"/>
      <c r="F893" s="78"/>
      <c r="G893" s="78"/>
      <c r="H893" s="78"/>
      <c r="I893" s="78"/>
      <c r="J893" s="78"/>
      <c r="K893" s="110"/>
      <c r="L893" s="110"/>
      <c r="M893" s="78"/>
      <c r="N893" s="78"/>
      <c r="O893" s="117"/>
      <c r="P893" s="114" t="e">
        <f t="shared" si="12"/>
        <v>#N/A</v>
      </c>
      <c r="Q893" s="77" t="e">
        <f>VLOOKUP($B893,'Component List'!$A$2:$B$30,2,FALSE)</f>
        <v>#N/A</v>
      </c>
      <c r="R893" s="77" t="e">
        <f>VLOOKUP($C893,'Component List'!C$2:D$28,2,FALSE)</f>
        <v>#N/A</v>
      </c>
      <c r="S893" s="77" t="e">
        <f>VLOOKUP($D893,'Component List'!E$2:F$30,2,FALSE)</f>
        <v>#N/A</v>
      </c>
      <c r="T893" s="77" t="e">
        <f>VLOOKUP($E893,'Component List'!G$2:H$30,2,FALSE)</f>
        <v>#N/A</v>
      </c>
      <c r="U893" s="77" t="e">
        <f>VLOOKUP($F893,'Component List'!I$2:J$30,2,FALSE)</f>
        <v>#N/A</v>
      </c>
      <c r="V893" s="77" t="e">
        <f>VLOOKUP(G893,'Component List'!K$2:L$30,2,FALSE)</f>
        <v>#N/A</v>
      </c>
      <c r="W893" s="77" t="e">
        <f>VLOOKUP(H893,'Component List'!M$2:N$31,2,FALSE)</f>
        <v>#N/A</v>
      </c>
      <c r="X893" s="77" t="e">
        <f>VLOOKUP(I893,'Component List'!O$2:P$30,2,FALSE)</f>
        <v>#N/A</v>
      </c>
      <c r="Y893" s="77" t="e">
        <f>VLOOKUP(J893,'Component List'!Q$2:R$30,2,FALSE)</f>
        <v>#N/A</v>
      </c>
      <c r="Z893" s="77" t="e">
        <f>VLOOKUP(K893,'Component List'!S$2:T$30,2,FALSE)</f>
        <v>#N/A</v>
      </c>
      <c r="AA893" s="77" t="e">
        <f>VLOOKUP(L893,'Component List'!U$2:V$30,2,FALSE)</f>
        <v>#N/A</v>
      </c>
      <c r="AB893" s="77" t="e">
        <f>VLOOKUP(M893,'Component List'!AA$2:AB$30,2,FALSE)</f>
        <v>#N/A</v>
      </c>
      <c r="AC893" s="77" t="e">
        <f>VLOOKUP(N893,'Component List'!Y$2:Z$30,2,FALSE)</f>
        <v>#N/A</v>
      </c>
      <c r="AD893" s="77" t="e">
        <f>VLOOKUP(O893,'Component List'!W$3:X$30,2,FALSE)</f>
        <v>#N/A</v>
      </c>
    </row>
    <row r="894" spans="1:30" ht="30" customHeight="1" x14ac:dyDescent="0.3">
      <c r="A894" s="76"/>
      <c r="B894" s="78"/>
      <c r="C894" s="78"/>
      <c r="D894" s="78"/>
      <c r="E894" s="79"/>
      <c r="F894" s="78"/>
      <c r="G894" s="78"/>
      <c r="H894" s="78"/>
      <c r="I894" s="78"/>
      <c r="J894" s="78"/>
      <c r="K894" s="110"/>
      <c r="L894" s="110"/>
      <c r="M894" s="78"/>
      <c r="N894" s="78"/>
      <c r="O894" s="117"/>
      <c r="P894" s="114" t="e">
        <f t="shared" si="12"/>
        <v>#N/A</v>
      </c>
      <c r="Q894" s="77" t="e">
        <f>VLOOKUP($B894,'Component List'!$A$2:$B$30,2,FALSE)</f>
        <v>#N/A</v>
      </c>
      <c r="R894" s="77" t="e">
        <f>VLOOKUP($C894,'Component List'!C$2:D$28,2,FALSE)</f>
        <v>#N/A</v>
      </c>
      <c r="S894" s="77" t="e">
        <f>VLOOKUP($D894,'Component List'!E$2:F$30,2,FALSE)</f>
        <v>#N/A</v>
      </c>
      <c r="T894" s="77" t="e">
        <f>VLOOKUP($E894,'Component List'!G$2:H$30,2,FALSE)</f>
        <v>#N/A</v>
      </c>
      <c r="U894" s="77" t="e">
        <f>VLOOKUP($F894,'Component List'!I$2:J$30,2,FALSE)</f>
        <v>#N/A</v>
      </c>
      <c r="V894" s="77" t="e">
        <f>VLOOKUP(G894,'Component List'!K$2:L$30,2,FALSE)</f>
        <v>#N/A</v>
      </c>
      <c r="W894" s="77" t="e">
        <f>VLOOKUP(H894,'Component List'!M$2:N$31,2,FALSE)</f>
        <v>#N/A</v>
      </c>
      <c r="X894" s="77" t="e">
        <f>VLOOKUP(I894,'Component List'!O$2:P$30,2,FALSE)</f>
        <v>#N/A</v>
      </c>
      <c r="Y894" s="77" t="e">
        <f>VLOOKUP(J894,'Component List'!Q$2:R$30,2,FALSE)</f>
        <v>#N/A</v>
      </c>
      <c r="Z894" s="77" t="e">
        <f>VLOOKUP(K894,'Component List'!S$2:T$30,2,FALSE)</f>
        <v>#N/A</v>
      </c>
      <c r="AA894" s="77" t="e">
        <f>VLOOKUP(L894,'Component List'!U$2:V$30,2,FALSE)</f>
        <v>#N/A</v>
      </c>
      <c r="AB894" s="77" t="e">
        <f>VLOOKUP(M894,'Component List'!AA$2:AB$30,2,FALSE)</f>
        <v>#N/A</v>
      </c>
      <c r="AC894" s="77" t="e">
        <f>VLOOKUP(N894,'Component List'!Y$2:Z$30,2,FALSE)</f>
        <v>#N/A</v>
      </c>
      <c r="AD894" s="77" t="e">
        <f>VLOOKUP(O894,'Component List'!W$3:X$30,2,FALSE)</f>
        <v>#N/A</v>
      </c>
    </row>
    <row r="895" spans="1:30" ht="30" customHeight="1" x14ac:dyDescent="0.3">
      <c r="A895" s="76"/>
      <c r="B895" s="78"/>
      <c r="C895" s="78"/>
      <c r="D895" s="78"/>
      <c r="E895" s="79"/>
      <c r="F895" s="78"/>
      <c r="G895" s="78"/>
      <c r="H895" s="78"/>
      <c r="I895" s="78"/>
      <c r="J895" s="78"/>
      <c r="K895" s="110"/>
      <c r="L895" s="110"/>
      <c r="M895" s="78"/>
      <c r="N895" s="78"/>
      <c r="O895" s="117"/>
      <c r="P895" s="114" t="e">
        <f t="shared" si="12"/>
        <v>#N/A</v>
      </c>
      <c r="Q895" s="77" t="e">
        <f>VLOOKUP($B895,'Component List'!$A$2:$B$30,2,FALSE)</f>
        <v>#N/A</v>
      </c>
      <c r="R895" s="77" t="e">
        <f>VLOOKUP($C895,'Component List'!C$2:D$28,2,FALSE)</f>
        <v>#N/A</v>
      </c>
      <c r="S895" s="77" t="e">
        <f>VLOOKUP($D895,'Component List'!E$2:F$30,2,FALSE)</f>
        <v>#N/A</v>
      </c>
      <c r="T895" s="77" t="e">
        <f>VLOOKUP($E895,'Component List'!G$2:H$30,2,FALSE)</f>
        <v>#N/A</v>
      </c>
      <c r="U895" s="77" t="e">
        <f>VLOOKUP($F895,'Component List'!I$2:J$30,2,FALSE)</f>
        <v>#N/A</v>
      </c>
      <c r="V895" s="77" t="e">
        <f>VLOOKUP(G895,'Component List'!K$2:L$30,2,FALSE)</f>
        <v>#N/A</v>
      </c>
      <c r="W895" s="77" t="e">
        <f>VLOOKUP(H895,'Component List'!M$2:N$31,2,FALSE)</f>
        <v>#N/A</v>
      </c>
      <c r="X895" s="77" t="e">
        <f>VLOOKUP(I895,'Component List'!O$2:P$30,2,FALSE)</f>
        <v>#N/A</v>
      </c>
      <c r="Y895" s="77" t="e">
        <f>VLOOKUP(J895,'Component List'!Q$2:R$30,2,FALSE)</f>
        <v>#N/A</v>
      </c>
      <c r="Z895" s="77" t="e">
        <f>VLOOKUP(K895,'Component List'!S$2:T$30,2,FALSE)</f>
        <v>#N/A</v>
      </c>
      <c r="AA895" s="77" t="e">
        <f>VLOOKUP(L895,'Component List'!U$2:V$30,2,FALSE)</f>
        <v>#N/A</v>
      </c>
      <c r="AB895" s="77" t="e">
        <f>VLOOKUP(M895,'Component List'!AA$2:AB$30,2,FALSE)</f>
        <v>#N/A</v>
      </c>
      <c r="AC895" s="77" t="e">
        <f>VLOOKUP(N895,'Component List'!Y$2:Z$30,2,FALSE)</f>
        <v>#N/A</v>
      </c>
      <c r="AD895" s="77" t="e">
        <f>VLOOKUP(O895,'Component List'!W$3:X$30,2,FALSE)</f>
        <v>#N/A</v>
      </c>
    </row>
    <row r="896" spans="1:30" ht="30" customHeight="1" x14ac:dyDescent="0.3">
      <c r="A896" s="76"/>
      <c r="B896" s="78"/>
      <c r="C896" s="78"/>
      <c r="D896" s="78"/>
      <c r="E896" s="79"/>
      <c r="F896" s="78"/>
      <c r="G896" s="78"/>
      <c r="H896" s="78"/>
      <c r="I896" s="78"/>
      <c r="J896" s="78"/>
      <c r="K896" s="110"/>
      <c r="L896" s="110"/>
      <c r="M896" s="78"/>
      <c r="N896" s="78"/>
      <c r="O896" s="117"/>
      <c r="P896" s="114" t="e">
        <f t="shared" si="12"/>
        <v>#N/A</v>
      </c>
      <c r="Q896" s="77" t="e">
        <f>VLOOKUP($B896,'Component List'!$A$2:$B$30,2,FALSE)</f>
        <v>#N/A</v>
      </c>
      <c r="R896" s="77" t="e">
        <f>VLOOKUP($C896,'Component List'!C$2:D$28,2,FALSE)</f>
        <v>#N/A</v>
      </c>
      <c r="S896" s="77" t="e">
        <f>VLOOKUP($D896,'Component List'!E$2:F$30,2,FALSE)</f>
        <v>#N/A</v>
      </c>
      <c r="T896" s="77" t="e">
        <f>VLOOKUP($E896,'Component List'!G$2:H$30,2,FALSE)</f>
        <v>#N/A</v>
      </c>
      <c r="U896" s="77" t="e">
        <f>VLOOKUP($F896,'Component List'!I$2:J$30,2,FALSE)</f>
        <v>#N/A</v>
      </c>
      <c r="V896" s="77" t="e">
        <f>VLOOKUP(G896,'Component List'!K$2:L$30,2,FALSE)</f>
        <v>#N/A</v>
      </c>
      <c r="W896" s="77" t="e">
        <f>VLOOKUP(H896,'Component List'!M$2:N$31,2,FALSE)</f>
        <v>#N/A</v>
      </c>
      <c r="X896" s="77" t="e">
        <f>VLOOKUP(I896,'Component List'!O$2:P$30,2,FALSE)</f>
        <v>#N/A</v>
      </c>
      <c r="Y896" s="77" t="e">
        <f>VLOOKUP(J896,'Component List'!Q$2:R$30,2,FALSE)</f>
        <v>#N/A</v>
      </c>
      <c r="Z896" s="77" t="e">
        <f>VLOOKUP(K896,'Component List'!S$2:T$30,2,FALSE)</f>
        <v>#N/A</v>
      </c>
      <c r="AA896" s="77" t="e">
        <f>VLOOKUP(L896,'Component List'!U$2:V$30,2,FALSE)</f>
        <v>#N/A</v>
      </c>
      <c r="AB896" s="77" t="e">
        <f>VLOOKUP(M896,'Component List'!AA$2:AB$30,2,FALSE)</f>
        <v>#N/A</v>
      </c>
      <c r="AC896" s="77" t="e">
        <f>VLOOKUP(N896,'Component List'!Y$2:Z$30,2,FALSE)</f>
        <v>#N/A</v>
      </c>
      <c r="AD896" s="77" t="e">
        <f>VLOOKUP(O896,'Component List'!W$3:X$30,2,FALSE)</f>
        <v>#N/A</v>
      </c>
    </row>
    <row r="897" spans="1:30" ht="30" customHeight="1" x14ac:dyDescent="0.3">
      <c r="A897" s="76"/>
      <c r="B897" s="78"/>
      <c r="C897" s="78"/>
      <c r="D897" s="78"/>
      <c r="E897" s="79"/>
      <c r="F897" s="78"/>
      <c r="G897" s="78"/>
      <c r="H897" s="78"/>
      <c r="I897" s="78"/>
      <c r="J897" s="78"/>
      <c r="K897" s="110"/>
      <c r="L897" s="110"/>
      <c r="M897" s="78"/>
      <c r="N897" s="78"/>
      <c r="O897" s="117"/>
      <c r="P897" s="114" t="e">
        <f t="shared" si="12"/>
        <v>#N/A</v>
      </c>
      <c r="Q897" s="77" t="e">
        <f>VLOOKUP($B897,'Component List'!$A$2:$B$30,2,FALSE)</f>
        <v>#N/A</v>
      </c>
      <c r="R897" s="77" t="e">
        <f>VLOOKUP($C897,'Component List'!C$2:D$28,2,FALSE)</f>
        <v>#N/A</v>
      </c>
      <c r="S897" s="77" t="e">
        <f>VLOOKUP($D897,'Component List'!E$2:F$30,2,FALSE)</f>
        <v>#N/A</v>
      </c>
      <c r="T897" s="77" t="e">
        <f>VLOOKUP($E897,'Component List'!G$2:H$30,2,FALSE)</f>
        <v>#N/A</v>
      </c>
      <c r="U897" s="77" t="e">
        <f>VLOOKUP($F897,'Component List'!I$2:J$30,2,FALSE)</f>
        <v>#N/A</v>
      </c>
      <c r="V897" s="77" t="e">
        <f>VLOOKUP(G897,'Component List'!K$2:L$30,2,FALSE)</f>
        <v>#N/A</v>
      </c>
      <c r="W897" s="77" t="e">
        <f>VLOOKUP(H897,'Component List'!M$2:N$31,2,FALSE)</f>
        <v>#N/A</v>
      </c>
      <c r="X897" s="77" t="e">
        <f>VLOOKUP(I897,'Component List'!O$2:P$30,2,FALSE)</f>
        <v>#N/A</v>
      </c>
      <c r="Y897" s="77" t="e">
        <f>VLOOKUP(J897,'Component List'!Q$2:R$30,2,FALSE)</f>
        <v>#N/A</v>
      </c>
      <c r="Z897" s="77" t="e">
        <f>VLOOKUP(K897,'Component List'!S$2:T$30,2,FALSE)</f>
        <v>#N/A</v>
      </c>
      <c r="AA897" s="77" t="e">
        <f>VLOOKUP(L897,'Component List'!U$2:V$30,2,FALSE)</f>
        <v>#N/A</v>
      </c>
      <c r="AB897" s="77" t="e">
        <f>VLOOKUP(M897,'Component List'!AA$2:AB$30,2,FALSE)</f>
        <v>#N/A</v>
      </c>
      <c r="AC897" s="77" t="e">
        <f>VLOOKUP(N897,'Component List'!Y$2:Z$30,2,FALSE)</f>
        <v>#N/A</v>
      </c>
      <c r="AD897" s="77" t="e">
        <f>VLOOKUP(O897,'Component List'!W$3:X$30,2,FALSE)</f>
        <v>#N/A</v>
      </c>
    </row>
    <row r="898" spans="1:30" ht="30" customHeight="1" x14ac:dyDescent="0.3">
      <c r="A898" s="76"/>
      <c r="B898" s="78"/>
      <c r="C898" s="78"/>
      <c r="D898" s="78"/>
      <c r="E898" s="79"/>
      <c r="F898" s="78"/>
      <c r="G898" s="78"/>
      <c r="H898" s="78"/>
      <c r="I898" s="78"/>
      <c r="J898" s="78"/>
      <c r="K898" s="110"/>
      <c r="L898" s="110"/>
      <c r="M898" s="78"/>
      <c r="N898" s="78"/>
      <c r="O898" s="117"/>
      <c r="P898" s="114" t="e">
        <f t="shared" si="12"/>
        <v>#N/A</v>
      </c>
      <c r="Q898" s="77" t="e">
        <f>VLOOKUP($B898,'Component List'!$A$2:$B$30,2,FALSE)</f>
        <v>#N/A</v>
      </c>
      <c r="R898" s="77" t="e">
        <f>VLOOKUP($C898,'Component List'!C$2:D$28,2,FALSE)</f>
        <v>#N/A</v>
      </c>
      <c r="S898" s="77" t="e">
        <f>VLOOKUP($D898,'Component List'!E$2:F$30,2,FALSE)</f>
        <v>#N/A</v>
      </c>
      <c r="T898" s="77" t="e">
        <f>VLOOKUP($E898,'Component List'!G$2:H$30,2,FALSE)</f>
        <v>#N/A</v>
      </c>
      <c r="U898" s="77" t="e">
        <f>VLOOKUP($F898,'Component List'!I$2:J$30,2,FALSE)</f>
        <v>#N/A</v>
      </c>
      <c r="V898" s="77" t="e">
        <f>VLOOKUP(G898,'Component List'!K$2:L$30,2,FALSE)</f>
        <v>#N/A</v>
      </c>
      <c r="W898" s="77" t="e">
        <f>VLOOKUP(H898,'Component List'!M$2:N$31,2,FALSE)</f>
        <v>#N/A</v>
      </c>
      <c r="X898" s="77" t="e">
        <f>VLOOKUP(I898,'Component List'!O$2:P$30,2,FALSE)</f>
        <v>#N/A</v>
      </c>
      <c r="Y898" s="77" t="e">
        <f>VLOOKUP(J898,'Component List'!Q$2:R$30,2,FALSE)</f>
        <v>#N/A</v>
      </c>
      <c r="Z898" s="77" t="e">
        <f>VLOOKUP(K898,'Component List'!S$2:T$30,2,FALSE)</f>
        <v>#N/A</v>
      </c>
      <c r="AA898" s="77" t="e">
        <f>VLOOKUP(L898,'Component List'!U$2:V$30,2,FALSE)</f>
        <v>#N/A</v>
      </c>
      <c r="AB898" s="77" t="e">
        <f>VLOOKUP(M898,'Component List'!AA$2:AB$30,2,FALSE)</f>
        <v>#N/A</v>
      </c>
      <c r="AC898" s="77" t="e">
        <f>VLOOKUP(N898,'Component List'!Y$2:Z$30,2,FALSE)</f>
        <v>#N/A</v>
      </c>
      <c r="AD898" s="77" t="e">
        <f>VLOOKUP(O898,'Component List'!W$3:X$30,2,FALSE)</f>
        <v>#N/A</v>
      </c>
    </row>
    <row r="899" spans="1:30" ht="30" customHeight="1" x14ac:dyDescent="0.3">
      <c r="A899" s="76"/>
      <c r="B899" s="78"/>
      <c r="C899" s="78"/>
      <c r="D899" s="78"/>
      <c r="E899" s="79"/>
      <c r="F899" s="78"/>
      <c r="G899" s="78"/>
      <c r="H899" s="78"/>
      <c r="I899" s="78"/>
      <c r="J899" s="78"/>
      <c r="K899" s="110"/>
      <c r="L899" s="110"/>
      <c r="M899" s="78"/>
      <c r="N899" s="78"/>
      <c r="O899" s="117"/>
      <c r="P899" s="114" t="e">
        <f t="shared" si="12"/>
        <v>#N/A</v>
      </c>
      <c r="Q899" s="77" t="e">
        <f>VLOOKUP($B899,'Component List'!$A$2:$B$30,2,FALSE)</f>
        <v>#N/A</v>
      </c>
      <c r="R899" s="77" t="e">
        <f>VLOOKUP($C899,'Component List'!C$2:D$28,2,FALSE)</f>
        <v>#N/A</v>
      </c>
      <c r="S899" s="77" t="e">
        <f>VLOOKUP($D899,'Component List'!E$2:F$30,2,FALSE)</f>
        <v>#N/A</v>
      </c>
      <c r="T899" s="77" t="e">
        <f>VLOOKUP($E899,'Component List'!G$2:H$30,2,FALSE)</f>
        <v>#N/A</v>
      </c>
      <c r="U899" s="77" t="e">
        <f>VLOOKUP($F899,'Component List'!I$2:J$30,2,FALSE)</f>
        <v>#N/A</v>
      </c>
      <c r="V899" s="77" t="e">
        <f>VLOOKUP(G899,'Component List'!K$2:L$30,2,FALSE)</f>
        <v>#N/A</v>
      </c>
      <c r="W899" s="77" t="e">
        <f>VLOOKUP(H899,'Component List'!M$2:N$31,2,FALSE)</f>
        <v>#N/A</v>
      </c>
      <c r="X899" s="77" t="e">
        <f>VLOOKUP(I899,'Component List'!O$2:P$30,2,FALSE)</f>
        <v>#N/A</v>
      </c>
      <c r="Y899" s="77" t="e">
        <f>VLOOKUP(J899,'Component List'!Q$2:R$30,2,FALSE)</f>
        <v>#N/A</v>
      </c>
      <c r="Z899" s="77" t="e">
        <f>VLOOKUP(K899,'Component List'!S$2:T$30,2,FALSE)</f>
        <v>#N/A</v>
      </c>
      <c r="AA899" s="77" t="e">
        <f>VLOOKUP(L899,'Component List'!U$2:V$30,2,FALSE)</f>
        <v>#N/A</v>
      </c>
      <c r="AB899" s="77" t="e">
        <f>VLOOKUP(M899,'Component List'!AA$2:AB$30,2,FALSE)</f>
        <v>#N/A</v>
      </c>
      <c r="AC899" s="77" t="e">
        <f>VLOOKUP(N899,'Component List'!Y$2:Z$30,2,FALSE)</f>
        <v>#N/A</v>
      </c>
      <c r="AD899" s="77" t="e">
        <f>VLOOKUP(O899,'Component List'!W$3:X$30,2,FALSE)</f>
        <v>#N/A</v>
      </c>
    </row>
    <row r="900" spans="1:30" ht="30" customHeight="1" x14ac:dyDescent="0.3">
      <c r="A900" s="76"/>
      <c r="B900" s="78"/>
      <c r="C900" s="78"/>
      <c r="D900" s="78"/>
      <c r="E900" s="79"/>
      <c r="F900" s="78"/>
      <c r="G900" s="78"/>
      <c r="H900" s="78"/>
      <c r="I900" s="78"/>
      <c r="J900" s="78"/>
      <c r="K900" s="110"/>
      <c r="L900" s="110"/>
      <c r="M900" s="78"/>
      <c r="N900" s="78"/>
      <c r="O900" s="117"/>
      <c r="P900" s="114" t="e">
        <f t="shared" si="12"/>
        <v>#N/A</v>
      </c>
      <c r="Q900" s="77" t="e">
        <f>VLOOKUP($B900,'Component List'!$A$2:$B$30,2,FALSE)</f>
        <v>#N/A</v>
      </c>
      <c r="R900" s="77" t="e">
        <f>VLOOKUP($C900,'Component List'!C$2:D$28,2,FALSE)</f>
        <v>#N/A</v>
      </c>
      <c r="S900" s="77" t="e">
        <f>VLOOKUP($D900,'Component List'!E$2:F$30,2,FALSE)</f>
        <v>#N/A</v>
      </c>
      <c r="T900" s="77" t="e">
        <f>VLOOKUP($E900,'Component List'!G$2:H$30,2,FALSE)</f>
        <v>#N/A</v>
      </c>
      <c r="U900" s="77" t="e">
        <f>VLOOKUP($F900,'Component List'!I$2:J$30,2,FALSE)</f>
        <v>#N/A</v>
      </c>
      <c r="V900" s="77" t="e">
        <f>VLOOKUP(G900,'Component List'!K$2:L$30,2,FALSE)</f>
        <v>#N/A</v>
      </c>
      <c r="W900" s="77" t="e">
        <f>VLOOKUP(H900,'Component List'!M$2:N$31,2,FALSE)</f>
        <v>#N/A</v>
      </c>
      <c r="X900" s="77" t="e">
        <f>VLOOKUP(I900,'Component List'!O$2:P$30,2,FALSE)</f>
        <v>#N/A</v>
      </c>
      <c r="Y900" s="77" t="e">
        <f>VLOOKUP(J900,'Component List'!Q$2:R$30,2,FALSE)</f>
        <v>#N/A</v>
      </c>
      <c r="Z900" s="77" t="e">
        <f>VLOOKUP(K900,'Component List'!S$2:T$30,2,FALSE)</f>
        <v>#N/A</v>
      </c>
      <c r="AA900" s="77" t="e">
        <f>VLOOKUP(L900,'Component List'!U$2:V$30,2,FALSE)</f>
        <v>#N/A</v>
      </c>
      <c r="AB900" s="77" t="e">
        <f>VLOOKUP(M900,'Component List'!AA$2:AB$30,2,FALSE)</f>
        <v>#N/A</v>
      </c>
      <c r="AC900" s="77" t="e">
        <f>VLOOKUP(N900,'Component List'!Y$2:Z$30,2,FALSE)</f>
        <v>#N/A</v>
      </c>
      <c r="AD900" s="77" t="e">
        <f>VLOOKUP(O900,'Component List'!W$3:X$30,2,FALSE)</f>
        <v>#N/A</v>
      </c>
    </row>
    <row r="901" spans="1:30" ht="30" customHeight="1" x14ac:dyDescent="0.3">
      <c r="A901" s="76"/>
      <c r="B901" s="78"/>
      <c r="C901" s="78"/>
      <c r="D901" s="78"/>
      <c r="E901" s="79"/>
      <c r="F901" s="78"/>
      <c r="G901" s="78"/>
      <c r="H901" s="78"/>
      <c r="I901" s="78"/>
      <c r="J901" s="78"/>
      <c r="K901" s="110"/>
      <c r="L901" s="110"/>
      <c r="M901" s="78"/>
      <c r="N901" s="78"/>
      <c r="O901" s="117"/>
      <c r="P901" s="114" t="e">
        <f t="shared" si="12"/>
        <v>#N/A</v>
      </c>
      <c r="Q901" s="77" t="e">
        <f>VLOOKUP($B901,'Component List'!$A$2:$B$30,2,FALSE)</f>
        <v>#N/A</v>
      </c>
      <c r="R901" s="77" t="e">
        <f>VLOOKUP($C901,'Component List'!C$2:D$28,2,FALSE)</f>
        <v>#N/A</v>
      </c>
      <c r="S901" s="77" t="e">
        <f>VLOOKUP($D901,'Component List'!E$2:F$30,2,FALSE)</f>
        <v>#N/A</v>
      </c>
      <c r="T901" s="77" t="e">
        <f>VLOOKUP($E901,'Component List'!G$2:H$30,2,FALSE)</f>
        <v>#N/A</v>
      </c>
      <c r="U901" s="77" t="e">
        <f>VLOOKUP($F901,'Component List'!I$2:J$30,2,FALSE)</f>
        <v>#N/A</v>
      </c>
      <c r="V901" s="77" t="e">
        <f>VLOOKUP(G901,'Component List'!K$2:L$30,2,FALSE)</f>
        <v>#N/A</v>
      </c>
      <c r="W901" s="77" t="e">
        <f>VLOOKUP(H901,'Component List'!M$2:N$31,2,FALSE)</f>
        <v>#N/A</v>
      </c>
      <c r="X901" s="77" t="e">
        <f>VLOOKUP(I901,'Component List'!O$2:P$30,2,FALSE)</f>
        <v>#N/A</v>
      </c>
      <c r="Y901" s="77" t="e">
        <f>VLOOKUP(J901,'Component List'!Q$2:R$30,2,FALSE)</f>
        <v>#N/A</v>
      </c>
      <c r="Z901" s="77" t="e">
        <f>VLOOKUP(K901,'Component List'!S$2:T$30,2,FALSE)</f>
        <v>#N/A</v>
      </c>
      <c r="AA901" s="77" t="e">
        <f>VLOOKUP(L901,'Component List'!U$2:V$30,2,FALSE)</f>
        <v>#N/A</v>
      </c>
      <c r="AB901" s="77" t="e">
        <f>VLOOKUP(M901,'Component List'!AA$2:AB$30,2,FALSE)</f>
        <v>#N/A</v>
      </c>
      <c r="AC901" s="77" t="e">
        <f>VLOOKUP(N901,'Component List'!Y$2:Z$30,2,FALSE)</f>
        <v>#N/A</v>
      </c>
      <c r="AD901" s="77" t="e">
        <f>VLOOKUP(O901,'Component List'!W$3:X$30,2,FALSE)</f>
        <v>#N/A</v>
      </c>
    </row>
    <row r="902" spans="1:30" ht="30" customHeight="1" x14ac:dyDescent="0.3">
      <c r="A902" s="76"/>
      <c r="B902" s="78"/>
      <c r="C902" s="78"/>
      <c r="D902" s="78"/>
      <c r="E902" s="79"/>
      <c r="F902" s="78"/>
      <c r="G902" s="78"/>
      <c r="H902" s="78"/>
      <c r="I902" s="78"/>
      <c r="J902" s="78"/>
      <c r="K902" s="110"/>
      <c r="L902" s="110"/>
      <c r="M902" s="78"/>
      <c r="N902" s="78"/>
      <c r="O902" s="117"/>
      <c r="P902" s="114" t="e">
        <f t="shared" si="12"/>
        <v>#N/A</v>
      </c>
      <c r="Q902" s="77" t="e">
        <f>VLOOKUP($B902,'Component List'!$A$2:$B$30,2,FALSE)</f>
        <v>#N/A</v>
      </c>
      <c r="R902" s="77" t="e">
        <f>VLOOKUP($C902,'Component List'!C$2:D$28,2,FALSE)</f>
        <v>#N/A</v>
      </c>
      <c r="S902" s="77" t="e">
        <f>VLOOKUP($D902,'Component List'!E$2:F$30,2,FALSE)</f>
        <v>#N/A</v>
      </c>
      <c r="T902" s="77" t="e">
        <f>VLOOKUP($E902,'Component List'!G$2:H$30,2,FALSE)</f>
        <v>#N/A</v>
      </c>
      <c r="U902" s="77" t="e">
        <f>VLOOKUP($F902,'Component List'!I$2:J$30,2,FALSE)</f>
        <v>#N/A</v>
      </c>
      <c r="V902" s="77" t="e">
        <f>VLOOKUP(G902,'Component List'!K$2:L$30,2,FALSE)</f>
        <v>#N/A</v>
      </c>
      <c r="W902" s="77" t="e">
        <f>VLOOKUP(H902,'Component List'!M$2:N$31,2,FALSE)</f>
        <v>#N/A</v>
      </c>
      <c r="X902" s="77" t="e">
        <f>VLOOKUP(I902,'Component List'!O$2:P$30,2,FALSE)</f>
        <v>#N/A</v>
      </c>
      <c r="Y902" s="77" t="e">
        <f>VLOOKUP(J902,'Component List'!Q$2:R$30,2,FALSE)</f>
        <v>#N/A</v>
      </c>
      <c r="Z902" s="77" t="e">
        <f>VLOOKUP(K902,'Component List'!S$2:T$30,2,FALSE)</f>
        <v>#N/A</v>
      </c>
      <c r="AA902" s="77" t="e">
        <f>VLOOKUP(L902,'Component List'!U$2:V$30,2,FALSE)</f>
        <v>#N/A</v>
      </c>
      <c r="AB902" s="77" t="e">
        <f>VLOOKUP(M902,'Component List'!AA$2:AB$30,2,FALSE)</f>
        <v>#N/A</v>
      </c>
      <c r="AC902" s="77" t="e">
        <f>VLOOKUP(N902,'Component List'!Y$2:Z$30,2,FALSE)</f>
        <v>#N/A</v>
      </c>
      <c r="AD902" s="77" t="e">
        <f>VLOOKUP(O902,'Component List'!W$3:X$30,2,FALSE)</f>
        <v>#N/A</v>
      </c>
    </row>
    <row r="903" spans="1:30" ht="30" customHeight="1" x14ac:dyDescent="0.3">
      <c r="A903" s="76"/>
      <c r="B903" s="78"/>
      <c r="C903" s="78"/>
      <c r="D903" s="78"/>
      <c r="E903" s="79"/>
      <c r="F903" s="78"/>
      <c r="G903" s="78"/>
      <c r="H903" s="78"/>
      <c r="I903" s="78"/>
      <c r="J903" s="78"/>
      <c r="K903" s="110"/>
      <c r="L903" s="110"/>
      <c r="M903" s="78"/>
      <c r="N903" s="78"/>
      <c r="O903" s="117"/>
      <c r="P903" s="114" t="e">
        <f t="shared" si="12"/>
        <v>#N/A</v>
      </c>
      <c r="Q903" s="77" t="e">
        <f>VLOOKUP($B903,'Component List'!$A$2:$B$30,2,FALSE)</f>
        <v>#N/A</v>
      </c>
      <c r="R903" s="77" t="e">
        <f>VLOOKUP($C903,'Component List'!C$2:D$28,2,FALSE)</f>
        <v>#N/A</v>
      </c>
      <c r="S903" s="77" t="e">
        <f>VLOOKUP($D903,'Component List'!E$2:F$30,2,FALSE)</f>
        <v>#N/A</v>
      </c>
      <c r="T903" s="77" t="e">
        <f>VLOOKUP($E903,'Component List'!G$2:H$30,2,FALSE)</f>
        <v>#N/A</v>
      </c>
      <c r="U903" s="77" t="e">
        <f>VLOOKUP($F903,'Component List'!I$2:J$30,2,FALSE)</f>
        <v>#N/A</v>
      </c>
      <c r="V903" s="77" t="e">
        <f>VLOOKUP(G903,'Component List'!K$2:L$30,2,FALSE)</f>
        <v>#N/A</v>
      </c>
      <c r="W903" s="77" t="e">
        <f>VLOOKUP(H903,'Component List'!M$2:N$31,2,FALSE)</f>
        <v>#N/A</v>
      </c>
      <c r="X903" s="77" t="e">
        <f>VLOOKUP(I903,'Component List'!O$2:P$30,2,FALSE)</f>
        <v>#N/A</v>
      </c>
      <c r="Y903" s="77" t="e">
        <f>VLOOKUP(J903,'Component List'!Q$2:R$30,2,FALSE)</f>
        <v>#N/A</v>
      </c>
      <c r="Z903" s="77" t="e">
        <f>VLOOKUP(K903,'Component List'!S$2:T$30,2,FALSE)</f>
        <v>#N/A</v>
      </c>
      <c r="AA903" s="77" t="e">
        <f>VLOOKUP(L903,'Component List'!U$2:V$30,2,FALSE)</f>
        <v>#N/A</v>
      </c>
      <c r="AB903" s="77" t="e">
        <f>VLOOKUP(M903,'Component List'!AA$2:AB$30,2,FALSE)</f>
        <v>#N/A</v>
      </c>
      <c r="AC903" s="77" t="e">
        <f>VLOOKUP(N903,'Component List'!Y$2:Z$30,2,FALSE)</f>
        <v>#N/A</v>
      </c>
      <c r="AD903" s="77" t="e">
        <f>VLOOKUP(O903,'Component List'!W$3:X$30,2,FALSE)</f>
        <v>#N/A</v>
      </c>
    </row>
    <row r="904" spans="1:30" ht="30" customHeight="1" x14ac:dyDescent="0.3">
      <c r="A904" s="76"/>
      <c r="B904" s="78"/>
      <c r="C904" s="78"/>
      <c r="D904" s="78"/>
      <c r="E904" s="79"/>
      <c r="F904" s="78"/>
      <c r="G904" s="78"/>
      <c r="H904" s="78"/>
      <c r="I904" s="78"/>
      <c r="J904" s="78"/>
      <c r="K904" s="110"/>
      <c r="L904" s="110"/>
      <c r="M904" s="78"/>
      <c r="N904" s="78"/>
      <c r="O904" s="117"/>
      <c r="P904" s="114" t="e">
        <f t="shared" si="12"/>
        <v>#N/A</v>
      </c>
      <c r="Q904" s="77" t="e">
        <f>VLOOKUP($B904,'Component List'!$A$2:$B$30,2,FALSE)</f>
        <v>#N/A</v>
      </c>
      <c r="R904" s="77" t="e">
        <f>VLOOKUP($C904,'Component List'!C$2:D$28,2,FALSE)</f>
        <v>#N/A</v>
      </c>
      <c r="S904" s="77" t="e">
        <f>VLOOKUP($D904,'Component List'!E$2:F$30,2,FALSE)</f>
        <v>#N/A</v>
      </c>
      <c r="T904" s="77" t="e">
        <f>VLOOKUP($E904,'Component List'!G$2:H$30,2,FALSE)</f>
        <v>#N/A</v>
      </c>
      <c r="U904" s="77" t="e">
        <f>VLOOKUP($F904,'Component List'!I$2:J$30,2,FALSE)</f>
        <v>#N/A</v>
      </c>
      <c r="V904" s="77" t="e">
        <f>VLOOKUP(G904,'Component List'!K$2:L$30,2,FALSE)</f>
        <v>#N/A</v>
      </c>
      <c r="W904" s="77" t="e">
        <f>VLOOKUP(H904,'Component List'!M$2:N$31,2,FALSE)</f>
        <v>#N/A</v>
      </c>
      <c r="X904" s="77" t="e">
        <f>VLOOKUP(I904,'Component List'!O$2:P$30,2,FALSE)</f>
        <v>#N/A</v>
      </c>
      <c r="Y904" s="77" t="e">
        <f>VLOOKUP(J904,'Component List'!Q$2:R$30,2,FALSE)</f>
        <v>#N/A</v>
      </c>
      <c r="Z904" s="77" t="e">
        <f>VLOOKUP(K904,'Component List'!S$2:T$30,2,FALSE)</f>
        <v>#N/A</v>
      </c>
      <c r="AA904" s="77" t="e">
        <f>VLOOKUP(L904,'Component List'!U$2:V$30,2,FALSE)</f>
        <v>#N/A</v>
      </c>
      <c r="AB904" s="77" t="e">
        <f>VLOOKUP(M904,'Component List'!AA$2:AB$30,2,FALSE)</f>
        <v>#N/A</v>
      </c>
      <c r="AC904" s="77" t="e">
        <f>VLOOKUP(N904,'Component List'!Y$2:Z$30,2,FALSE)</f>
        <v>#N/A</v>
      </c>
      <c r="AD904" s="77" t="e">
        <f>VLOOKUP(O904,'Component List'!W$3:X$30,2,FALSE)</f>
        <v>#N/A</v>
      </c>
    </row>
    <row r="905" spans="1:30" ht="30" customHeight="1" x14ac:dyDescent="0.3">
      <c r="A905" s="76"/>
      <c r="B905" s="78"/>
      <c r="C905" s="78"/>
      <c r="D905" s="78"/>
      <c r="E905" s="79"/>
      <c r="F905" s="78"/>
      <c r="G905" s="78"/>
      <c r="H905" s="78"/>
      <c r="I905" s="78"/>
      <c r="J905" s="78"/>
      <c r="K905" s="110"/>
      <c r="L905" s="110"/>
      <c r="M905" s="78"/>
      <c r="N905" s="78"/>
      <c r="O905" s="117"/>
      <c r="P905" s="114" t="e">
        <f t="shared" si="12"/>
        <v>#N/A</v>
      </c>
      <c r="Q905" s="77" t="e">
        <f>VLOOKUP($B905,'Component List'!$A$2:$B$30,2,FALSE)</f>
        <v>#N/A</v>
      </c>
      <c r="R905" s="77" t="e">
        <f>VLOOKUP($C905,'Component List'!C$2:D$28,2,FALSE)</f>
        <v>#N/A</v>
      </c>
      <c r="S905" s="77" t="e">
        <f>VLOOKUP($D905,'Component List'!E$2:F$30,2,FALSE)</f>
        <v>#N/A</v>
      </c>
      <c r="T905" s="77" t="e">
        <f>VLOOKUP($E905,'Component List'!G$2:H$30,2,FALSE)</f>
        <v>#N/A</v>
      </c>
      <c r="U905" s="77" t="e">
        <f>VLOOKUP($F905,'Component List'!I$2:J$30,2,FALSE)</f>
        <v>#N/A</v>
      </c>
      <c r="V905" s="77" t="e">
        <f>VLOOKUP(G905,'Component List'!K$2:L$30,2,FALSE)</f>
        <v>#N/A</v>
      </c>
      <c r="W905" s="77" t="e">
        <f>VLOOKUP(H905,'Component List'!M$2:N$31,2,FALSE)</f>
        <v>#N/A</v>
      </c>
      <c r="X905" s="77" t="e">
        <f>VLOOKUP(I905,'Component List'!O$2:P$30,2,FALSE)</f>
        <v>#N/A</v>
      </c>
      <c r="Y905" s="77" t="e">
        <f>VLOOKUP(J905,'Component List'!Q$2:R$30,2,FALSE)</f>
        <v>#N/A</v>
      </c>
      <c r="Z905" s="77" t="e">
        <f>VLOOKUP(K905,'Component List'!S$2:T$30,2,FALSE)</f>
        <v>#N/A</v>
      </c>
      <c r="AA905" s="77" t="e">
        <f>VLOOKUP(L905,'Component List'!U$2:V$30,2,FALSE)</f>
        <v>#N/A</v>
      </c>
      <c r="AB905" s="77" t="e">
        <f>VLOOKUP(M905,'Component List'!AA$2:AB$30,2,FALSE)</f>
        <v>#N/A</v>
      </c>
      <c r="AC905" s="77" t="e">
        <f>VLOOKUP(N905,'Component List'!Y$2:Z$30,2,FALSE)</f>
        <v>#N/A</v>
      </c>
      <c r="AD905" s="77" t="e">
        <f>VLOOKUP(O905,'Component List'!W$3:X$30,2,FALSE)</f>
        <v>#N/A</v>
      </c>
    </row>
    <row r="906" spans="1:30" ht="30" customHeight="1" x14ac:dyDescent="0.3">
      <c r="A906" s="76"/>
      <c r="B906" s="78"/>
      <c r="C906" s="78"/>
      <c r="D906" s="78"/>
      <c r="E906" s="79"/>
      <c r="F906" s="78"/>
      <c r="G906" s="78"/>
      <c r="H906" s="78"/>
      <c r="I906" s="78"/>
      <c r="J906" s="78"/>
      <c r="K906" s="110"/>
      <c r="L906" s="110"/>
      <c r="M906" s="78"/>
      <c r="N906" s="78"/>
      <c r="O906" s="117"/>
      <c r="P906" s="114" t="e">
        <f t="shared" si="12"/>
        <v>#N/A</v>
      </c>
      <c r="Q906" s="77" t="e">
        <f>VLOOKUP($B906,'Component List'!$A$2:$B$30,2,FALSE)</f>
        <v>#N/A</v>
      </c>
      <c r="R906" s="77" t="e">
        <f>VLOOKUP($C906,'Component List'!C$2:D$28,2,FALSE)</f>
        <v>#N/A</v>
      </c>
      <c r="S906" s="77" t="e">
        <f>VLOOKUP($D906,'Component List'!E$2:F$30,2,FALSE)</f>
        <v>#N/A</v>
      </c>
      <c r="T906" s="77" t="e">
        <f>VLOOKUP($E906,'Component List'!G$2:H$30,2,FALSE)</f>
        <v>#N/A</v>
      </c>
      <c r="U906" s="77" t="e">
        <f>VLOOKUP($F906,'Component List'!I$2:J$30,2,FALSE)</f>
        <v>#N/A</v>
      </c>
      <c r="V906" s="77" t="e">
        <f>VLOOKUP(G906,'Component List'!K$2:L$30,2,FALSE)</f>
        <v>#N/A</v>
      </c>
      <c r="W906" s="77" t="e">
        <f>VLOOKUP(H906,'Component List'!M$2:N$31,2,FALSE)</f>
        <v>#N/A</v>
      </c>
      <c r="X906" s="77" t="e">
        <f>VLOOKUP(I906,'Component List'!O$2:P$30,2,FALSE)</f>
        <v>#N/A</v>
      </c>
      <c r="Y906" s="77" t="e">
        <f>VLOOKUP(J906,'Component List'!Q$2:R$30,2,FALSE)</f>
        <v>#N/A</v>
      </c>
      <c r="Z906" s="77" t="e">
        <f>VLOOKUP(K906,'Component List'!S$2:T$30,2,FALSE)</f>
        <v>#N/A</v>
      </c>
      <c r="AA906" s="77" t="e">
        <f>VLOOKUP(L906,'Component List'!U$2:V$30,2,FALSE)</f>
        <v>#N/A</v>
      </c>
      <c r="AB906" s="77" t="e">
        <f>VLOOKUP(M906,'Component List'!AA$2:AB$30,2,FALSE)</f>
        <v>#N/A</v>
      </c>
      <c r="AC906" s="77" t="e">
        <f>VLOOKUP(N906,'Component List'!Y$2:Z$30,2,FALSE)</f>
        <v>#N/A</v>
      </c>
      <c r="AD906" s="77" t="e">
        <f>VLOOKUP(O906,'Component List'!W$3:X$30,2,FALSE)</f>
        <v>#N/A</v>
      </c>
    </row>
    <row r="907" spans="1:30" ht="30" customHeight="1" x14ac:dyDescent="0.3">
      <c r="A907" s="76"/>
      <c r="B907" s="78"/>
      <c r="C907" s="78"/>
      <c r="D907" s="78"/>
      <c r="E907" s="79"/>
      <c r="F907" s="78"/>
      <c r="G907" s="78"/>
      <c r="H907" s="78"/>
      <c r="I907" s="78"/>
      <c r="J907" s="78"/>
      <c r="K907" s="110"/>
      <c r="L907" s="110"/>
      <c r="M907" s="78"/>
      <c r="N907" s="78"/>
      <c r="O907" s="117"/>
      <c r="P907" s="114" t="e">
        <f t="shared" si="12"/>
        <v>#N/A</v>
      </c>
      <c r="Q907" s="77" t="e">
        <f>VLOOKUP($B907,'Component List'!$A$2:$B$30,2,FALSE)</f>
        <v>#N/A</v>
      </c>
      <c r="R907" s="77" t="e">
        <f>VLOOKUP($C907,'Component List'!C$2:D$28,2,FALSE)</f>
        <v>#N/A</v>
      </c>
      <c r="S907" s="77" t="e">
        <f>VLOOKUP($D907,'Component List'!E$2:F$30,2,FALSE)</f>
        <v>#N/A</v>
      </c>
      <c r="T907" s="77" t="e">
        <f>VLOOKUP($E907,'Component List'!G$2:H$30,2,FALSE)</f>
        <v>#N/A</v>
      </c>
      <c r="U907" s="77" t="e">
        <f>VLOOKUP($F907,'Component List'!I$2:J$30,2,FALSE)</f>
        <v>#N/A</v>
      </c>
      <c r="V907" s="77" t="e">
        <f>VLOOKUP(G907,'Component List'!K$2:L$30,2,FALSE)</f>
        <v>#N/A</v>
      </c>
      <c r="W907" s="77" t="e">
        <f>VLOOKUP(H907,'Component List'!M$2:N$31,2,FALSE)</f>
        <v>#N/A</v>
      </c>
      <c r="X907" s="77" t="e">
        <f>VLOOKUP(I907,'Component List'!O$2:P$30,2,FALSE)</f>
        <v>#N/A</v>
      </c>
      <c r="Y907" s="77" t="e">
        <f>VLOOKUP(J907,'Component List'!Q$2:R$30,2,FALSE)</f>
        <v>#N/A</v>
      </c>
      <c r="Z907" s="77" t="e">
        <f>VLOOKUP(K907,'Component List'!S$2:T$30,2,FALSE)</f>
        <v>#N/A</v>
      </c>
      <c r="AA907" s="77" t="e">
        <f>VLOOKUP(L907,'Component List'!U$2:V$30,2,FALSE)</f>
        <v>#N/A</v>
      </c>
      <c r="AB907" s="77" t="e">
        <f>VLOOKUP(M907,'Component List'!AA$2:AB$30,2,FALSE)</f>
        <v>#N/A</v>
      </c>
      <c r="AC907" s="77" t="e">
        <f>VLOOKUP(N907,'Component List'!Y$2:Z$30,2,FALSE)</f>
        <v>#N/A</v>
      </c>
      <c r="AD907" s="77" t="e">
        <f>VLOOKUP(O907,'Component List'!W$3:X$30,2,FALSE)</f>
        <v>#N/A</v>
      </c>
    </row>
    <row r="908" spans="1:30" ht="30" customHeight="1" x14ac:dyDescent="0.3">
      <c r="A908" s="76"/>
      <c r="B908" s="78"/>
      <c r="C908" s="78"/>
      <c r="D908" s="78"/>
      <c r="E908" s="79"/>
      <c r="F908" s="78"/>
      <c r="G908" s="78"/>
      <c r="H908" s="78"/>
      <c r="I908" s="78"/>
      <c r="J908" s="78"/>
      <c r="K908" s="110"/>
      <c r="L908" s="110"/>
      <c r="M908" s="78"/>
      <c r="N908" s="78"/>
      <c r="O908" s="117"/>
      <c r="P908" s="114" t="e">
        <f t="shared" si="12"/>
        <v>#N/A</v>
      </c>
      <c r="Q908" s="77" t="e">
        <f>VLOOKUP($B908,'Component List'!$A$2:$B$30,2,FALSE)</f>
        <v>#N/A</v>
      </c>
      <c r="R908" s="77" t="e">
        <f>VLOOKUP($C908,'Component List'!C$2:D$28,2,FALSE)</f>
        <v>#N/A</v>
      </c>
      <c r="S908" s="77" t="e">
        <f>VLOOKUP($D908,'Component List'!E$2:F$30,2,FALSE)</f>
        <v>#N/A</v>
      </c>
      <c r="T908" s="77" t="e">
        <f>VLOOKUP($E908,'Component List'!G$2:H$30,2,FALSE)</f>
        <v>#N/A</v>
      </c>
      <c r="U908" s="77" t="e">
        <f>VLOOKUP($F908,'Component List'!I$2:J$30,2,FALSE)</f>
        <v>#N/A</v>
      </c>
      <c r="V908" s="77" t="e">
        <f>VLOOKUP(G908,'Component List'!K$2:L$30,2,FALSE)</f>
        <v>#N/A</v>
      </c>
      <c r="W908" s="77" t="e">
        <f>VLOOKUP(H908,'Component List'!M$2:N$31,2,FALSE)</f>
        <v>#N/A</v>
      </c>
      <c r="X908" s="77" t="e">
        <f>VLOOKUP(I908,'Component List'!O$2:P$30,2,FALSE)</f>
        <v>#N/A</v>
      </c>
      <c r="Y908" s="77" t="e">
        <f>VLOOKUP(J908,'Component List'!Q$2:R$30,2,FALSE)</f>
        <v>#N/A</v>
      </c>
      <c r="Z908" s="77" t="e">
        <f>VLOOKUP(K908,'Component List'!S$2:T$30,2,FALSE)</f>
        <v>#N/A</v>
      </c>
      <c r="AA908" s="77" t="e">
        <f>VLOOKUP(L908,'Component List'!U$2:V$30,2,FALSE)</f>
        <v>#N/A</v>
      </c>
      <c r="AB908" s="77" t="e">
        <f>VLOOKUP(M908,'Component List'!AA$2:AB$30,2,FALSE)</f>
        <v>#N/A</v>
      </c>
      <c r="AC908" s="77" t="e">
        <f>VLOOKUP(N908,'Component List'!Y$2:Z$30,2,FALSE)</f>
        <v>#N/A</v>
      </c>
      <c r="AD908" s="77" t="e">
        <f>VLOOKUP(O908,'Component List'!W$3:X$30,2,FALSE)</f>
        <v>#N/A</v>
      </c>
    </row>
    <row r="909" spans="1:30" ht="30" customHeight="1" x14ac:dyDescent="0.3">
      <c r="A909" s="76"/>
      <c r="B909" s="78"/>
      <c r="C909" s="78"/>
      <c r="D909" s="78"/>
      <c r="E909" s="79"/>
      <c r="F909" s="78"/>
      <c r="G909" s="78"/>
      <c r="H909" s="78"/>
      <c r="I909" s="78"/>
      <c r="J909" s="78"/>
      <c r="K909" s="110"/>
      <c r="L909" s="110"/>
      <c r="M909" s="78"/>
      <c r="N909" s="78"/>
      <c r="O909" s="117"/>
      <c r="P909" s="114" t="e">
        <f t="shared" ref="P909:P972" si="13">Q909&amp;R909&amp;S909&amp;T909&amp;U909&amp;V909&amp;W909&amp;X909&amp;Y909&amp;Z909&amp;AA909&amp;AD909&amp;AC909&amp;AB909</f>
        <v>#N/A</v>
      </c>
      <c r="Q909" s="77" t="e">
        <f>VLOOKUP($B909,'Component List'!$A$2:$B$30,2,FALSE)</f>
        <v>#N/A</v>
      </c>
      <c r="R909" s="77" t="e">
        <f>VLOOKUP($C909,'Component List'!C$2:D$28,2,FALSE)</f>
        <v>#N/A</v>
      </c>
      <c r="S909" s="77" t="e">
        <f>VLOOKUP($D909,'Component List'!E$2:F$30,2,FALSE)</f>
        <v>#N/A</v>
      </c>
      <c r="T909" s="77" t="e">
        <f>VLOOKUP($E909,'Component List'!G$2:H$30,2,FALSE)</f>
        <v>#N/A</v>
      </c>
      <c r="U909" s="77" t="e">
        <f>VLOOKUP($F909,'Component List'!I$2:J$30,2,FALSE)</f>
        <v>#N/A</v>
      </c>
      <c r="V909" s="77" t="e">
        <f>VLOOKUP(G909,'Component List'!K$2:L$30,2,FALSE)</f>
        <v>#N/A</v>
      </c>
      <c r="W909" s="77" t="e">
        <f>VLOOKUP(H909,'Component List'!M$2:N$31,2,FALSE)</f>
        <v>#N/A</v>
      </c>
      <c r="X909" s="77" t="e">
        <f>VLOOKUP(I909,'Component List'!O$2:P$30,2,FALSE)</f>
        <v>#N/A</v>
      </c>
      <c r="Y909" s="77" t="e">
        <f>VLOOKUP(J909,'Component List'!Q$2:R$30,2,FALSE)</f>
        <v>#N/A</v>
      </c>
      <c r="Z909" s="77" t="e">
        <f>VLOOKUP(K909,'Component List'!S$2:T$30,2,FALSE)</f>
        <v>#N/A</v>
      </c>
      <c r="AA909" s="77" t="e">
        <f>VLOOKUP(L909,'Component List'!U$2:V$30,2,FALSE)</f>
        <v>#N/A</v>
      </c>
      <c r="AB909" s="77" t="e">
        <f>VLOOKUP(M909,'Component List'!AA$2:AB$30,2,FALSE)</f>
        <v>#N/A</v>
      </c>
      <c r="AC909" s="77" t="e">
        <f>VLOOKUP(N909,'Component List'!Y$2:Z$30,2,FALSE)</f>
        <v>#N/A</v>
      </c>
      <c r="AD909" s="77" t="e">
        <f>VLOOKUP(O909,'Component List'!W$3:X$30,2,FALSE)</f>
        <v>#N/A</v>
      </c>
    </row>
    <row r="910" spans="1:30" ht="30" customHeight="1" x14ac:dyDescent="0.3">
      <c r="A910" s="76"/>
      <c r="B910" s="78"/>
      <c r="C910" s="78"/>
      <c r="D910" s="78"/>
      <c r="E910" s="79"/>
      <c r="F910" s="78"/>
      <c r="G910" s="78"/>
      <c r="H910" s="78"/>
      <c r="I910" s="78"/>
      <c r="J910" s="78"/>
      <c r="K910" s="110"/>
      <c r="L910" s="110"/>
      <c r="M910" s="78"/>
      <c r="N910" s="78"/>
      <c r="O910" s="117"/>
      <c r="P910" s="114" t="e">
        <f t="shared" si="13"/>
        <v>#N/A</v>
      </c>
      <c r="Q910" s="77" t="e">
        <f>VLOOKUP($B910,'Component List'!$A$2:$B$30,2,FALSE)</f>
        <v>#N/A</v>
      </c>
      <c r="R910" s="77" t="e">
        <f>VLOOKUP($C910,'Component List'!C$2:D$28,2,FALSE)</f>
        <v>#N/A</v>
      </c>
      <c r="S910" s="77" t="e">
        <f>VLOOKUP($D910,'Component List'!E$2:F$30,2,FALSE)</f>
        <v>#N/A</v>
      </c>
      <c r="T910" s="77" t="e">
        <f>VLOOKUP($E910,'Component List'!G$2:H$30,2,FALSE)</f>
        <v>#N/A</v>
      </c>
      <c r="U910" s="77" t="e">
        <f>VLOOKUP($F910,'Component List'!I$2:J$30,2,FALSE)</f>
        <v>#N/A</v>
      </c>
      <c r="V910" s="77" t="e">
        <f>VLOOKUP(G910,'Component List'!K$2:L$30,2,FALSE)</f>
        <v>#N/A</v>
      </c>
      <c r="W910" s="77" t="e">
        <f>VLOOKUP(H910,'Component List'!M$2:N$31,2,FALSE)</f>
        <v>#N/A</v>
      </c>
      <c r="X910" s="77" t="e">
        <f>VLOOKUP(I910,'Component List'!O$2:P$30,2,FALSE)</f>
        <v>#N/A</v>
      </c>
      <c r="Y910" s="77" t="e">
        <f>VLOOKUP(J910,'Component List'!Q$2:R$30,2,FALSE)</f>
        <v>#N/A</v>
      </c>
      <c r="Z910" s="77" t="e">
        <f>VLOOKUP(K910,'Component List'!S$2:T$30,2,FALSE)</f>
        <v>#N/A</v>
      </c>
      <c r="AA910" s="77" t="e">
        <f>VLOOKUP(L910,'Component List'!U$2:V$30,2,FALSE)</f>
        <v>#N/A</v>
      </c>
      <c r="AB910" s="77" t="e">
        <f>VLOOKUP(M910,'Component List'!AA$2:AB$30,2,FALSE)</f>
        <v>#N/A</v>
      </c>
      <c r="AC910" s="77" t="e">
        <f>VLOOKUP(N910,'Component List'!Y$2:Z$30,2,FALSE)</f>
        <v>#N/A</v>
      </c>
      <c r="AD910" s="77" t="e">
        <f>VLOOKUP(O910,'Component List'!W$3:X$30,2,FALSE)</f>
        <v>#N/A</v>
      </c>
    </row>
    <row r="911" spans="1:30" ht="30" customHeight="1" x14ac:dyDescent="0.3">
      <c r="A911" s="76"/>
      <c r="B911" s="78"/>
      <c r="C911" s="78"/>
      <c r="D911" s="78"/>
      <c r="E911" s="79"/>
      <c r="F911" s="78"/>
      <c r="G911" s="78"/>
      <c r="H911" s="78"/>
      <c r="I911" s="78"/>
      <c r="J911" s="78"/>
      <c r="K911" s="110"/>
      <c r="L911" s="110"/>
      <c r="M911" s="78"/>
      <c r="N911" s="78"/>
      <c r="O911" s="117"/>
      <c r="P911" s="114" t="e">
        <f t="shared" si="13"/>
        <v>#N/A</v>
      </c>
      <c r="Q911" s="77" t="e">
        <f>VLOOKUP($B911,'Component List'!$A$2:$B$30,2,FALSE)</f>
        <v>#N/A</v>
      </c>
      <c r="R911" s="77" t="e">
        <f>VLOOKUP($C911,'Component List'!C$2:D$28,2,FALSE)</f>
        <v>#N/A</v>
      </c>
      <c r="S911" s="77" t="e">
        <f>VLOOKUP($D911,'Component List'!E$2:F$30,2,FALSE)</f>
        <v>#N/A</v>
      </c>
      <c r="T911" s="77" t="e">
        <f>VLOOKUP($E911,'Component List'!G$2:H$30,2,FALSE)</f>
        <v>#N/A</v>
      </c>
      <c r="U911" s="77" t="e">
        <f>VLOOKUP($F911,'Component List'!I$2:J$30,2,FALSE)</f>
        <v>#N/A</v>
      </c>
      <c r="V911" s="77" t="e">
        <f>VLOOKUP(G911,'Component List'!K$2:L$30,2,FALSE)</f>
        <v>#N/A</v>
      </c>
      <c r="W911" s="77" t="e">
        <f>VLOOKUP(H911,'Component List'!M$2:N$31,2,FALSE)</f>
        <v>#N/A</v>
      </c>
      <c r="X911" s="77" t="e">
        <f>VLOOKUP(I911,'Component List'!O$2:P$30,2,FALSE)</f>
        <v>#N/A</v>
      </c>
      <c r="Y911" s="77" t="e">
        <f>VLOOKUP(J911,'Component List'!Q$2:R$30,2,FALSE)</f>
        <v>#N/A</v>
      </c>
      <c r="Z911" s="77" t="e">
        <f>VLOOKUP(K911,'Component List'!S$2:T$30,2,FALSE)</f>
        <v>#N/A</v>
      </c>
      <c r="AA911" s="77" t="e">
        <f>VLOOKUP(L911,'Component List'!U$2:V$30,2,FALSE)</f>
        <v>#N/A</v>
      </c>
      <c r="AB911" s="77" t="e">
        <f>VLOOKUP(M911,'Component List'!AA$2:AB$30,2,FALSE)</f>
        <v>#N/A</v>
      </c>
      <c r="AC911" s="77" t="e">
        <f>VLOOKUP(N911,'Component List'!Y$2:Z$30,2,FALSE)</f>
        <v>#N/A</v>
      </c>
      <c r="AD911" s="77" t="e">
        <f>VLOOKUP(O911,'Component List'!W$3:X$30,2,FALSE)</f>
        <v>#N/A</v>
      </c>
    </row>
    <row r="912" spans="1:30" ht="30" customHeight="1" x14ac:dyDescent="0.3">
      <c r="A912" s="76"/>
      <c r="B912" s="78"/>
      <c r="C912" s="78"/>
      <c r="D912" s="78"/>
      <c r="E912" s="79"/>
      <c r="F912" s="78"/>
      <c r="G912" s="78"/>
      <c r="H912" s="78"/>
      <c r="I912" s="78"/>
      <c r="J912" s="78"/>
      <c r="K912" s="110"/>
      <c r="L912" s="110"/>
      <c r="M912" s="78"/>
      <c r="N912" s="78"/>
      <c r="O912" s="117"/>
      <c r="P912" s="114" t="e">
        <f t="shared" si="13"/>
        <v>#N/A</v>
      </c>
      <c r="Q912" s="77" t="e">
        <f>VLOOKUP($B912,'Component List'!$A$2:$B$30,2,FALSE)</f>
        <v>#N/A</v>
      </c>
      <c r="R912" s="77" t="e">
        <f>VLOOKUP($C912,'Component List'!C$2:D$28,2,FALSE)</f>
        <v>#N/A</v>
      </c>
      <c r="S912" s="77" t="e">
        <f>VLOOKUP($D912,'Component List'!E$2:F$30,2,FALSE)</f>
        <v>#N/A</v>
      </c>
      <c r="T912" s="77" t="e">
        <f>VLOOKUP($E912,'Component List'!G$2:H$30,2,FALSE)</f>
        <v>#N/A</v>
      </c>
      <c r="U912" s="77" t="e">
        <f>VLOOKUP($F912,'Component List'!I$2:J$30,2,FALSE)</f>
        <v>#N/A</v>
      </c>
      <c r="V912" s="77" t="e">
        <f>VLOOKUP(G912,'Component List'!K$2:L$30,2,FALSE)</f>
        <v>#N/A</v>
      </c>
      <c r="W912" s="77" t="e">
        <f>VLOOKUP(H912,'Component List'!M$2:N$31,2,FALSE)</f>
        <v>#N/A</v>
      </c>
      <c r="X912" s="77" t="e">
        <f>VLOOKUP(I912,'Component List'!O$2:P$30,2,FALSE)</f>
        <v>#N/A</v>
      </c>
      <c r="Y912" s="77" t="e">
        <f>VLOOKUP(J912,'Component List'!Q$2:R$30,2,FALSE)</f>
        <v>#N/A</v>
      </c>
      <c r="Z912" s="77" t="e">
        <f>VLOOKUP(K912,'Component List'!S$2:T$30,2,FALSE)</f>
        <v>#N/A</v>
      </c>
      <c r="AA912" s="77" t="e">
        <f>VLOOKUP(L912,'Component List'!U$2:V$30,2,FALSE)</f>
        <v>#N/A</v>
      </c>
      <c r="AB912" s="77" t="e">
        <f>VLOOKUP(M912,'Component List'!AA$2:AB$30,2,FALSE)</f>
        <v>#N/A</v>
      </c>
      <c r="AC912" s="77" t="e">
        <f>VLOOKUP(N912,'Component List'!Y$2:Z$30,2,FALSE)</f>
        <v>#N/A</v>
      </c>
      <c r="AD912" s="77" t="e">
        <f>VLOOKUP(O912,'Component List'!W$3:X$30,2,FALSE)</f>
        <v>#N/A</v>
      </c>
    </row>
    <row r="913" spans="1:30" ht="30" customHeight="1" x14ac:dyDescent="0.3">
      <c r="A913" s="76"/>
      <c r="B913" s="78"/>
      <c r="C913" s="78"/>
      <c r="D913" s="78"/>
      <c r="E913" s="79"/>
      <c r="F913" s="78"/>
      <c r="G913" s="78"/>
      <c r="H913" s="78"/>
      <c r="I913" s="78"/>
      <c r="J913" s="78"/>
      <c r="K913" s="110"/>
      <c r="L913" s="110"/>
      <c r="M913" s="78"/>
      <c r="N913" s="78"/>
      <c r="O913" s="117"/>
      <c r="P913" s="114" t="e">
        <f t="shared" si="13"/>
        <v>#N/A</v>
      </c>
      <c r="Q913" s="77" t="e">
        <f>VLOOKUP($B913,'Component List'!$A$2:$B$30,2,FALSE)</f>
        <v>#N/A</v>
      </c>
      <c r="R913" s="77" t="e">
        <f>VLOOKUP($C913,'Component List'!C$2:D$28,2,FALSE)</f>
        <v>#N/A</v>
      </c>
      <c r="S913" s="77" t="e">
        <f>VLOOKUP($D913,'Component List'!E$2:F$30,2,FALSE)</f>
        <v>#N/A</v>
      </c>
      <c r="T913" s="77" t="e">
        <f>VLOOKUP($E913,'Component List'!G$2:H$30,2,FALSE)</f>
        <v>#N/A</v>
      </c>
      <c r="U913" s="77" t="e">
        <f>VLOOKUP($F913,'Component List'!I$2:J$30,2,FALSE)</f>
        <v>#N/A</v>
      </c>
      <c r="V913" s="77" t="e">
        <f>VLOOKUP(G913,'Component List'!K$2:L$30,2,FALSE)</f>
        <v>#N/A</v>
      </c>
      <c r="W913" s="77" t="e">
        <f>VLOOKUP(H913,'Component List'!M$2:N$31,2,FALSE)</f>
        <v>#N/A</v>
      </c>
      <c r="X913" s="77" t="e">
        <f>VLOOKUP(I913,'Component List'!O$2:P$30,2,FALSE)</f>
        <v>#N/A</v>
      </c>
      <c r="Y913" s="77" t="e">
        <f>VLOOKUP(J913,'Component List'!Q$2:R$30,2,FALSE)</f>
        <v>#N/A</v>
      </c>
      <c r="Z913" s="77" t="e">
        <f>VLOOKUP(K913,'Component List'!S$2:T$30,2,FALSE)</f>
        <v>#N/A</v>
      </c>
      <c r="AA913" s="77" t="e">
        <f>VLOOKUP(L913,'Component List'!U$2:V$30,2,FALSE)</f>
        <v>#N/A</v>
      </c>
      <c r="AB913" s="77" t="e">
        <f>VLOOKUP(M913,'Component List'!AA$2:AB$30,2,FALSE)</f>
        <v>#N/A</v>
      </c>
      <c r="AC913" s="77" t="e">
        <f>VLOOKUP(N913,'Component List'!Y$2:Z$30,2,FALSE)</f>
        <v>#N/A</v>
      </c>
      <c r="AD913" s="77" t="e">
        <f>VLOOKUP(O913,'Component List'!W$3:X$30,2,FALSE)</f>
        <v>#N/A</v>
      </c>
    </row>
    <row r="914" spans="1:30" ht="30" customHeight="1" x14ac:dyDescent="0.3">
      <c r="A914" s="76"/>
      <c r="B914" s="78"/>
      <c r="C914" s="78"/>
      <c r="D914" s="78"/>
      <c r="E914" s="79"/>
      <c r="F914" s="78"/>
      <c r="G914" s="78"/>
      <c r="H914" s="78"/>
      <c r="I914" s="78"/>
      <c r="J914" s="78"/>
      <c r="K914" s="110"/>
      <c r="L914" s="110"/>
      <c r="M914" s="78"/>
      <c r="N914" s="78"/>
      <c r="O914" s="117"/>
      <c r="P914" s="114" t="e">
        <f t="shared" si="13"/>
        <v>#N/A</v>
      </c>
      <c r="Q914" s="77" t="e">
        <f>VLOOKUP($B914,'Component List'!$A$2:$B$30,2,FALSE)</f>
        <v>#N/A</v>
      </c>
      <c r="R914" s="77" t="e">
        <f>VLOOKUP($C914,'Component List'!C$2:D$28,2,FALSE)</f>
        <v>#N/A</v>
      </c>
      <c r="S914" s="77" t="e">
        <f>VLOOKUP($D914,'Component List'!E$2:F$30,2,FALSE)</f>
        <v>#N/A</v>
      </c>
      <c r="T914" s="77" t="e">
        <f>VLOOKUP($E914,'Component List'!G$2:H$30,2,FALSE)</f>
        <v>#N/A</v>
      </c>
      <c r="U914" s="77" t="e">
        <f>VLOOKUP($F914,'Component List'!I$2:J$30,2,FALSE)</f>
        <v>#N/A</v>
      </c>
      <c r="V914" s="77" t="e">
        <f>VLOOKUP(G914,'Component List'!K$2:L$30,2,FALSE)</f>
        <v>#N/A</v>
      </c>
      <c r="W914" s="77" t="e">
        <f>VLOOKUP(H914,'Component List'!M$2:N$31,2,FALSE)</f>
        <v>#N/A</v>
      </c>
      <c r="X914" s="77" t="e">
        <f>VLOOKUP(I914,'Component List'!O$2:P$30,2,FALSE)</f>
        <v>#N/A</v>
      </c>
      <c r="Y914" s="77" t="e">
        <f>VLOOKUP(J914,'Component List'!Q$2:R$30,2,FALSE)</f>
        <v>#N/A</v>
      </c>
      <c r="Z914" s="77" t="e">
        <f>VLOOKUP(K914,'Component List'!S$2:T$30,2,FALSE)</f>
        <v>#N/A</v>
      </c>
      <c r="AA914" s="77" t="e">
        <f>VLOOKUP(L914,'Component List'!U$2:V$30,2,FALSE)</f>
        <v>#N/A</v>
      </c>
      <c r="AB914" s="77" t="e">
        <f>VLOOKUP(M914,'Component List'!AA$2:AB$30,2,FALSE)</f>
        <v>#N/A</v>
      </c>
      <c r="AC914" s="77" t="e">
        <f>VLOOKUP(N914,'Component List'!Y$2:Z$30,2,FALSE)</f>
        <v>#N/A</v>
      </c>
      <c r="AD914" s="77" t="e">
        <f>VLOOKUP(O914,'Component List'!W$3:X$30,2,FALSE)</f>
        <v>#N/A</v>
      </c>
    </row>
    <row r="915" spans="1:30" ht="30" customHeight="1" x14ac:dyDescent="0.3">
      <c r="A915" s="76"/>
      <c r="B915" s="78"/>
      <c r="C915" s="78"/>
      <c r="D915" s="78"/>
      <c r="E915" s="79"/>
      <c r="F915" s="78"/>
      <c r="G915" s="78"/>
      <c r="H915" s="78"/>
      <c r="I915" s="78"/>
      <c r="J915" s="78"/>
      <c r="K915" s="110"/>
      <c r="L915" s="110"/>
      <c r="M915" s="78"/>
      <c r="N915" s="78"/>
      <c r="O915" s="117"/>
      <c r="P915" s="114" t="e">
        <f t="shared" si="13"/>
        <v>#N/A</v>
      </c>
      <c r="Q915" s="77" t="e">
        <f>VLOOKUP($B915,'Component List'!$A$2:$B$30,2,FALSE)</f>
        <v>#N/A</v>
      </c>
      <c r="R915" s="77" t="e">
        <f>VLOOKUP($C915,'Component List'!C$2:D$28,2,FALSE)</f>
        <v>#N/A</v>
      </c>
      <c r="S915" s="77" t="e">
        <f>VLOOKUP($D915,'Component List'!E$2:F$30,2,FALSE)</f>
        <v>#N/A</v>
      </c>
      <c r="T915" s="77" t="e">
        <f>VLOOKUP($E915,'Component List'!G$2:H$30,2,FALSE)</f>
        <v>#N/A</v>
      </c>
      <c r="U915" s="77" t="e">
        <f>VLOOKUP($F915,'Component List'!I$2:J$30,2,FALSE)</f>
        <v>#N/A</v>
      </c>
      <c r="V915" s="77" t="e">
        <f>VLOOKUP(G915,'Component List'!K$2:L$30,2,FALSE)</f>
        <v>#N/A</v>
      </c>
      <c r="W915" s="77" t="e">
        <f>VLOOKUP(H915,'Component List'!M$2:N$31,2,FALSE)</f>
        <v>#N/A</v>
      </c>
      <c r="X915" s="77" t="e">
        <f>VLOOKUP(I915,'Component List'!O$2:P$30,2,FALSE)</f>
        <v>#N/A</v>
      </c>
      <c r="Y915" s="77" t="e">
        <f>VLOOKUP(J915,'Component List'!Q$2:R$30,2,FALSE)</f>
        <v>#N/A</v>
      </c>
      <c r="Z915" s="77" t="e">
        <f>VLOOKUP(K915,'Component List'!S$2:T$30,2,FALSE)</f>
        <v>#N/A</v>
      </c>
      <c r="AA915" s="77" t="e">
        <f>VLOOKUP(L915,'Component List'!U$2:V$30,2,FALSE)</f>
        <v>#N/A</v>
      </c>
      <c r="AB915" s="77" t="e">
        <f>VLOOKUP(M915,'Component List'!AA$2:AB$30,2,FALSE)</f>
        <v>#N/A</v>
      </c>
      <c r="AC915" s="77" t="e">
        <f>VLOOKUP(N915,'Component List'!Y$2:Z$30,2,FALSE)</f>
        <v>#N/A</v>
      </c>
      <c r="AD915" s="77" t="e">
        <f>VLOOKUP(O915,'Component List'!W$3:X$30,2,FALSE)</f>
        <v>#N/A</v>
      </c>
    </row>
    <row r="916" spans="1:30" ht="30" customHeight="1" x14ac:dyDescent="0.3">
      <c r="A916" s="76"/>
      <c r="B916" s="78"/>
      <c r="C916" s="78"/>
      <c r="D916" s="78"/>
      <c r="E916" s="79"/>
      <c r="F916" s="78"/>
      <c r="G916" s="78"/>
      <c r="H916" s="78"/>
      <c r="I916" s="78"/>
      <c r="J916" s="78"/>
      <c r="K916" s="110"/>
      <c r="L916" s="110"/>
      <c r="M916" s="78"/>
      <c r="N916" s="78"/>
      <c r="O916" s="117"/>
      <c r="P916" s="114" t="e">
        <f t="shared" si="13"/>
        <v>#N/A</v>
      </c>
      <c r="Q916" s="77" t="e">
        <f>VLOOKUP($B916,'Component List'!$A$2:$B$30,2,FALSE)</f>
        <v>#N/A</v>
      </c>
      <c r="R916" s="77" t="e">
        <f>VLOOKUP($C916,'Component List'!C$2:D$28,2,FALSE)</f>
        <v>#N/A</v>
      </c>
      <c r="S916" s="77" t="e">
        <f>VLOOKUP($D916,'Component List'!E$2:F$30,2,FALSE)</f>
        <v>#N/A</v>
      </c>
      <c r="T916" s="77" t="e">
        <f>VLOOKUP($E916,'Component List'!G$2:H$30,2,FALSE)</f>
        <v>#N/A</v>
      </c>
      <c r="U916" s="77" t="e">
        <f>VLOOKUP($F916,'Component List'!I$2:J$30,2,FALSE)</f>
        <v>#N/A</v>
      </c>
      <c r="V916" s="77" t="e">
        <f>VLOOKUP(G916,'Component List'!K$2:L$30,2,FALSE)</f>
        <v>#N/A</v>
      </c>
      <c r="W916" s="77" t="e">
        <f>VLOOKUP(H916,'Component List'!M$2:N$31,2,FALSE)</f>
        <v>#N/A</v>
      </c>
      <c r="X916" s="77" t="e">
        <f>VLOOKUP(I916,'Component List'!O$2:P$30,2,FALSE)</f>
        <v>#N/A</v>
      </c>
      <c r="Y916" s="77" t="e">
        <f>VLOOKUP(J916,'Component List'!Q$2:R$30,2,FALSE)</f>
        <v>#N/A</v>
      </c>
      <c r="Z916" s="77" t="e">
        <f>VLOOKUP(K916,'Component List'!S$2:T$30,2,FALSE)</f>
        <v>#N/A</v>
      </c>
      <c r="AA916" s="77" t="e">
        <f>VLOOKUP(L916,'Component List'!U$2:V$30,2,FALSE)</f>
        <v>#N/A</v>
      </c>
      <c r="AB916" s="77" t="e">
        <f>VLOOKUP(M916,'Component List'!AA$2:AB$30,2,FALSE)</f>
        <v>#N/A</v>
      </c>
      <c r="AC916" s="77" t="e">
        <f>VLOOKUP(N916,'Component List'!Y$2:Z$30,2,FALSE)</f>
        <v>#N/A</v>
      </c>
      <c r="AD916" s="77" t="e">
        <f>VLOOKUP(O916,'Component List'!W$3:X$30,2,FALSE)</f>
        <v>#N/A</v>
      </c>
    </row>
    <row r="917" spans="1:30" ht="30" customHeight="1" x14ac:dyDescent="0.3">
      <c r="A917" s="76"/>
      <c r="B917" s="78"/>
      <c r="C917" s="78"/>
      <c r="D917" s="78"/>
      <c r="E917" s="79"/>
      <c r="F917" s="78"/>
      <c r="G917" s="78"/>
      <c r="H917" s="78"/>
      <c r="I917" s="78"/>
      <c r="J917" s="78"/>
      <c r="K917" s="110"/>
      <c r="L917" s="110"/>
      <c r="M917" s="78"/>
      <c r="N917" s="78"/>
      <c r="O917" s="117"/>
      <c r="P917" s="114" t="e">
        <f t="shared" si="13"/>
        <v>#N/A</v>
      </c>
      <c r="Q917" s="77" t="e">
        <f>VLOOKUP($B917,'Component List'!$A$2:$B$30,2,FALSE)</f>
        <v>#N/A</v>
      </c>
      <c r="R917" s="77" t="e">
        <f>VLOOKUP($C917,'Component List'!C$2:D$28,2,FALSE)</f>
        <v>#N/A</v>
      </c>
      <c r="S917" s="77" t="e">
        <f>VLOOKUP($D917,'Component List'!E$2:F$30,2,FALSE)</f>
        <v>#N/A</v>
      </c>
      <c r="T917" s="77" t="e">
        <f>VLOOKUP($E917,'Component List'!G$2:H$30,2,FALSE)</f>
        <v>#N/A</v>
      </c>
      <c r="U917" s="77" t="e">
        <f>VLOOKUP($F917,'Component List'!I$2:J$30,2,FALSE)</f>
        <v>#N/A</v>
      </c>
      <c r="V917" s="77" t="e">
        <f>VLOOKUP(G917,'Component List'!K$2:L$30,2,FALSE)</f>
        <v>#N/A</v>
      </c>
      <c r="W917" s="77" t="e">
        <f>VLOOKUP(H917,'Component List'!M$2:N$31,2,FALSE)</f>
        <v>#N/A</v>
      </c>
      <c r="X917" s="77" t="e">
        <f>VLOOKUP(I917,'Component List'!O$2:P$30,2,FALSE)</f>
        <v>#N/A</v>
      </c>
      <c r="Y917" s="77" t="e">
        <f>VLOOKUP(J917,'Component List'!Q$2:R$30,2,FALSE)</f>
        <v>#N/A</v>
      </c>
      <c r="Z917" s="77" t="e">
        <f>VLOOKUP(K917,'Component List'!S$2:T$30,2,FALSE)</f>
        <v>#N/A</v>
      </c>
      <c r="AA917" s="77" t="e">
        <f>VLOOKUP(L917,'Component List'!U$2:V$30,2,FALSE)</f>
        <v>#N/A</v>
      </c>
      <c r="AB917" s="77" t="e">
        <f>VLOOKUP(M917,'Component List'!AA$2:AB$30,2,FALSE)</f>
        <v>#N/A</v>
      </c>
      <c r="AC917" s="77" t="e">
        <f>VLOOKUP(N917,'Component List'!Y$2:Z$30,2,FALSE)</f>
        <v>#N/A</v>
      </c>
      <c r="AD917" s="77" t="e">
        <f>VLOOKUP(O917,'Component List'!W$3:X$30,2,FALSE)</f>
        <v>#N/A</v>
      </c>
    </row>
    <row r="918" spans="1:30" ht="30" customHeight="1" x14ac:dyDescent="0.3">
      <c r="A918" s="76"/>
      <c r="B918" s="78"/>
      <c r="C918" s="78"/>
      <c r="D918" s="78"/>
      <c r="E918" s="79"/>
      <c r="F918" s="78"/>
      <c r="G918" s="78"/>
      <c r="H918" s="78"/>
      <c r="I918" s="78"/>
      <c r="J918" s="78"/>
      <c r="K918" s="110"/>
      <c r="L918" s="110"/>
      <c r="M918" s="78"/>
      <c r="N918" s="78"/>
      <c r="O918" s="117"/>
      <c r="P918" s="114" t="e">
        <f t="shared" si="13"/>
        <v>#N/A</v>
      </c>
      <c r="Q918" s="77" t="e">
        <f>VLOOKUP($B918,'Component List'!$A$2:$B$30,2,FALSE)</f>
        <v>#N/A</v>
      </c>
      <c r="R918" s="77" t="e">
        <f>VLOOKUP($C918,'Component List'!C$2:D$28,2,FALSE)</f>
        <v>#N/A</v>
      </c>
      <c r="S918" s="77" t="e">
        <f>VLOOKUP($D918,'Component List'!E$2:F$30,2,FALSE)</f>
        <v>#N/A</v>
      </c>
      <c r="T918" s="77" t="e">
        <f>VLOOKUP($E918,'Component List'!G$2:H$30,2,FALSE)</f>
        <v>#N/A</v>
      </c>
      <c r="U918" s="77" t="e">
        <f>VLOOKUP($F918,'Component List'!I$2:J$30,2,FALSE)</f>
        <v>#N/A</v>
      </c>
      <c r="V918" s="77" t="e">
        <f>VLOOKUP(G918,'Component List'!K$2:L$30,2,FALSE)</f>
        <v>#N/A</v>
      </c>
      <c r="W918" s="77" t="e">
        <f>VLOOKUP(H918,'Component List'!M$2:N$31,2,FALSE)</f>
        <v>#N/A</v>
      </c>
      <c r="X918" s="77" t="e">
        <f>VLOOKUP(I918,'Component List'!O$2:P$30,2,FALSE)</f>
        <v>#N/A</v>
      </c>
      <c r="Y918" s="77" t="e">
        <f>VLOOKUP(J918,'Component List'!Q$2:R$30,2,FALSE)</f>
        <v>#N/A</v>
      </c>
      <c r="Z918" s="77" t="e">
        <f>VLOOKUP(K918,'Component List'!S$2:T$30,2,FALSE)</f>
        <v>#N/A</v>
      </c>
      <c r="AA918" s="77" t="e">
        <f>VLOOKUP(L918,'Component List'!U$2:V$30,2,FALSE)</f>
        <v>#N/A</v>
      </c>
      <c r="AB918" s="77" t="e">
        <f>VLOOKUP(M918,'Component List'!AA$2:AB$30,2,FALSE)</f>
        <v>#N/A</v>
      </c>
      <c r="AC918" s="77" t="e">
        <f>VLOOKUP(N918,'Component List'!Y$2:Z$30,2,FALSE)</f>
        <v>#N/A</v>
      </c>
      <c r="AD918" s="77" t="e">
        <f>VLOOKUP(O918,'Component List'!W$3:X$30,2,FALSE)</f>
        <v>#N/A</v>
      </c>
    </row>
    <row r="919" spans="1:30" ht="30" customHeight="1" x14ac:dyDescent="0.3">
      <c r="A919" s="76"/>
      <c r="B919" s="78"/>
      <c r="C919" s="78"/>
      <c r="D919" s="78"/>
      <c r="E919" s="79"/>
      <c r="F919" s="78"/>
      <c r="G919" s="78"/>
      <c r="H919" s="78"/>
      <c r="I919" s="78"/>
      <c r="J919" s="78"/>
      <c r="K919" s="110"/>
      <c r="L919" s="110"/>
      <c r="M919" s="78"/>
      <c r="N919" s="78"/>
      <c r="O919" s="117"/>
      <c r="P919" s="114" t="e">
        <f t="shared" si="13"/>
        <v>#N/A</v>
      </c>
      <c r="Q919" s="77" t="e">
        <f>VLOOKUP($B919,'Component List'!$A$2:$B$30,2,FALSE)</f>
        <v>#N/A</v>
      </c>
      <c r="R919" s="77" t="e">
        <f>VLOOKUP($C919,'Component List'!C$2:D$28,2,FALSE)</f>
        <v>#N/A</v>
      </c>
      <c r="S919" s="77" t="e">
        <f>VLOOKUP($D919,'Component List'!E$2:F$30,2,FALSE)</f>
        <v>#N/A</v>
      </c>
      <c r="T919" s="77" t="e">
        <f>VLOOKUP($E919,'Component List'!G$2:H$30,2,FALSE)</f>
        <v>#N/A</v>
      </c>
      <c r="U919" s="77" t="e">
        <f>VLOOKUP($F919,'Component List'!I$2:J$30,2,FALSE)</f>
        <v>#N/A</v>
      </c>
      <c r="V919" s="77" t="e">
        <f>VLOOKUP(G919,'Component List'!K$2:L$30,2,FALSE)</f>
        <v>#N/A</v>
      </c>
      <c r="W919" s="77" t="e">
        <f>VLOOKUP(H919,'Component List'!M$2:N$31,2,FALSE)</f>
        <v>#N/A</v>
      </c>
      <c r="X919" s="77" t="e">
        <f>VLOOKUP(I919,'Component List'!O$2:P$30,2,FALSE)</f>
        <v>#N/A</v>
      </c>
      <c r="Y919" s="77" t="e">
        <f>VLOOKUP(J919,'Component List'!Q$2:R$30,2,FALSE)</f>
        <v>#N/A</v>
      </c>
      <c r="Z919" s="77" t="e">
        <f>VLOOKUP(K919,'Component List'!S$2:T$30,2,FALSE)</f>
        <v>#N/A</v>
      </c>
      <c r="AA919" s="77" t="e">
        <f>VLOOKUP(L919,'Component List'!U$2:V$30,2,FALSE)</f>
        <v>#N/A</v>
      </c>
      <c r="AB919" s="77" t="e">
        <f>VLOOKUP(M919,'Component List'!AA$2:AB$30,2,FALSE)</f>
        <v>#N/A</v>
      </c>
      <c r="AC919" s="77" t="e">
        <f>VLOOKUP(N919,'Component List'!Y$2:Z$30,2,FALSE)</f>
        <v>#N/A</v>
      </c>
      <c r="AD919" s="77" t="e">
        <f>VLOOKUP(O919,'Component List'!W$3:X$30,2,FALSE)</f>
        <v>#N/A</v>
      </c>
    </row>
    <row r="920" spans="1:30" ht="30" customHeight="1" x14ac:dyDescent="0.3">
      <c r="A920" s="76"/>
      <c r="B920" s="78"/>
      <c r="C920" s="78"/>
      <c r="D920" s="78"/>
      <c r="E920" s="79"/>
      <c r="F920" s="78"/>
      <c r="G920" s="78"/>
      <c r="H920" s="78"/>
      <c r="I920" s="78"/>
      <c r="J920" s="78"/>
      <c r="K920" s="110"/>
      <c r="L920" s="110"/>
      <c r="M920" s="78"/>
      <c r="N920" s="78"/>
      <c r="O920" s="117"/>
      <c r="P920" s="114" t="e">
        <f t="shared" si="13"/>
        <v>#N/A</v>
      </c>
      <c r="Q920" s="77" t="e">
        <f>VLOOKUP($B920,'Component List'!$A$2:$B$30,2,FALSE)</f>
        <v>#N/A</v>
      </c>
      <c r="R920" s="77" t="e">
        <f>VLOOKUP($C920,'Component List'!C$2:D$28,2,FALSE)</f>
        <v>#N/A</v>
      </c>
      <c r="S920" s="77" t="e">
        <f>VLOOKUP($D920,'Component List'!E$2:F$30,2,FALSE)</f>
        <v>#N/A</v>
      </c>
      <c r="T920" s="77" t="e">
        <f>VLOOKUP($E920,'Component List'!G$2:H$30,2,FALSE)</f>
        <v>#N/A</v>
      </c>
      <c r="U920" s="77" t="e">
        <f>VLOOKUP($F920,'Component List'!I$2:J$30,2,FALSE)</f>
        <v>#N/A</v>
      </c>
      <c r="V920" s="77" t="e">
        <f>VLOOKUP(G920,'Component List'!K$2:L$30,2,FALSE)</f>
        <v>#N/A</v>
      </c>
      <c r="W920" s="77" t="e">
        <f>VLOOKUP(H920,'Component List'!M$2:N$31,2,FALSE)</f>
        <v>#N/A</v>
      </c>
      <c r="X920" s="77" t="e">
        <f>VLOOKUP(I920,'Component List'!O$2:P$30,2,FALSE)</f>
        <v>#N/A</v>
      </c>
      <c r="Y920" s="77" t="e">
        <f>VLOOKUP(J920,'Component List'!Q$2:R$30,2,FALSE)</f>
        <v>#N/A</v>
      </c>
      <c r="Z920" s="77" t="e">
        <f>VLOOKUP(K920,'Component List'!S$2:T$30,2,FALSE)</f>
        <v>#N/A</v>
      </c>
      <c r="AA920" s="77" t="e">
        <f>VLOOKUP(L920,'Component List'!U$2:V$30,2,FALSE)</f>
        <v>#N/A</v>
      </c>
      <c r="AB920" s="77" t="e">
        <f>VLOOKUP(M920,'Component List'!AA$2:AB$30,2,FALSE)</f>
        <v>#N/A</v>
      </c>
      <c r="AC920" s="77" t="e">
        <f>VLOOKUP(N920,'Component List'!Y$2:Z$30,2,FALSE)</f>
        <v>#N/A</v>
      </c>
      <c r="AD920" s="77" t="e">
        <f>VLOOKUP(O920,'Component List'!W$3:X$30,2,FALSE)</f>
        <v>#N/A</v>
      </c>
    </row>
    <row r="921" spans="1:30" ht="30" customHeight="1" x14ac:dyDescent="0.3">
      <c r="A921" s="76"/>
      <c r="B921" s="78"/>
      <c r="C921" s="78"/>
      <c r="D921" s="78"/>
      <c r="E921" s="79"/>
      <c r="F921" s="78"/>
      <c r="G921" s="78"/>
      <c r="H921" s="78"/>
      <c r="I921" s="78"/>
      <c r="J921" s="78"/>
      <c r="K921" s="110"/>
      <c r="L921" s="110"/>
      <c r="M921" s="78"/>
      <c r="N921" s="78"/>
      <c r="O921" s="117"/>
      <c r="P921" s="114" t="e">
        <f t="shared" si="13"/>
        <v>#N/A</v>
      </c>
      <c r="Q921" s="77" t="e">
        <f>VLOOKUP($B921,'Component List'!$A$2:$B$30,2,FALSE)</f>
        <v>#N/A</v>
      </c>
      <c r="R921" s="77" t="e">
        <f>VLOOKUP($C921,'Component List'!C$2:D$28,2,FALSE)</f>
        <v>#N/A</v>
      </c>
      <c r="S921" s="77" t="e">
        <f>VLOOKUP($D921,'Component List'!E$2:F$30,2,FALSE)</f>
        <v>#N/A</v>
      </c>
      <c r="T921" s="77" t="e">
        <f>VLOOKUP($E921,'Component List'!G$2:H$30,2,FALSE)</f>
        <v>#N/A</v>
      </c>
      <c r="U921" s="77" t="e">
        <f>VLOOKUP($F921,'Component List'!I$2:J$30,2,FALSE)</f>
        <v>#N/A</v>
      </c>
      <c r="V921" s="77" t="e">
        <f>VLOOKUP(G921,'Component List'!K$2:L$30,2,FALSE)</f>
        <v>#N/A</v>
      </c>
      <c r="W921" s="77" t="e">
        <f>VLOOKUP(H921,'Component List'!M$2:N$31,2,FALSE)</f>
        <v>#N/A</v>
      </c>
      <c r="X921" s="77" t="e">
        <f>VLOOKUP(I921,'Component List'!O$2:P$30,2,FALSE)</f>
        <v>#N/A</v>
      </c>
      <c r="Y921" s="77" t="e">
        <f>VLOOKUP(J921,'Component List'!Q$2:R$30,2,FALSE)</f>
        <v>#N/A</v>
      </c>
      <c r="Z921" s="77" t="e">
        <f>VLOOKUP(K921,'Component List'!S$2:T$30,2,FALSE)</f>
        <v>#N/A</v>
      </c>
      <c r="AA921" s="77" t="e">
        <f>VLOOKUP(L921,'Component List'!U$2:V$30,2,FALSE)</f>
        <v>#N/A</v>
      </c>
      <c r="AB921" s="77" t="e">
        <f>VLOOKUP(M921,'Component List'!AA$2:AB$30,2,FALSE)</f>
        <v>#N/A</v>
      </c>
      <c r="AC921" s="77" t="e">
        <f>VLOOKUP(N921,'Component List'!Y$2:Z$30,2,FALSE)</f>
        <v>#N/A</v>
      </c>
      <c r="AD921" s="77" t="e">
        <f>VLOOKUP(O921,'Component List'!W$3:X$30,2,FALSE)</f>
        <v>#N/A</v>
      </c>
    </row>
    <row r="922" spans="1:30" ht="30" customHeight="1" x14ac:dyDescent="0.3">
      <c r="A922" s="76"/>
      <c r="B922" s="78"/>
      <c r="C922" s="78"/>
      <c r="D922" s="78"/>
      <c r="E922" s="79"/>
      <c r="F922" s="78"/>
      <c r="G922" s="78"/>
      <c r="H922" s="78"/>
      <c r="I922" s="78"/>
      <c r="J922" s="78"/>
      <c r="K922" s="110"/>
      <c r="L922" s="110"/>
      <c r="M922" s="78"/>
      <c r="N922" s="78"/>
      <c r="O922" s="117"/>
      <c r="P922" s="114" t="e">
        <f t="shared" si="13"/>
        <v>#N/A</v>
      </c>
      <c r="Q922" s="77" t="e">
        <f>VLOOKUP($B922,'Component List'!$A$2:$B$30,2,FALSE)</f>
        <v>#N/A</v>
      </c>
      <c r="R922" s="77" t="e">
        <f>VLOOKUP($C922,'Component List'!C$2:D$28,2,FALSE)</f>
        <v>#N/A</v>
      </c>
      <c r="S922" s="77" t="e">
        <f>VLOOKUP($D922,'Component List'!E$2:F$30,2,FALSE)</f>
        <v>#N/A</v>
      </c>
      <c r="T922" s="77" t="e">
        <f>VLOOKUP($E922,'Component List'!G$2:H$30,2,FALSE)</f>
        <v>#N/A</v>
      </c>
      <c r="U922" s="77" t="e">
        <f>VLOOKUP($F922,'Component List'!I$2:J$30,2,FALSE)</f>
        <v>#N/A</v>
      </c>
      <c r="V922" s="77" t="e">
        <f>VLOOKUP(G922,'Component List'!K$2:L$30,2,FALSE)</f>
        <v>#N/A</v>
      </c>
      <c r="W922" s="77" t="e">
        <f>VLOOKUP(H922,'Component List'!M$2:N$31,2,FALSE)</f>
        <v>#N/A</v>
      </c>
      <c r="X922" s="77" t="e">
        <f>VLOOKUP(I922,'Component List'!O$2:P$30,2,FALSE)</f>
        <v>#N/A</v>
      </c>
      <c r="Y922" s="77" t="e">
        <f>VLOOKUP(J922,'Component List'!Q$2:R$30,2,FALSE)</f>
        <v>#N/A</v>
      </c>
      <c r="Z922" s="77" t="e">
        <f>VLOOKUP(K922,'Component List'!S$2:T$30,2,FALSE)</f>
        <v>#N/A</v>
      </c>
      <c r="AA922" s="77" t="e">
        <f>VLOOKUP(L922,'Component List'!U$2:V$30,2,FALSE)</f>
        <v>#N/A</v>
      </c>
      <c r="AB922" s="77" t="e">
        <f>VLOOKUP(M922,'Component List'!AA$2:AB$30,2,FALSE)</f>
        <v>#N/A</v>
      </c>
      <c r="AC922" s="77" t="e">
        <f>VLOOKUP(N922,'Component List'!Y$2:Z$30,2,FALSE)</f>
        <v>#N/A</v>
      </c>
      <c r="AD922" s="77" t="e">
        <f>VLOOKUP(O922,'Component List'!W$3:X$30,2,FALSE)</f>
        <v>#N/A</v>
      </c>
    </row>
    <row r="923" spans="1:30" ht="30" customHeight="1" x14ac:dyDescent="0.3">
      <c r="A923" s="76"/>
      <c r="B923" s="78"/>
      <c r="C923" s="78"/>
      <c r="D923" s="78"/>
      <c r="E923" s="79"/>
      <c r="F923" s="78"/>
      <c r="G923" s="78"/>
      <c r="H923" s="78"/>
      <c r="I923" s="78"/>
      <c r="J923" s="78"/>
      <c r="K923" s="110"/>
      <c r="L923" s="110"/>
      <c r="M923" s="78"/>
      <c r="N923" s="78"/>
      <c r="O923" s="117"/>
      <c r="P923" s="114" t="e">
        <f t="shared" si="13"/>
        <v>#N/A</v>
      </c>
      <c r="Q923" s="77" t="e">
        <f>VLOOKUP($B923,'Component List'!$A$2:$B$30,2,FALSE)</f>
        <v>#N/A</v>
      </c>
      <c r="R923" s="77" t="e">
        <f>VLOOKUP($C923,'Component List'!C$2:D$28,2,FALSE)</f>
        <v>#N/A</v>
      </c>
      <c r="S923" s="77" t="e">
        <f>VLOOKUP($D923,'Component List'!E$2:F$30,2,FALSE)</f>
        <v>#N/A</v>
      </c>
      <c r="T923" s="77" t="e">
        <f>VLOOKUP($E923,'Component List'!G$2:H$30,2,FALSE)</f>
        <v>#N/A</v>
      </c>
      <c r="U923" s="77" t="e">
        <f>VLOOKUP($F923,'Component List'!I$2:J$30,2,FALSE)</f>
        <v>#N/A</v>
      </c>
      <c r="V923" s="77" t="e">
        <f>VLOOKUP(G923,'Component List'!K$2:L$30,2,FALSE)</f>
        <v>#N/A</v>
      </c>
      <c r="W923" s="77" t="e">
        <f>VLOOKUP(H923,'Component List'!M$2:N$31,2,FALSE)</f>
        <v>#N/A</v>
      </c>
      <c r="X923" s="77" t="e">
        <f>VLOOKUP(I923,'Component List'!O$2:P$30,2,FALSE)</f>
        <v>#N/A</v>
      </c>
      <c r="Y923" s="77" t="e">
        <f>VLOOKUP(J923,'Component List'!Q$2:R$30,2,FALSE)</f>
        <v>#N/A</v>
      </c>
      <c r="Z923" s="77" t="e">
        <f>VLOOKUP(K923,'Component List'!S$2:T$30,2,FALSE)</f>
        <v>#N/A</v>
      </c>
      <c r="AA923" s="77" t="e">
        <f>VLOOKUP(L923,'Component List'!U$2:V$30,2,FALSE)</f>
        <v>#N/A</v>
      </c>
      <c r="AB923" s="77" t="e">
        <f>VLOOKUP(M923,'Component List'!AA$2:AB$30,2,FALSE)</f>
        <v>#N/A</v>
      </c>
      <c r="AC923" s="77" t="e">
        <f>VLOOKUP(N923,'Component List'!Y$2:Z$30,2,FALSE)</f>
        <v>#N/A</v>
      </c>
      <c r="AD923" s="77" t="e">
        <f>VLOOKUP(O923,'Component List'!W$3:X$30,2,FALSE)</f>
        <v>#N/A</v>
      </c>
    </row>
    <row r="924" spans="1:30" ht="30" customHeight="1" x14ac:dyDescent="0.3">
      <c r="A924" s="76"/>
      <c r="B924" s="78"/>
      <c r="C924" s="78"/>
      <c r="D924" s="78"/>
      <c r="E924" s="79"/>
      <c r="F924" s="78"/>
      <c r="G924" s="78"/>
      <c r="H924" s="78"/>
      <c r="I924" s="78"/>
      <c r="J924" s="78"/>
      <c r="K924" s="110"/>
      <c r="L924" s="110"/>
      <c r="M924" s="78"/>
      <c r="N924" s="78"/>
      <c r="O924" s="117"/>
      <c r="P924" s="114" t="e">
        <f t="shared" si="13"/>
        <v>#N/A</v>
      </c>
      <c r="Q924" s="77" t="e">
        <f>VLOOKUP($B924,'Component List'!$A$2:$B$30,2,FALSE)</f>
        <v>#N/A</v>
      </c>
      <c r="R924" s="77" t="e">
        <f>VLOOKUP($C924,'Component List'!C$2:D$28,2,FALSE)</f>
        <v>#N/A</v>
      </c>
      <c r="S924" s="77" t="e">
        <f>VLOOKUP($D924,'Component List'!E$2:F$30,2,FALSE)</f>
        <v>#N/A</v>
      </c>
      <c r="T924" s="77" t="e">
        <f>VLOOKUP($E924,'Component List'!G$2:H$30,2,FALSE)</f>
        <v>#N/A</v>
      </c>
      <c r="U924" s="77" t="e">
        <f>VLOOKUP($F924,'Component List'!I$2:J$30,2,FALSE)</f>
        <v>#N/A</v>
      </c>
      <c r="V924" s="77" t="e">
        <f>VLOOKUP(G924,'Component List'!K$2:L$30,2,FALSE)</f>
        <v>#N/A</v>
      </c>
      <c r="W924" s="77" t="e">
        <f>VLOOKUP(H924,'Component List'!M$2:N$31,2,FALSE)</f>
        <v>#N/A</v>
      </c>
      <c r="X924" s="77" t="e">
        <f>VLOOKUP(I924,'Component List'!O$2:P$30,2,FALSE)</f>
        <v>#N/A</v>
      </c>
      <c r="Y924" s="77" t="e">
        <f>VLOOKUP(J924,'Component List'!Q$2:R$30,2,FALSE)</f>
        <v>#N/A</v>
      </c>
      <c r="Z924" s="77" t="e">
        <f>VLOOKUP(K924,'Component List'!S$2:T$30,2,FALSE)</f>
        <v>#N/A</v>
      </c>
      <c r="AA924" s="77" t="e">
        <f>VLOOKUP(L924,'Component List'!U$2:V$30,2,FALSE)</f>
        <v>#N/A</v>
      </c>
      <c r="AB924" s="77" t="e">
        <f>VLOOKUP(M924,'Component List'!AA$2:AB$30,2,FALSE)</f>
        <v>#N/A</v>
      </c>
      <c r="AC924" s="77" t="e">
        <f>VLOOKUP(N924,'Component List'!Y$2:Z$30,2,FALSE)</f>
        <v>#N/A</v>
      </c>
      <c r="AD924" s="77" t="e">
        <f>VLOOKUP(O924,'Component List'!W$3:X$30,2,FALSE)</f>
        <v>#N/A</v>
      </c>
    </row>
    <row r="925" spans="1:30" ht="30" customHeight="1" x14ac:dyDescent="0.3">
      <c r="A925" s="76"/>
      <c r="B925" s="78"/>
      <c r="C925" s="78"/>
      <c r="D925" s="78"/>
      <c r="E925" s="79"/>
      <c r="F925" s="78"/>
      <c r="G925" s="78"/>
      <c r="H925" s="78"/>
      <c r="I925" s="78"/>
      <c r="J925" s="78"/>
      <c r="K925" s="110"/>
      <c r="L925" s="110"/>
      <c r="M925" s="78"/>
      <c r="N925" s="78"/>
      <c r="O925" s="117"/>
      <c r="P925" s="114" t="e">
        <f t="shared" si="13"/>
        <v>#N/A</v>
      </c>
      <c r="Q925" s="77" t="e">
        <f>VLOOKUP($B925,'Component List'!$A$2:$B$30,2,FALSE)</f>
        <v>#N/A</v>
      </c>
      <c r="R925" s="77" t="e">
        <f>VLOOKUP($C925,'Component List'!C$2:D$28,2,FALSE)</f>
        <v>#N/A</v>
      </c>
      <c r="S925" s="77" t="e">
        <f>VLOOKUP($D925,'Component List'!E$2:F$30,2,FALSE)</f>
        <v>#N/A</v>
      </c>
      <c r="T925" s="77" t="e">
        <f>VLOOKUP($E925,'Component List'!G$2:H$30,2,FALSE)</f>
        <v>#N/A</v>
      </c>
      <c r="U925" s="77" t="e">
        <f>VLOOKUP($F925,'Component List'!I$2:J$30,2,FALSE)</f>
        <v>#N/A</v>
      </c>
      <c r="V925" s="77" t="e">
        <f>VLOOKUP(G925,'Component List'!K$2:L$30,2,FALSE)</f>
        <v>#N/A</v>
      </c>
      <c r="W925" s="77" t="e">
        <f>VLOOKUP(H925,'Component List'!M$2:N$31,2,FALSE)</f>
        <v>#N/A</v>
      </c>
      <c r="X925" s="77" t="e">
        <f>VLOOKUP(I925,'Component List'!O$2:P$30,2,FALSE)</f>
        <v>#N/A</v>
      </c>
      <c r="Y925" s="77" t="e">
        <f>VLOOKUP(J925,'Component List'!Q$2:R$30,2,FALSE)</f>
        <v>#N/A</v>
      </c>
      <c r="Z925" s="77" t="e">
        <f>VLOOKUP(K925,'Component List'!S$2:T$30,2,FALSE)</f>
        <v>#N/A</v>
      </c>
      <c r="AA925" s="77" t="e">
        <f>VLOOKUP(L925,'Component List'!U$2:V$30,2,FALSE)</f>
        <v>#N/A</v>
      </c>
      <c r="AB925" s="77" t="e">
        <f>VLOOKUP(M925,'Component List'!AA$2:AB$30,2,FALSE)</f>
        <v>#N/A</v>
      </c>
      <c r="AC925" s="77" t="e">
        <f>VLOOKUP(N925,'Component List'!Y$2:Z$30,2,FALSE)</f>
        <v>#N/A</v>
      </c>
      <c r="AD925" s="77" t="e">
        <f>VLOOKUP(O925,'Component List'!W$3:X$30,2,FALSE)</f>
        <v>#N/A</v>
      </c>
    </row>
    <row r="926" spans="1:30" ht="30" customHeight="1" x14ac:dyDescent="0.3">
      <c r="A926" s="76"/>
      <c r="B926" s="78"/>
      <c r="C926" s="78"/>
      <c r="D926" s="78"/>
      <c r="E926" s="79"/>
      <c r="F926" s="78"/>
      <c r="G926" s="78"/>
      <c r="H926" s="78"/>
      <c r="I926" s="78"/>
      <c r="J926" s="78"/>
      <c r="K926" s="110"/>
      <c r="L926" s="110"/>
      <c r="M926" s="78"/>
      <c r="N926" s="78"/>
      <c r="O926" s="117"/>
      <c r="P926" s="114" t="e">
        <f t="shared" si="13"/>
        <v>#N/A</v>
      </c>
      <c r="Q926" s="77" t="e">
        <f>VLOOKUP($B926,'Component List'!$A$2:$B$30,2,FALSE)</f>
        <v>#N/A</v>
      </c>
      <c r="R926" s="77" t="e">
        <f>VLOOKUP($C926,'Component List'!C$2:D$28,2,FALSE)</f>
        <v>#N/A</v>
      </c>
      <c r="S926" s="77" t="e">
        <f>VLOOKUP($D926,'Component List'!E$2:F$30,2,FALSE)</f>
        <v>#N/A</v>
      </c>
      <c r="T926" s="77" t="e">
        <f>VLOOKUP($E926,'Component List'!G$2:H$30,2,FALSE)</f>
        <v>#N/A</v>
      </c>
      <c r="U926" s="77" t="e">
        <f>VLOOKUP($F926,'Component List'!I$2:J$30,2,FALSE)</f>
        <v>#N/A</v>
      </c>
      <c r="V926" s="77" t="e">
        <f>VLOOKUP(G926,'Component List'!K$2:L$30,2,FALSE)</f>
        <v>#N/A</v>
      </c>
      <c r="W926" s="77" t="e">
        <f>VLOOKUP(H926,'Component List'!M$2:N$31,2,FALSE)</f>
        <v>#N/A</v>
      </c>
      <c r="X926" s="77" t="e">
        <f>VLOOKUP(I926,'Component List'!O$2:P$30,2,FALSE)</f>
        <v>#N/A</v>
      </c>
      <c r="Y926" s="77" t="e">
        <f>VLOOKUP(J926,'Component List'!Q$2:R$30,2,FALSE)</f>
        <v>#N/A</v>
      </c>
      <c r="Z926" s="77" t="e">
        <f>VLOOKUP(K926,'Component List'!S$2:T$30,2,FALSE)</f>
        <v>#N/A</v>
      </c>
      <c r="AA926" s="77" t="e">
        <f>VLOOKUP(L926,'Component List'!U$2:V$30,2,FALSE)</f>
        <v>#N/A</v>
      </c>
      <c r="AB926" s="77" t="e">
        <f>VLOOKUP(M926,'Component List'!AA$2:AB$30,2,FALSE)</f>
        <v>#N/A</v>
      </c>
      <c r="AC926" s="77" t="e">
        <f>VLOOKUP(N926,'Component List'!Y$2:Z$30,2,FALSE)</f>
        <v>#N/A</v>
      </c>
      <c r="AD926" s="77" t="e">
        <f>VLOOKUP(O926,'Component List'!W$3:X$30,2,FALSE)</f>
        <v>#N/A</v>
      </c>
    </row>
    <row r="927" spans="1:30" ht="30" customHeight="1" x14ac:dyDescent="0.3">
      <c r="A927" s="76"/>
      <c r="B927" s="78"/>
      <c r="C927" s="78"/>
      <c r="D927" s="78"/>
      <c r="E927" s="79"/>
      <c r="F927" s="78"/>
      <c r="G927" s="78"/>
      <c r="H927" s="78"/>
      <c r="I927" s="78"/>
      <c r="J927" s="78"/>
      <c r="K927" s="110"/>
      <c r="L927" s="110"/>
      <c r="M927" s="78"/>
      <c r="N927" s="78"/>
      <c r="O927" s="117"/>
      <c r="P927" s="114" t="e">
        <f t="shared" si="13"/>
        <v>#N/A</v>
      </c>
      <c r="Q927" s="77" t="e">
        <f>VLOOKUP($B927,'Component List'!$A$2:$B$30,2,FALSE)</f>
        <v>#N/A</v>
      </c>
      <c r="R927" s="77" t="e">
        <f>VLOOKUP($C927,'Component List'!C$2:D$28,2,FALSE)</f>
        <v>#N/A</v>
      </c>
      <c r="S927" s="77" t="e">
        <f>VLOOKUP($D927,'Component List'!E$2:F$30,2,FALSE)</f>
        <v>#N/A</v>
      </c>
      <c r="T927" s="77" t="e">
        <f>VLOOKUP($E927,'Component List'!G$2:H$30,2,FALSE)</f>
        <v>#N/A</v>
      </c>
      <c r="U927" s="77" t="e">
        <f>VLOOKUP($F927,'Component List'!I$2:J$30,2,FALSE)</f>
        <v>#N/A</v>
      </c>
      <c r="V927" s="77" t="e">
        <f>VLOOKUP(G927,'Component List'!K$2:L$30,2,FALSE)</f>
        <v>#N/A</v>
      </c>
      <c r="W927" s="77" t="e">
        <f>VLOOKUP(H927,'Component List'!M$2:N$31,2,FALSE)</f>
        <v>#N/A</v>
      </c>
      <c r="X927" s="77" t="e">
        <f>VLOOKUP(I927,'Component List'!O$2:P$30,2,FALSE)</f>
        <v>#N/A</v>
      </c>
      <c r="Y927" s="77" t="e">
        <f>VLOOKUP(J927,'Component List'!Q$2:R$30,2,FALSE)</f>
        <v>#N/A</v>
      </c>
      <c r="Z927" s="77" t="e">
        <f>VLOOKUP(K927,'Component List'!S$2:T$30,2,FALSE)</f>
        <v>#N/A</v>
      </c>
      <c r="AA927" s="77" t="e">
        <f>VLOOKUP(L927,'Component List'!U$2:V$30,2,FALSE)</f>
        <v>#N/A</v>
      </c>
      <c r="AB927" s="77" t="e">
        <f>VLOOKUP(M927,'Component List'!AA$2:AB$30,2,FALSE)</f>
        <v>#N/A</v>
      </c>
      <c r="AC927" s="77" t="e">
        <f>VLOOKUP(N927,'Component List'!Y$2:Z$30,2,FALSE)</f>
        <v>#N/A</v>
      </c>
      <c r="AD927" s="77" t="e">
        <f>VLOOKUP(O927,'Component List'!W$3:X$30,2,FALSE)</f>
        <v>#N/A</v>
      </c>
    </row>
    <row r="928" spans="1:30" ht="30" customHeight="1" x14ac:dyDescent="0.3">
      <c r="A928" s="76"/>
      <c r="B928" s="78"/>
      <c r="C928" s="78"/>
      <c r="D928" s="78"/>
      <c r="E928" s="79"/>
      <c r="F928" s="78"/>
      <c r="G928" s="78"/>
      <c r="H928" s="78"/>
      <c r="I928" s="78"/>
      <c r="J928" s="78"/>
      <c r="K928" s="110"/>
      <c r="L928" s="110"/>
      <c r="M928" s="78"/>
      <c r="N928" s="78"/>
      <c r="O928" s="117"/>
      <c r="P928" s="114" t="e">
        <f t="shared" si="13"/>
        <v>#N/A</v>
      </c>
      <c r="Q928" s="77" t="e">
        <f>VLOOKUP($B928,'Component List'!$A$2:$B$30,2,FALSE)</f>
        <v>#N/A</v>
      </c>
      <c r="R928" s="77" t="e">
        <f>VLOOKUP($C928,'Component List'!C$2:D$28,2,FALSE)</f>
        <v>#N/A</v>
      </c>
      <c r="S928" s="77" t="e">
        <f>VLOOKUP($D928,'Component List'!E$2:F$30,2,FALSE)</f>
        <v>#N/A</v>
      </c>
      <c r="T928" s="77" t="e">
        <f>VLOOKUP($E928,'Component List'!G$2:H$30,2,FALSE)</f>
        <v>#N/A</v>
      </c>
      <c r="U928" s="77" t="e">
        <f>VLOOKUP($F928,'Component List'!I$2:J$30,2,FALSE)</f>
        <v>#N/A</v>
      </c>
      <c r="V928" s="77" t="e">
        <f>VLOOKUP(G928,'Component List'!K$2:L$30,2,FALSE)</f>
        <v>#N/A</v>
      </c>
      <c r="W928" s="77" t="e">
        <f>VLOOKUP(H928,'Component List'!M$2:N$31,2,FALSE)</f>
        <v>#N/A</v>
      </c>
      <c r="X928" s="77" t="e">
        <f>VLOOKUP(I928,'Component List'!O$2:P$30,2,FALSE)</f>
        <v>#N/A</v>
      </c>
      <c r="Y928" s="77" t="e">
        <f>VLOOKUP(J928,'Component List'!Q$2:R$30,2,FALSE)</f>
        <v>#N/A</v>
      </c>
      <c r="Z928" s="77" t="e">
        <f>VLOOKUP(K928,'Component List'!S$2:T$30,2,FALSE)</f>
        <v>#N/A</v>
      </c>
      <c r="AA928" s="77" t="e">
        <f>VLOOKUP(L928,'Component List'!U$2:V$30,2,FALSE)</f>
        <v>#N/A</v>
      </c>
      <c r="AB928" s="77" t="e">
        <f>VLOOKUP(M928,'Component List'!AA$2:AB$30,2,FALSE)</f>
        <v>#N/A</v>
      </c>
      <c r="AC928" s="77" t="e">
        <f>VLOOKUP(N928,'Component List'!Y$2:Z$30,2,FALSE)</f>
        <v>#N/A</v>
      </c>
      <c r="AD928" s="77" t="e">
        <f>VLOOKUP(O928,'Component List'!W$3:X$30,2,FALSE)</f>
        <v>#N/A</v>
      </c>
    </row>
    <row r="929" spans="1:30" ht="30" customHeight="1" x14ac:dyDescent="0.3">
      <c r="A929" s="76"/>
      <c r="B929" s="78"/>
      <c r="C929" s="78"/>
      <c r="D929" s="78"/>
      <c r="E929" s="79"/>
      <c r="F929" s="78"/>
      <c r="G929" s="78"/>
      <c r="H929" s="78"/>
      <c r="I929" s="78"/>
      <c r="J929" s="78"/>
      <c r="K929" s="110"/>
      <c r="L929" s="110"/>
      <c r="M929" s="78"/>
      <c r="N929" s="78"/>
      <c r="O929" s="117"/>
      <c r="P929" s="114" t="e">
        <f t="shared" si="13"/>
        <v>#N/A</v>
      </c>
      <c r="Q929" s="77" t="e">
        <f>VLOOKUP($B929,'Component List'!$A$2:$B$30,2,FALSE)</f>
        <v>#N/A</v>
      </c>
      <c r="R929" s="77" t="e">
        <f>VLOOKUP($C929,'Component List'!C$2:D$28,2,FALSE)</f>
        <v>#N/A</v>
      </c>
      <c r="S929" s="77" t="e">
        <f>VLOOKUP($D929,'Component List'!E$2:F$30,2,FALSE)</f>
        <v>#N/A</v>
      </c>
      <c r="T929" s="77" t="e">
        <f>VLOOKUP($E929,'Component List'!G$2:H$30,2,FALSE)</f>
        <v>#N/A</v>
      </c>
      <c r="U929" s="77" t="e">
        <f>VLOOKUP($F929,'Component List'!I$2:J$30,2,FALSE)</f>
        <v>#N/A</v>
      </c>
      <c r="V929" s="77" t="e">
        <f>VLOOKUP(G929,'Component List'!K$2:L$30,2,FALSE)</f>
        <v>#N/A</v>
      </c>
      <c r="W929" s="77" t="e">
        <f>VLOOKUP(H929,'Component List'!M$2:N$31,2,FALSE)</f>
        <v>#N/A</v>
      </c>
      <c r="X929" s="77" t="e">
        <f>VLOOKUP(I929,'Component List'!O$2:P$30,2,FALSE)</f>
        <v>#N/A</v>
      </c>
      <c r="Y929" s="77" t="e">
        <f>VLOOKUP(J929,'Component List'!Q$2:R$30,2,FALSE)</f>
        <v>#N/A</v>
      </c>
      <c r="Z929" s="77" t="e">
        <f>VLOOKUP(K929,'Component List'!S$2:T$30,2,FALSE)</f>
        <v>#N/A</v>
      </c>
      <c r="AA929" s="77" t="e">
        <f>VLOOKUP(L929,'Component List'!U$2:V$30,2,FALSE)</f>
        <v>#N/A</v>
      </c>
      <c r="AB929" s="77" t="e">
        <f>VLOOKUP(M929,'Component List'!AA$2:AB$30,2,FALSE)</f>
        <v>#N/A</v>
      </c>
      <c r="AC929" s="77" t="e">
        <f>VLOOKUP(N929,'Component List'!Y$2:Z$30,2,FALSE)</f>
        <v>#N/A</v>
      </c>
      <c r="AD929" s="77" t="e">
        <f>VLOOKUP(O929,'Component List'!W$3:X$30,2,FALSE)</f>
        <v>#N/A</v>
      </c>
    </row>
    <row r="930" spans="1:30" ht="30" customHeight="1" x14ac:dyDescent="0.3">
      <c r="A930" s="76"/>
      <c r="B930" s="78"/>
      <c r="C930" s="78"/>
      <c r="D930" s="78"/>
      <c r="E930" s="79"/>
      <c r="F930" s="78"/>
      <c r="G930" s="78"/>
      <c r="H930" s="78"/>
      <c r="I930" s="78"/>
      <c r="J930" s="78"/>
      <c r="K930" s="110"/>
      <c r="L930" s="110"/>
      <c r="M930" s="78"/>
      <c r="N930" s="78"/>
      <c r="O930" s="117"/>
      <c r="P930" s="114" t="e">
        <f t="shared" si="13"/>
        <v>#N/A</v>
      </c>
      <c r="Q930" s="77" t="e">
        <f>VLOOKUP($B930,'Component List'!$A$2:$B$30,2,FALSE)</f>
        <v>#N/A</v>
      </c>
      <c r="R930" s="77" t="e">
        <f>VLOOKUP($C930,'Component List'!C$2:D$28,2,FALSE)</f>
        <v>#N/A</v>
      </c>
      <c r="S930" s="77" t="e">
        <f>VLOOKUP($D930,'Component List'!E$2:F$30,2,FALSE)</f>
        <v>#N/A</v>
      </c>
      <c r="T930" s="77" t="e">
        <f>VLOOKUP($E930,'Component List'!G$2:H$30,2,FALSE)</f>
        <v>#N/A</v>
      </c>
      <c r="U930" s="77" t="e">
        <f>VLOOKUP($F930,'Component List'!I$2:J$30,2,FALSE)</f>
        <v>#N/A</v>
      </c>
      <c r="V930" s="77" t="e">
        <f>VLOOKUP(G930,'Component List'!K$2:L$30,2,FALSE)</f>
        <v>#N/A</v>
      </c>
      <c r="W930" s="77" t="e">
        <f>VLOOKUP(H930,'Component List'!M$2:N$31,2,FALSE)</f>
        <v>#N/A</v>
      </c>
      <c r="X930" s="77" t="e">
        <f>VLOOKUP(I930,'Component List'!O$2:P$30,2,FALSE)</f>
        <v>#N/A</v>
      </c>
      <c r="Y930" s="77" t="e">
        <f>VLOOKUP(J930,'Component List'!Q$2:R$30,2,FALSE)</f>
        <v>#N/A</v>
      </c>
      <c r="Z930" s="77" t="e">
        <f>VLOOKUP(K930,'Component List'!S$2:T$30,2,FALSE)</f>
        <v>#N/A</v>
      </c>
      <c r="AA930" s="77" t="e">
        <f>VLOOKUP(L930,'Component List'!U$2:V$30,2,FALSE)</f>
        <v>#N/A</v>
      </c>
      <c r="AB930" s="77" t="e">
        <f>VLOOKUP(M930,'Component List'!AA$2:AB$30,2,FALSE)</f>
        <v>#N/A</v>
      </c>
      <c r="AC930" s="77" t="e">
        <f>VLOOKUP(N930,'Component List'!Y$2:Z$30,2,FALSE)</f>
        <v>#N/A</v>
      </c>
      <c r="AD930" s="77" t="e">
        <f>VLOOKUP(O930,'Component List'!W$3:X$30,2,FALSE)</f>
        <v>#N/A</v>
      </c>
    </row>
    <row r="931" spans="1:30" ht="30" customHeight="1" x14ac:dyDescent="0.3">
      <c r="A931" s="76"/>
      <c r="B931" s="78"/>
      <c r="C931" s="78"/>
      <c r="D931" s="78"/>
      <c r="E931" s="79"/>
      <c r="F931" s="78"/>
      <c r="G931" s="78"/>
      <c r="H931" s="78"/>
      <c r="I931" s="78"/>
      <c r="J931" s="78"/>
      <c r="K931" s="110"/>
      <c r="L931" s="110"/>
      <c r="M931" s="78"/>
      <c r="N931" s="78"/>
      <c r="O931" s="117"/>
      <c r="P931" s="114" t="e">
        <f t="shared" si="13"/>
        <v>#N/A</v>
      </c>
      <c r="Q931" s="77" t="e">
        <f>VLOOKUP($B931,'Component List'!$A$2:$B$30,2,FALSE)</f>
        <v>#N/A</v>
      </c>
      <c r="R931" s="77" t="e">
        <f>VLOOKUP($C931,'Component List'!C$2:D$28,2,FALSE)</f>
        <v>#N/A</v>
      </c>
      <c r="S931" s="77" t="e">
        <f>VLOOKUP($D931,'Component List'!E$2:F$30,2,FALSE)</f>
        <v>#N/A</v>
      </c>
      <c r="T931" s="77" t="e">
        <f>VLOOKUP($E931,'Component List'!G$2:H$30,2,FALSE)</f>
        <v>#N/A</v>
      </c>
      <c r="U931" s="77" t="e">
        <f>VLOOKUP($F931,'Component List'!I$2:J$30,2,FALSE)</f>
        <v>#N/A</v>
      </c>
      <c r="V931" s="77" t="e">
        <f>VLOOKUP(G931,'Component List'!K$2:L$30,2,FALSE)</f>
        <v>#N/A</v>
      </c>
      <c r="W931" s="77" t="e">
        <f>VLOOKUP(H931,'Component List'!M$2:N$31,2,FALSE)</f>
        <v>#N/A</v>
      </c>
      <c r="X931" s="77" t="e">
        <f>VLOOKUP(I931,'Component List'!O$2:P$30,2,FALSE)</f>
        <v>#N/A</v>
      </c>
      <c r="Y931" s="77" t="e">
        <f>VLOOKUP(J931,'Component List'!Q$2:R$30,2,FALSE)</f>
        <v>#N/A</v>
      </c>
      <c r="Z931" s="77" t="e">
        <f>VLOOKUP(K931,'Component List'!S$2:T$30,2,FALSE)</f>
        <v>#N/A</v>
      </c>
      <c r="AA931" s="77" t="e">
        <f>VLOOKUP(L931,'Component List'!U$2:V$30,2,FALSE)</f>
        <v>#N/A</v>
      </c>
      <c r="AB931" s="77" t="e">
        <f>VLOOKUP(M931,'Component List'!AA$2:AB$30,2,FALSE)</f>
        <v>#N/A</v>
      </c>
      <c r="AC931" s="77" t="e">
        <f>VLOOKUP(N931,'Component List'!Y$2:Z$30,2,FALSE)</f>
        <v>#N/A</v>
      </c>
      <c r="AD931" s="77" t="e">
        <f>VLOOKUP(O931,'Component List'!W$3:X$30,2,FALSE)</f>
        <v>#N/A</v>
      </c>
    </row>
    <row r="932" spans="1:30" ht="30" customHeight="1" x14ac:dyDescent="0.3">
      <c r="A932" s="76"/>
      <c r="B932" s="78"/>
      <c r="C932" s="78"/>
      <c r="D932" s="78"/>
      <c r="E932" s="79"/>
      <c r="F932" s="78"/>
      <c r="G932" s="78"/>
      <c r="H932" s="78"/>
      <c r="I932" s="78"/>
      <c r="J932" s="78"/>
      <c r="K932" s="110"/>
      <c r="L932" s="110"/>
      <c r="M932" s="78"/>
      <c r="N932" s="78"/>
      <c r="O932" s="117"/>
      <c r="P932" s="114" t="e">
        <f t="shared" si="13"/>
        <v>#N/A</v>
      </c>
      <c r="Q932" s="77" t="e">
        <f>VLOOKUP($B932,'Component List'!$A$2:$B$30,2,FALSE)</f>
        <v>#N/A</v>
      </c>
      <c r="R932" s="77" t="e">
        <f>VLOOKUP($C932,'Component List'!C$2:D$28,2,FALSE)</f>
        <v>#N/A</v>
      </c>
      <c r="S932" s="77" t="e">
        <f>VLOOKUP($D932,'Component List'!E$2:F$30,2,FALSE)</f>
        <v>#N/A</v>
      </c>
      <c r="T932" s="77" t="e">
        <f>VLOOKUP($E932,'Component List'!G$2:H$30,2,FALSE)</f>
        <v>#N/A</v>
      </c>
      <c r="U932" s="77" t="e">
        <f>VLOOKUP($F932,'Component List'!I$2:J$30,2,FALSE)</f>
        <v>#N/A</v>
      </c>
      <c r="V932" s="77" t="e">
        <f>VLOOKUP(G932,'Component List'!K$2:L$30,2,FALSE)</f>
        <v>#N/A</v>
      </c>
      <c r="W932" s="77" t="e">
        <f>VLOOKUP(H932,'Component List'!M$2:N$31,2,FALSE)</f>
        <v>#N/A</v>
      </c>
      <c r="X932" s="77" t="e">
        <f>VLOOKUP(I932,'Component List'!O$2:P$30,2,FALSE)</f>
        <v>#N/A</v>
      </c>
      <c r="Y932" s="77" t="e">
        <f>VLOOKUP(J932,'Component List'!Q$2:R$30,2,FALSE)</f>
        <v>#N/A</v>
      </c>
      <c r="Z932" s="77" t="e">
        <f>VLOOKUP(K932,'Component List'!S$2:T$30,2,FALSE)</f>
        <v>#N/A</v>
      </c>
      <c r="AA932" s="77" t="e">
        <f>VLOOKUP(L932,'Component List'!U$2:V$30,2,FALSE)</f>
        <v>#N/A</v>
      </c>
      <c r="AB932" s="77" t="e">
        <f>VLOOKUP(M932,'Component List'!AA$2:AB$30,2,FALSE)</f>
        <v>#N/A</v>
      </c>
      <c r="AC932" s="77" t="e">
        <f>VLOOKUP(N932,'Component List'!Y$2:Z$30,2,FALSE)</f>
        <v>#N/A</v>
      </c>
      <c r="AD932" s="77" t="e">
        <f>VLOOKUP(O932,'Component List'!W$3:X$30,2,FALSE)</f>
        <v>#N/A</v>
      </c>
    </row>
    <row r="933" spans="1:30" ht="30" customHeight="1" x14ac:dyDescent="0.3">
      <c r="A933" s="76"/>
      <c r="B933" s="78"/>
      <c r="C933" s="78"/>
      <c r="D933" s="78"/>
      <c r="E933" s="79"/>
      <c r="F933" s="78"/>
      <c r="G933" s="78"/>
      <c r="H933" s="78"/>
      <c r="I933" s="78"/>
      <c r="J933" s="78"/>
      <c r="K933" s="110"/>
      <c r="L933" s="110"/>
      <c r="M933" s="78"/>
      <c r="N933" s="78"/>
      <c r="O933" s="117"/>
      <c r="P933" s="114" t="e">
        <f t="shared" si="13"/>
        <v>#N/A</v>
      </c>
      <c r="Q933" s="77" t="e">
        <f>VLOOKUP($B933,'Component List'!$A$2:$B$30,2,FALSE)</f>
        <v>#N/A</v>
      </c>
      <c r="R933" s="77" t="e">
        <f>VLOOKUP($C933,'Component List'!C$2:D$28,2,FALSE)</f>
        <v>#N/A</v>
      </c>
      <c r="S933" s="77" t="e">
        <f>VLOOKUP($D933,'Component List'!E$2:F$30,2,FALSE)</f>
        <v>#N/A</v>
      </c>
      <c r="T933" s="77" t="e">
        <f>VLOOKUP($E933,'Component List'!G$2:H$30,2,FALSE)</f>
        <v>#N/A</v>
      </c>
      <c r="U933" s="77" t="e">
        <f>VLOOKUP($F933,'Component List'!I$2:J$30,2,FALSE)</f>
        <v>#N/A</v>
      </c>
      <c r="V933" s="77" t="e">
        <f>VLOOKUP(G933,'Component List'!K$2:L$30,2,FALSE)</f>
        <v>#N/A</v>
      </c>
      <c r="W933" s="77" t="e">
        <f>VLOOKUP(H933,'Component List'!M$2:N$31,2,FALSE)</f>
        <v>#N/A</v>
      </c>
      <c r="X933" s="77" t="e">
        <f>VLOOKUP(I933,'Component List'!O$2:P$30,2,FALSE)</f>
        <v>#N/A</v>
      </c>
      <c r="Y933" s="77" t="e">
        <f>VLOOKUP(J933,'Component List'!Q$2:R$30,2,FALSE)</f>
        <v>#N/A</v>
      </c>
      <c r="Z933" s="77" t="e">
        <f>VLOOKUP(K933,'Component List'!S$2:T$30,2,FALSE)</f>
        <v>#N/A</v>
      </c>
      <c r="AA933" s="77" t="e">
        <f>VLOOKUP(L933,'Component List'!U$2:V$30,2,FALSE)</f>
        <v>#N/A</v>
      </c>
      <c r="AB933" s="77" t="e">
        <f>VLOOKUP(M933,'Component List'!AA$2:AB$30,2,FALSE)</f>
        <v>#N/A</v>
      </c>
      <c r="AC933" s="77" t="e">
        <f>VLOOKUP(N933,'Component List'!Y$2:Z$30,2,FALSE)</f>
        <v>#N/A</v>
      </c>
      <c r="AD933" s="77" t="e">
        <f>VLOOKUP(O933,'Component List'!W$3:X$30,2,FALSE)</f>
        <v>#N/A</v>
      </c>
    </row>
    <row r="934" spans="1:30" ht="30" customHeight="1" x14ac:dyDescent="0.3">
      <c r="A934" s="76"/>
      <c r="B934" s="78"/>
      <c r="C934" s="78"/>
      <c r="D934" s="78"/>
      <c r="E934" s="79"/>
      <c r="F934" s="78"/>
      <c r="G934" s="78"/>
      <c r="H934" s="78"/>
      <c r="I934" s="78"/>
      <c r="J934" s="78"/>
      <c r="K934" s="110"/>
      <c r="L934" s="110"/>
      <c r="M934" s="78"/>
      <c r="N934" s="78"/>
      <c r="O934" s="117"/>
      <c r="P934" s="114" t="e">
        <f t="shared" si="13"/>
        <v>#N/A</v>
      </c>
      <c r="Q934" s="77" t="e">
        <f>VLOOKUP($B934,'Component List'!$A$2:$B$30,2,FALSE)</f>
        <v>#N/A</v>
      </c>
      <c r="R934" s="77" t="e">
        <f>VLOOKUP($C934,'Component List'!C$2:D$28,2,FALSE)</f>
        <v>#N/A</v>
      </c>
      <c r="S934" s="77" t="e">
        <f>VLOOKUP($D934,'Component List'!E$2:F$30,2,FALSE)</f>
        <v>#N/A</v>
      </c>
      <c r="T934" s="77" t="e">
        <f>VLOOKUP($E934,'Component List'!G$2:H$30,2,FALSE)</f>
        <v>#N/A</v>
      </c>
      <c r="U934" s="77" t="e">
        <f>VLOOKUP($F934,'Component List'!I$2:J$30,2,FALSE)</f>
        <v>#N/A</v>
      </c>
      <c r="V934" s="77" t="e">
        <f>VLOOKUP(G934,'Component List'!K$2:L$30,2,FALSE)</f>
        <v>#N/A</v>
      </c>
      <c r="W934" s="77" t="e">
        <f>VLOOKUP(H934,'Component List'!M$2:N$31,2,FALSE)</f>
        <v>#N/A</v>
      </c>
      <c r="X934" s="77" t="e">
        <f>VLOOKUP(I934,'Component List'!O$2:P$30,2,FALSE)</f>
        <v>#N/A</v>
      </c>
      <c r="Y934" s="77" t="e">
        <f>VLOOKUP(J934,'Component List'!Q$2:R$30,2,FALSE)</f>
        <v>#N/A</v>
      </c>
      <c r="Z934" s="77" t="e">
        <f>VLOOKUP(K934,'Component List'!S$2:T$30,2,FALSE)</f>
        <v>#N/A</v>
      </c>
      <c r="AA934" s="77" t="e">
        <f>VLOOKUP(L934,'Component List'!U$2:V$30,2,FALSE)</f>
        <v>#N/A</v>
      </c>
      <c r="AB934" s="77" t="e">
        <f>VLOOKUP(M934,'Component List'!AA$2:AB$30,2,FALSE)</f>
        <v>#N/A</v>
      </c>
      <c r="AC934" s="77" t="e">
        <f>VLOOKUP(N934,'Component List'!Y$2:Z$30,2,FALSE)</f>
        <v>#N/A</v>
      </c>
      <c r="AD934" s="77" t="e">
        <f>VLOOKUP(O934,'Component List'!W$3:X$30,2,FALSE)</f>
        <v>#N/A</v>
      </c>
    </row>
    <row r="935" spans="1:30" ht="30" customHeight="1" x14ac:dyDescent="0.3">
      <c r="A935" s="76"/>
      <c r="B935" s="78"/>
      <c r="C935" s="78"/>
      <c r="D935" s="78"/>
      <c r="E935" s="79"/>
      <c r="F935" s="78"/>
      <c r="G935" s="78"/>
      <c r="H935" s="78"/>
      <c r="I935" s="78"/>
      <c r="J935" s="78"/>
      <c r="K935" s="110"/>
      <c r="L935" s="110"/>
      <c r="M935" s="78"/>
      <c r="N935" s="78"/>
      <c r="O935" s="117"/>
      <c r="P935" s="114" t="e">
        <f t="shared" si="13"/>
        <v>#N/A</v>
      </c>
      <c r="Q935" s="77" t="e">
        <f>VLOOKUP($B935,'Component List'!$A$2:$B$30,2,FALSE)</f>
        <v>#N/A</v>
      </c>
      <c r="R935" s="77" t="e">
        <f>VLOOKUP($C935,'Component List'!C$2:D$28,2,FALSE)</f>
        <v>#N/A</v>
      </c>
      <c r="S935" s="77" t="e">
        <f>VLOOKUP($D935,'Component List'!E$2:F$30,2,FALSE)</f>
        <v>#N/A</v>
      </c>
      <c r="T935" s="77" t="e">
        <f>VLOOKUP($E935,'Component List'!G$2:H$30,2,FALSE)</f>
        <v>#N/A</v>
      </c>
      <c r="U935" s="77" t="e">
        <f>VLOOKUP($F935,'Component List'!I$2:J$30,2,FALSE)</f>
        <v>#N/A</v>
      </c>
      <c r="V935" s="77" t="e">
        <f>VLOOKUP(G935,'Component List'!K$2:L$30,2,FALSE)</f>
        <v>#N/A</v>
      </c>
      <c r="W935" s="77" t="e">
        <f>VLOOKUP(H935,'Component List'!M$2:N$31,2,FALSE)</f>
        <v>#N/A</v>
      </c>
      <c r="X935" s="77" t="e">
        <f>VLOOKUP(I935,'Component List'!O$2:P$30,2,FALSE)</f>
        <v>#N/A</v>
      </c>
      <c r="Y935" s="77" t="e">
        <f>VLOOKUP(J935,'Component List'!Q$2:R$30,2,FALSE)</f>
        <v>#N/A</v>
      </c>
      <c r="Z935" s="77" t="e">
        <f>VLOOKUP(K935,'Component List'!S$2:T$30,2,FALSE)</f>
        <v>#N/A</v>
      </c>
      <c r="AA935" s="77" t="e">
        <f>VLOOKUP(L935,'Component List'!U$2:V$30,2,FALSE)</f>
        <v>#N/A</v>
      </c>
      <c r="AB935" s="77" t="e">
        <f>VLOOKUP(M935,'Component List'!AA$2:AB$30,2,FALSE)</f>
        <v>#N/A</v>
      </c>
      <c r="AC935" s="77" t="e">
        <f>VLOOKUP(N935,'Component List'!Y$2:Z$30,2,FALSE)</f>
        <v>#N/A</v>
      </c>
      <c r="AD935" s="77" t="e">
        <f>VLOOKUP(O935,'Component List'!W$3:X$30,2,FALSE)</f>
        <v>#N/A</v>
      </c>
    </row>
    <row r="936" spans="1:30" ht="30" customHeight="1" x14ac:dyDescent="0.3">
      <c r="A936" s="76"/>
      <c r="B936" s="78"/>
      <c r="C936" s="78"/>
      <c r="D936" s="78"/>
      <c r="E936" s="79"/>
      <c r="F936" s="78"/>
      <c r="G936" s="78"/>
      <c r="H936" s="78"/>
      <c r="I936" s="78"/>
      <c r="J936" s="78"/>
      <c r="K936" s="110"/>
      <c r="L936" s="110"/>
      <c r="M936" s="78"/>
      <c r="N936" s="78"/>
      <c r="O936" s="117"/>
      <c r="P936" s="114" t="e">
        <f t="shared" si="13"/>
        <v>#N/A</v>
      </c>
      <c r="Q936" s="77" t="e">
        <f>VLOOKUP($B936,'Component List'!$A$2:$B$30,2,FALSE)</f>
        <v>#N/A</v>
      </c>
      <c r="R936" s="77" t="e">
        <f>VLOOKUP($C936,'Component List'!C$2:D$28,2,FALSE)</f>
        <v>#N/A</v>
      </c>
      <c r="S936" s="77" t="e">
        <f>VLOOKUP($D936,'Component List'!E$2:F$30,2,FALSE)</f>
        <v>#N/A</v>
      </c>
      <c r="T936" s="77" t="e">
        <f>VLOOKUP($E936,'Component List'!G$2:H$30,2,FALSE)</f>
        <v>#N/A</v>
      </c>
      <c r="U936" s="77" t="e">
        <f>VLOOKUP($F936,'Component List'!I$2:J$30,2,FALSE)</f>
        <v>#N/A</v>
      </c>
      <c r="V936" s="77" t="e">
        <f>VLOOKUP(G936,'Component List'!K$2:L$30,2,FALSE)</f>
        <v>#N/A</v>
      </c>
      <c r="W936" s="77" t="e">
        <f>VLOOKUP(H936,'Component List'!M$2:N$31,2,FALSE)</f>
        <v>#N/A</v>
      </c>
      <c r="X936" s="77" t="e">
        <f>VLOOKUP(I936,'Component List'!O$2:P$30,2,FALSE)</f>
        <v>#N/A</v>
      </c>
      <c r="Y936" s="77" t="e">
        <f>VLOOKUP(J936,'Component List'!Q$2:R$30,2,FALSE)</f>
        <v>#N/A</v>
      </c>
      <c r="Z936" s="77" t="e">
        <f>VLOOKUP(K936,'Component List'!S$2:T$30,2,FALSE)</f>
        <v>#N/A</v>
      </c>
      <c r="AA936" s="77" t="e">
        <f>VLOOKUP(L936,'Component List'!U$2:V$30,2,FALSE)</f>
        <v>#N/A</v>
      </c>
      <c r="AB936" s="77" t="e">
        <f>VLOOKUP(M936,'Component List'!AA$2:AB$30,2,FALSE)</f>
        <v>#N/A</v>
      </c>
      <c r="AC936" s="77" t="e">
        <f>VLOOKUP(N936,'Component List'!Y$2:Z$30,2,FALSE)</f>
        <v>#N/A</v>
      </c>
      <c r="AD936" s="77" t="e">
        <f>VLOOKUP(O936,'Component List'!W$3:X$30,2,FALSE)</f>
        <v>#N/A</v>
      </c>
    </row>
    <row r="937" spans="1:30" ht="30" customHeight="1" x14ac:dyDescent="0.3">
      <c r="A937" s="76"/>
      <c r="B937" s="78"/>
      <c r="C937" s="78"/>
      <c r="D937" s="78"/>
      <c r="E937" s="79"/>
      <c r="F937" s="78"/>
      <c r="G937" s="78"/>
      <c r="H937" s="78"/>
      <c r="I937" s="78"/>
      <c r="J937" s="78"/>
      <c r="K937" s="110"/>
      <c r="L937" s="110"/>
      <c r="M937" s="78"/>
      <c r="N937" s="78"/>
      <c r="O937" s="117"/>
      <c r="P937" s="114" t="e">
        <f t="shared" si="13"/>
        <v>#N/A</v>
      </c>
      <c r="Q937" s="77" t="e">
        <f>VLOOKUP($B937,'Component List'!$A$2:$B$30,2,FALSE)</f>
        <v>#N/A</v>
      </c>
      <c r="R937" s="77" t="e">
        <f>VLOOKUP($C937,'Component List'!C$2:D$28,2,FALSE)</f>
        <v>#N/A</v>
      </c>
      <c r="S937" s="77" t="e">
        <f>VLOOKUP($D937,'Component List'!E$2:F$30,2,FALSE)</f>
        <v>#N/A</v>
      </c>
      <c r="T937" s="77" t="e">
        <f>VLOOKUP($E937,'Component List'!G$2:H$30,2,FALSE)</f>
        <v>#N/A</v>
      </c>
      <c r="U937" s="77" t="e">
        <f>VLOOKUP($F937,'Component List'!I$2:J$30,2,FALSE)</f>
        <v>#N/A</v>
      </c>
      <c r="V937" s="77" t="e">
        <f>VLOOKUP(G937,'Component List'!K$2:L$30,2,FALSE)</f>
        <v>#N/A</v>
      </c>
      <c r="W937" s="77" t="e">
        <f>VLOOKUP(H937,'Component List'!M$2:N$31,2,FALSE)</f>
        <v>#N/A</v>
      </c>
      <c r="X937" s="77" t="e">
        <f>VLOOKUP(I937,'Component List'!O$2:P$30,2,FALSE)</f>
        <v>#N/A</v>
      </c>
      <c r="Y937" s="77" t="e">
        <f>VLOOKUP(J937,'Component List'!Q$2:R$30,2,FALSE)</f>
        <v>#N/A</v>
      </c>
      <c r="Z937" s="77" t="e">
        <f>VLOOKUP(K937,'Component List'!S$2:T$30,2,FALSE)</f>
        <v>#N/A</v>
      </c>
      <c r="AA937" s="77" t="e">
        <f>VLOOKUP(L937,'Component List'!U$2:V$30,2,FALSE)</f>
        <v>#N/A</v>
      </c>
      <c r="AB937" s="77" t="e">
        <f>VLOOKUP(M937,'Component List'!AA$2:AB$30,2,FALSE)</f>
        <v>#N/A</v>
      </c>
      <c r="AC937" s="77" t="e">
        <f>VLOOKUP(N937,'Component List'!Y$2:Z$30,2,FALSE)</f>
        <v>#N/A</v>
      </c>
      <c r="AD937" s="77" t="e">
        <f>VLOOKUP(O937,'Component List'!W$3:X$30,2,FALSE)</f>
        <v>#N/A</v>
      </c>
    </row>
    <row r="938" spans="1:30" ht="30" customHeight="1" x14ac:dyDescent="0.3">
      <c r="A938" s="76"/>
      <c r="B938" s="78"/>
      <c r="C938" s="78"/>
      <c r="D938" s="78"/>
      <c r="E938" s="79"/>
      <c r="F938" s="78"/>
      <c r="G938" s="78"/>
      <c r="H938" s="78"/>
      <c r="I938" s="78"/>
      <c r="J938" s="78"/>
      <c r="K938" s="110"/>
      <c r="L938" s="110"/>
      <c r="M938" s="78"/>
      <c r="N938" s="78"/>
      <c r="O938" s="117"/>
      <c r="P938" s="114" t="e">
        <f t="shared" si="13"/>
        <v>#N/A</v>
      </c>
      <c r="Q938" s="77" t="e">
        <f>VLOOKUP($B938,'Component List'!$A$2:$B$30,2,FALSE)</f>
        <v>#N/A</v>
      </c>
      <c r="R938" s="77" t="e">
        <f>VLOOKUP($C938,'Component List'!C$2:D$28,2,FALSE)</f>
        <v>#N/A</v>
      </c>
      <c r="S938" s="77" t="e">
        <f>VLOOKUP($D938,'Component List'!E$2:F$30,2,FALSE)</f>
        <v>#N/A</v>
      </c>
      <c r="T938" s="77" t="e">
        <f>VLOOKUP($E938,'Component List'!G$2:H$30,2,FALSE)</f>
        <v>#N/A</v>
      </c>
      <c r="U938" s="77" t="e">
        <f>VLOOKUP($F938,'Component List'!I$2:J$30,2,FALSE)</f>
        <v>#N/A</v>
      </c>
      <c r="V938" s="77" t="e">
        <f>VLOOKUP(G938,'Component List'!K$2:L$30,2,FALSE)</f>
        <v>#N/A</v>
      </c>
      <c r="W938" s="77" t="e">
        <f>VLOOKUP(H938,'Component List'!M$2:N$31,2,FALSE)</f>
        <v>#N/A</v>
      </c>
      <c r="X938" s="77" t="e">
        <f>VLOOKUP(I938,'Component List'!O$2:P$30,2,FALSE)</f>
        <v>#N/A</v>
      </c>
      <c r="Y938" s="77" t="e">
        <f>VLOOKUP(J938,'Component List'!Q$2:R$30,2,FALSE)</f>
        <v>#N/A</v>
      </c>
      <c r="Z938" s="77" t="e">
        <f>VLOOKUP(K938,'Component List'!S$2:T$30,2,FALSE)</f>
        <v>#N/A</v>
      </c>
      <c r="AA938" s="77" t="e">
        <f>VLOOKUP(L938,'Component List'!U$2:V$30,2,FALSE)</f>
        <v>#N/A</v>
      </c>
      <c r="AB938" s="77" t="e">
        <f>VLOOKUP(M938,'Component List'!AA$2:AB$30,2,FALSE)</f>
        <v>#N/A</v>
      </c>
      <c r="AC938" s="77" t="e">
        <f>VLOOKUP(N938,'Component List'!Y$2:Z$30,2,FALSE)</f>
        <v>#N/A</v>
      </c>
      <c r="AD938" s="77" t="e">
        <f>VLOOKUP(O938,'Component List'!W$3:X$30,2,FALSE)</f>
        <v>#N/A</v>
      </c>
    </row>
    <row r="939" spans="1:30" ht="30" customHeight="1" x14ac:dyDescent="0.3">
      <c r="A939" s="76"/>
      <c r="B939" s="78"/>
      <c r="C939" s="78"/>
      <c r="D939" s="78"/>
      <c r="E939" s="79"/>
      <c r="F939" s="78"/>
      <c r="G939" s="78"/>
      <c r="H939" s="78"/>
      <c r="I939" s="78"/>
      <c r="J939" s="78"/>
      <c r="K939" s="110"/>
      <c r="L939" s="110"/>
      <c r="M939" s="78"/>
      <c r="N939" s="78"/>
      <c r="O939" s="117"/>
      <c r="P939" s="114" t="e">
        <f t="shared" si="13"/>
        <v>#N/A</v>
      </c>
      <c r="Q939" s="77" t="e">
        <f>VLOOKUP($B939,'Component List'!$A$2:$B$30,2,FALSE)</f>
        <v>#N/A</v>
      </c>
      <c r="R939" s="77" t="e">
        <f>VLOOKUP($C939,'Component List'!C$2:D$28,2,FALSE)</f>
        <v>#N/A</v>
      </c>
      <c r="S939" s="77" t="e">
        <f>VLOOKUP($D939,'Component List'!E$2:F$30,2,FALSE)</f>
        <v>#N/A</v>
      </c>
      <c r="T939" s="77" t="e">
        <f>VLOOKUP($E939,'Component List'!G$2:H$30,2,FALSE)</f>
        <v>#N/A</v>
      </c>
      <c r="U939" s="77" t="e">
        <f>VLOOKUP($F939,'Component List'!I$2:J$30,2,FALSE)</f>
        <v>#N/A</v>
      </c>
      <c r="V939" s="77" t="e">
        <f>VLOOKUP(G939,'Component List'!K$2:L$30,2,FALSE)</f>
        <v>#N/A</v>
      </c>
      <c r="W939" s="77" t="e">
        <f>VLOOKUP(H939,'Component List'!M$2:N$31,2,FALSE)</f>
        <v>#N/A</v>
      </c>
      <c r="X939" s="77" t="e">
        <f>VLOOKUP(I939,'Component List'!O$2:P$30,2,FALSE)</f>
        <v>#N/A</v>
      </c>
      <c r="Y939" s="77" t="e">
        <f>VLOOKUP(J939,'Component List'!Q$2:R$30,2,FALSE)</f>
        <v>#N/A</v>
      </c>
      <c r="Z939" s="77" t="e">
        <f>VLOOKUP(K939,'Component List'!S$2:T$30,2,FALSE)</f>
        <v>#N/A</v>
      </c>
      <c r="AA939" s="77" t="e">
        <f>VLOOKUP(L939,'Component List'!U$2:V$30,2,FALSE)</f>
        <v>#N/A</v>
      </c>
      <c r="AB939" s="77" t="e">
        <f>VLOOKUP(M939,'Component List'!AA$2:AB$30,2,FALSE)</f>
        <v>#N/A</v>
      </c>
      <c r="AC939" s="77" t="e">
        <f>VLOOKUP(N939,'Component List'!Y$2:Z$30,2,FALSE)</f>
        <v>#N/A</v>
      </c>
      <c r="AD939" s="77" t="e">
        <f>VLOOKUP(O939,'Component List'!W$3:X$30,2,FALSE)</f>
        <v>#N/A</v>
      </c>
    </row>
    <row r="940" spans="1:30" ht="30" customHeight="1" x14ac:dyDescent="0.3">
      <c r="A940" s="76"/>
      <c r="B940" s="78"/>
      <c r="C940" s="78"/>
      <c r="D940" s="78"/>
      <c r="E940" s="79"/>
      <c r="F940" s="78"/>
      <c r="G940" s="78"/>
      <c r="H940" s="78"/>
      <c r="I940" s="78"/>
      <c r="J940" s="78"/>
      <c r="K940" s="110"/>
      <c r="L940" s="110"/>
      <c r="M940" s="78"/>
      <c r="N940" s="78"/>
      <c r="O940" s="117"/>
      <c r="P940" s="114" t="e">
        <f t="shared" si="13"/>
        <v>#N/A</v>
      </c>
      <c r="Q940" s="77" t="e">
        <f>VLOOKUP($B940,'Component List'!$A$2:$B$30,2,FALSE)</f>
        <v>#N/A</v>
      </c>
      <c r="R940" s="77" t="e">
        <f>VLOOKUP($C940,'Component List'!C$2:D$28,2,FALSE)</f>
        <v>#N/A</v>
      </c>
      <c r="S940" s="77" t="e">
        <f>VLOOKUP($D940,'Component List'!E$2:F$30,2,FALSE)</f>
        <v>#N/A</v>
      </c>
      <c r="T940" s="77" t="e">
        <f>VLOOKUP($E940,'Component List'!G$2:H$30,2,FALSE)</f>
        <v>#N/A</v>
      </c>
      <c r="U940" s="77" t="e">
        <f>VLOOKUP($F940,'Component List'!I$2:J$30,2,FALSE)</f>
        <v>#N/A</v>
      </c>
      <c r="V940" s="77" t="e">
        <f>VLOOKUP(G940,'Component List'!K$2:L$30,2,FALSE)</f>
        <v>#N/A</v>
      </c>
      <c r="W940" s="77" t="e">
        <f>VLOOKUP(H940,'Component List'!M$2:N$31,2,FALSE)</f>
        <v>#N/A</v>
      </c>
      <c r="X940" s="77" t="e">
        <f>VLOOKUP(I940,'Component List'!O$2:P$30,2,FALSE)</f>
        <v>#N/A</v>
      </c>
      <c r="Y940" s="77" t="e">
        <f>VLOOKUP(J940,'Component List'!Q$2:R$30,2,FALSE)</f>
        <v>#N/A</v>
      </c>
      <c r="Z940" s="77" t="e">
        <f>VLOOKUP(K940,'Component List'!S$2:T$30,2,FALSE)</f>
        <v>#N/A</v>
      </c>
      <c r="AA940" s="77" t="e">
        <f>VLOOKUP(L940,'Component List'!U$2:V$30,2,FALSE)</f>
        <v>#N/A</v>
      </c>
      <c r="AB940" s="77" t="e">
        <f>VLOOKUP(M940,'Component List'!AA$2:AB$30,2,FALSE)</f>
        <v>#N/A</v>
      </c>
      <c r="AC940" s="77" t="e">
        <f>VLOOKUP(N940,'Component List'!Y$2:Z$30,2,FALSE)</f>
        <v>#N/A</v>
      </c>
      <c r="AD940" s="77" t="e">
        <f>VLOOKUP(O940,'Component List'!W$3:X$30,2,FALSE)</f>
        <v>#N/A</v>
      </c>
    </row>
    <row r="941" spans="1:30" ht="30" customHeight="1" x14ac:dyDescent="0.3">
      <c r="A941" s="76"/>
      <c r="B941" s="78"/>
      <c r="C941" s="78"/>
      <c r="D941" s="78"/>
      <c r="E941" s="79"/>
      <c r="F941" s="78"/>
      <c r="G941" s="78"/>
      <c r="H941" s="78"/>
      <c r="I941" s="78"/>
      <c r="J941" s="78"/>
      <c r="K941" s="110"/>
      <c r="L941" s="110"/>
      <c r="M941" s="78"/>
      <c r="N941" s="78"/>
      <c r="O941" s="117"/>
      <c r="P941" s="114" t="e">
        <f t="shared" si="13"/>
        <v>#N/A</v>
      </c>
      <c r="Q941" s="77" t="e">
        <f>VLOOKUP($B941,'Component List'!$A$2:$B$30,2,FALSE)</f>
        <v>#N/A</v>
      </c>
      <c r="R941" s="77" t="e">
        <f>VLOOKUP($C941,'Component List'!C$2:D$28,2,FALSE)</f>
        <v>#N/A</v>
      </c>
      <c r="S941" s="77" t="e">
        <f>VLOOKUP($D941,'Component List'!E$2:F$30,2,FALSE)</f>
        <v>#N/A</v>
      </c>
      <c r="T941" s="77" t="e">
        <f>VLOOKUP($E941,'Component List'!G$2:H$30,2,FALSE)</f>
        <v>#N/A</v>
      </c>
      <c r="U941" s="77" t="e">
        <f>VLOOKUP($F941,'Component List'!I$2:J$30,2,FALSE)</f>
        <v>#N/A</v>
      </c>
      <c r="V941" s="77" t="e">
        <f>VLOOKUP(G941,'Component List'!K$2:L$30,2,FALSE)</f>
        <v>#N/A</v>
      </c>
      <c r="W941" s="77" t="e">
        <f>VLOOKUP(H941,'Component List'!M$2:N$31,2,FALSE)</f>
        <v>#N/A</v>
      </c>
      <c r="X941" s="77" t="e">
        <f>VLOOKUP(I941,'Component List'!O$2:P$30,2,FALSE)</f>
        <v>#N/A</v>
      </c>
      <c r="Y941" s="77" t="e">
        <f>VLOOKUP(J941,'Component List'!Q$2:R$30,2,FALSE)</f>
        <v>#N/A</v>
      </c>
      <c r="Z941" s="77" t="e">
        <f>VLOOKUP(K941,'Component List'!S$2:T$30,2,FALSE)</f>
        <v>#N/A</v>
      </c>
      <c r="AA941" s="77" t="e">
        <f>VLOOKUP(L941,'Component List'!U$2:V$30,2,FALSE)</f>
        <v>#N/A</v>
      </c>
      <c r="AB941" s="77" t="e">
        <f>VLOOKUP(M941,'Component List'!AA$2:AB$30,2,FALSE)</f>
        <v>#N/A</v>
      </c>
      <c r="AC941" s="77" t="e">
        <f>VLOOKUP(N941,'Component List'!Y$2:Z$30,2,FALSE)</f>
        <v>#N/A</v>
      </c>
      <c r="AD941" s="77" t="e">
        <f>VLOOKUP(O941,'Component List'!W$3:X$30,2,FALSE)</f>
        <v>#N/A</v>
      </c>
    </row>
    <row r="942" spans="1:30" ht="30" customHeight="1" x14ac:dyDescent="0.3">
      <c r="A942" s="76"/>
      <c r="B942" s="78"/>
      <c r="C942" s="78"/>
      <c r="D942" s="78"/>
      <c r="E942" s="79"/>
      <c r="F942" s="78"/>
      <c r="G942" s="78"/>
      <c r="H942" s="78"/>
      <c r="I942" s="78"/>
      <c r="J942" s="78"/>
      <c r="K942" s="110"/>
      <c r="L942" s="110"/>
      <c r="M942" s="78"/>
      <c r="N942" s="78"/>
      <c r="O942" s="117"/>
      <c r="P942" s="114" t="e">
        <f t="shared" si="13"/>
        <v>#N/A</v>
      </c>
      <c r="Q942" s="77" t="e">
        <f>VLOOKUP($B942,'Component List'!$A$2:$B$30,2,FALSE)</f>
        <v>#N/A</v>
      </c>
      <c r="R942" s="77" t="e">
        <f>VLOOKUP($C942,'Component List'!C$2:D$28,2,FALSE)</f>
        <v>#N/A</v>
      </c>
      <c r="S942" s="77" t="e">
        <f>VLOOKUP($D942,'Component List'!E$2:F$30,2,FALSE)</f>
        <v>#N/A</v>
      </c>
      <c r="T942" s="77" t="e">
        <f>VLOOKUP($E942,'Component List'!G$2:H$30,2,FALSE)</f>
        <v>#N/A</v>
      </c>
      <c r="U942" s="77" t="e">
        <f>VLOOKUP($F942,'Component List'!I$2:J$30,2,FALSE)</f>
        <v>#N/A</v>
      </c>
      <c r="V942" s="77" t="e">
        <f>VLOOKUP(G942,'Component List'!K$2:L$30,2,FALSE)</f>
        <v>#N/A</v>
      </c>
      <c r="W942" s="77" t="e">
        <f>VLOOKUP(H942,'Component List'!M$2:N$31,2,FALSE)</f>
        <v>#N/A</v>
      </c>
      <c r="X942" s="77" t="e">
        <f>VLOOKUP(I942,'Component List'!O$2:P$30,2,FALSE)</f>
        <v>#N/A</v>
      </c>
      <c r="Y942" s="77" t="e">
        <f>VLOOKUP(J942,'Component List'!Q$2:R$30,2,FALSE)</f>
        <v>#N/A</v>
      </c>
      <c r="Z942" s="77" t="e">
        <f>VLOOKUP(K942,'Component List'!S$2:T$30,2,FALSE)</f>
        <v>#N/A</v>
      </c>
      <c r="AA942" s="77" t="e">
        <f>VLOOKUP(L942,'Component List'!U$2:V$30,2,FALSE)</f>
        <v>#N/A</v>
      </c>
      <c r="AB942" s="77" t="e">
        <f>VLOOKUP(M942,'Component List'!AA$2:AB$30,2,FALSE)</f>
        <v>#N/A</v>
      </c>
      <c r="AC942" s="77" t="e">
        <f>VLOOKUP(N942,'Component List'!Y$2:Z$30,2,FALSE)</f>
        <v>#N/A</v>
      </c>
      <c r="AD942" s="77" t="e">
        <f>VLOOKUP(O942,'Component List'!W$3:X$30,2,FALSE)</f>
        <v>#N/A</v>
      </c>
    </row>
    <row r="943" spans="1:30" ht="30" customHeight="1" x14ac:dyDescent="0.3">
      <c r="A943" s="76"/>
      <c r="B943" s="78"/>
      <c r="C943" s="78"/>
      <c r="D943" s="78"/>
      <c r="E943" s="79"/>
      <c r="F943" s="78"/>
      <c r="G943" s="78"/>
      <c r="H943" s="78"/>
      <c r="I943" s="78"/>
      <c r="J943" s="78"/>
      <c r="K943" s="110"/>
      <c r="L943" s="110"/>
      <c r="M943" s="78"/>
      <c r="N943" s="78"/>
      <c r="O943" s="117"/>
      <c r="P943" s="114" t="e">
        <f t="shared" si="13"/>
        <v>#N/A</v>
      </c>
      <c r="Q943" s="77" t="e">
        <f>VLOOKUP($B943,'Component List'!$A$2:$B$30,2,FALSE)</f>
        <v>#N/A</v>
      </c>
      <c r="R943" s="77" t="e">
        <f>VLOOKUP($C943,'Component List'!C$2:D$28,2,FALSE)</f>
        <v>#N/A</v>
      </c>
      <c r="S943" s="77" t="e">
        <f>VLOOKUP($D943,'Component List'!E$2:F$30,2,FALSE)</f>
        <v>#N/A</v>
      </c>
      <c r="T943" s="77" t="e">
        <f>VLOOKUP($E943,'Component List'!G$2:H$30,2,FALSE)</f>
        <v>#N/A</v>
      </c>
      <c r="U943" s="77" t="e">
        <f>VLOOKUP($F943,'Component List'!I$2:J$30,2,FALSE)</f>
        <v>#N/A</v>
      </c>
      <c r="V943" s="77" t="e">
        <f>VLOOKUP(G943,'Component List'!K$2:L$30,2,FALSE)</f>
        <v>#N/A</v>
      </c>
      <c r="W943" s="77" t="e">
        <f>VLOOKUP(H943,'Component List'!M$2:N$31,2,FALSE)</f>
        <v>#N/A</v>
      </c>
      <c r="X943" s="77" t="e">
        <f>VLOOKUP(I943,'Component List'!O$2:P$30,2,FALSE)</f>
        <v>#N/A</v>
      </c>
      <c r="Y943" s="77" t="e">
        <f>VLOOKUP(J943,'Component List'!Q$2:R$30,2,FALSE)</f>
        <v>#N/A</v>
      </c>
      <c r="Z943" s="77" t="e">
        <f>VLOOKUP(K943,'Component List'!S$2:T$30,2,FALSE)</f>
        <v>#N/A</v>
      </c>
      <c r="AA943" s="77" t="e">
        <f>VLOOKUP(L943,'Component List'!U$2:V$30,2,FALSE)</f>
        <v>#N/A</v>
      </c>
      <c r="AB943" s="77" t="e">
        <f>VLOOKUP(M943,'Component List'!AA$2:AB$30,2,FALSE)</f>
        <v>#N/A</v>
      </c>
      <c r="AC943" s="77" t="e">
        <f>VLOOKUP(N943,'Component List'!Y$2:Z$30,2,FALSE)</f>
        <v>#N/A</v>
      </c>
      <c r="AD943" s="77" t="e">
        <f>VLOOKUP(O943,'Component List'!W$3:X$30,2,FALSE)</f>
        <v>#N/A</v>
      </c>
    </row>
    <row r="944" spans="1:30" ht="30" customHeight="1" x14ac:dyDescent="0.3">
      <c r="A944" s="76"/>
      <c r="B944" s="78"/>
      <c r="C944" s="78"/>
      <c r="D944" s="78"/>
      <c r="E944" s="79"/>
      <c r="F944" s="78"/>
      <c r="G944" s="78"/>
      <c r="H944" s="78"/>
      <c r="I944" s="78"/>
      <c r="J944" s="78"/>
      <c r="K944" s="110"/>
      <c r="L944" s="110"/>
      <c r="M944" s="78"/>
      <c r="N944" s="78"/>
      <c r="O944" s="117"/>
      <c r="P944" s="114" t="e">
        <f t="shared" si="13"/>
        <v>#N/A</v>
      </c>
      <c r="Q944" s="77" t="e">
        <f>VLOOKUP($B944,'Component List'!$A$2:$B$30,2,FALSE)</f>
        <v>#N/A</v>
      </c>
      <c r="R944" s="77" t="e">
        <f>VLOOKUP($C944,'Component List'!C$2:D$28,2,FALSE)</f>
        <v>#N/A</v>
      </c>
      <c r="S944" s="77" t="e">
        <f>VLOOKUP($D944,'Component List'!E$2:F$30,2,FALSE)</f>
        <v>#N/A</v>
      </c>
      <c r="T944" s="77" t="e">
        <f>VLOOKUP($E944,'Component List'!G$2:H$30,2,FALSE)</f>
        <v>#N/A</v>
      </c>
      <c r="U944" s="77" t="e">
        <f>VLOOKUP($F944,'Component List'!I$2:J$30,2,FALSE)</f>
        <v>#N/A</v>
      </c>
      <c r="V944" s="77" t="e">
        <f>VLOOKUP(G944,'Component List'!K$2:L$30,2,FALSE)</f>
        <v>#N/A</v>
      </c>
      <c r="W944" s="77" t="e">
        <f>VLOOKUP(H944,'Component List'!M$2:N$31,2,FALSE)</f>
        <v>#N/A</v>
      </c>
      <c r="X944" s="77" t="e">
        <f>VLOOKUP(I944,'Component List'!O$2:P$30,2,FALSE)</f>
        <v>#N/A</v>
      </c>
      <c r="Y944" s="77" t="e">
        <f>VLOOKUP(J944,'Component List'!Q$2:R$30,2,FALSE)</f>
        <v>#N/A</v>
      </c>
      <c r="Z944" s="77" t="e">
        <f>VLOOKUP(K944,'Component List'!S$2:T$30,2,FALSE)</f>
        <v>#N/A</v>
      </c>
      <c r="AA944" s="77" t="e">
        <f>VLOOKUP(L944,'Component List'!U$2:V$30,2,FALSE)</f>
        <v>#N/A</v>
      </c>
      <c r="AB944" s="77" t="e">
        <f>VLOOKUP(M944,'Component List'!AA$2:AB$30,2,FALSE)</f>
        <v>#N/A</v>
      </c>
      <c r="AC944" s="77" t="e">
        <f>VLOOKUP(N944,'Component List'!Y$2:Z$30,2,FALSE)</f>
        <v>#N/A</v>
      </c>
      <c r="AD944" s="77" t="e">
        <f>VLOOKUP(O944,'Component List'!W$3:X$30,2,FALSE)</f>
        <v>#N/A</v>
      </c>
    </row>
    <row r="945" spans="1:30" ht="30" customHeight="1" x14ac:dyDescent="0.3">
      <c r="A945" s="76"/>
      <c r="B945" s="78"/>
      <c r="C945" s="78"/>
      <c r="D945" s="78"/>
      <c r="E945" s="79"/>
      <c r="F945" s="78"/>
      <c r="G945" s="78"/>
      <c r="H945" s="78"/>
      <c r="I945" s="78"/>
      <c r="J945" s="78"/>
      <c r="K945" s="110"/>
      <c r="L945" s="110"/>
      <c r="M945" s="78"/>
      <c r="N945" s="78"/>
      <c r="O945" s="117"/>
      <c r="P945" s="114" t="e">
        <f t="shared" si="13"/>
        <v>#N/A</v>
      </c>
      <c r="Q945" s="77" t="e">
        <f>VLOOKUP($B945,'Component List'!$A$2:$B$30,2,FALSE)</f>
        <v>#N/A</v>
      </c>
      <c r="R945" s="77" t="e">
        <f>VLOOKUP($C945,'Component List'!C$2:D$28,2,FALSE)</f>
        <v>#N/A</v>
      </c>
      <c r="S945" s="77" t="e">
        <f>VLOOKUP($D945,'Component List'!E$2:F$30,2,FALSE)</f>
        <v>#N/A</v>
      </c>
      <c r="T945" s="77" t="e">
        <f>VLOOKUP($E945,'Component List'!G$2:H$30,2,FALSE)</f>
        <v>#N/A</v>
      </c>
      <c r="U945" s="77" t="e">
        <f>VLOOKUP($F945,'Component List'!I$2:J$30,2,FALSE)</f>
        <v>#N/A</v>
      </c>
      <c r="V945" s="77" t="e">
        <f>VLOOKUP(G945,'Component List'!K$2:L$30,2,FALSE)</f>
        <v>#N/A</v>
      </c>
      <c r="W945" s="77" t="e">
        <f>VLOOKUP(H945,'Component List'!M$2:N$31,2,FALSE)</f>
        <v>#N/A</v>
      </c>
      <c r="X945" s="77" t="e">
        <f>VLOOKUP(I945,'Component List'!O$2:P$30,2,FALSE)</f>
        <v>#N/A</v>
      </c>
      <c r="Y945" s="77" t="e">
        <f>VLOOKUP(J945,'Component List'!Q$2:R$30,2,FALSE)</f>
        <v>#N/A</v>
      </c>
      <c r="Z945" s="77" t="e">
        <f>VLOOKUP(K945,'Component List'!S$2:T$30,2,FALSE)</f>
        <v>#N/A</v>
      </c>
      <c r="AA945" s="77" t="e">
        <f>VLOOKUP(L945,'Component List'!U$2:V$30,2,FALSE)</f>
        <v>#N/A</v>
      </c>
      <c r="AB945" s="77" t="e">
        <f>VLOOKUP(M945,'Component List'!AA$2:AB$30,2,FALSE)</f>
        <v>#N/A</v>
      </c>
      <c r="AC945" s="77" t="e">
        <f>VLOOKUP(N945,'Component List'!Y$2:Z$30,2,FALSE)</f>
        <v>#N/A</v>
      </c>
      <c r="AD945" s="77" t="e">
        <f>VLOOKUP(O945,'Component List'!W$3:X$30,2,FALSE)</f>
        <v>#N/A</v>
      </c>
    </row>
    <row r="946" spans="1:30" ht="30" customHeight="1" x14ac:dyDescent="0.3">
      <c r="A946" s="76"/>
      <c r="B946" s="78"/>
      <c r="C946" s="78"/>
      <c r="D946" s="78"/>
      <c r="E946" s="79"/>
      <c r="F946" s="78"/>
      <c r="G946" s="78"/>
      <c r="H946" s="78"/>
      <c r="I946" s="78"/>
      <c r="J946" s="78"/>
      <c r="K946" s="110"/>
      <c r="L946" s="110"/>
      <c r="M946" s="78"/>
      <c r="N946" s="78"/>
      <c r="O946" s="117"/>
      <c r="P946" s="114" t="e">
        <f t="shared" si="13"/>
        <v>#N/A</v>
      </c>
      <c r="Q946" s="77" t="e">
        <f>VLOOKUP($B946,'Component List'!$A$2:$B$30,2,FALSE)</f>
        <v>#N/A</v>
      </c>
      <c r="R946" s="77" t="e">
        <f>VLOOKUP($C946,'Component List'!C$2:D$28,2,FALSE)</f>
        <v>#N/A</v>
      </c>
      <c r="S946" s="77" t="e">
        <f>VLOOKUP($D946,'Component List'!E$2:F$30,2,FALSE)</f>
        <v>#N/A</v>
      </c>
      <c r="T946" s="77" t="e">
        <f>VLOOKUP($E946,'Component List'!G$2:H$30,2,FALSE)</f>
        <v>#N/A</v>
      </c>
      <c r="U946" s="77" t="e">
        <f>VLOOKUP($F946,'Component List'!I$2:J$30,2,FALSE)</f>
        <v>#N/A</v>
      </c>
      <c r="V946" s="77" t="e">
        <f>VLOOKUP(G946,'Component List'!K$2:L$30,2,FALSE)</f>
        <v>#N/A</v>
      </c>
      <c r="W946" s="77" t="e">
        <f>VLOOKUP(H946,'Component List'!M$2:N$31,2,FALSE)</f>
        <v>#N/A</v>
      </c>
      <c r="X946" s="77" t="e">
        <f>VLOOKUP(I946,'Component List'!O$2:P$30,2,FALSE)</f>
        <v>#N/A</v>
      </c>
      <c r="Y946" s="77" t="e">
        <f>VLOOKUP(J946,'Component List'!Q$2:R$30,2,FALSE)</f>
        <v>#N/A</v>
      </c>
      <c r="Z946" s="77" t="e">
        <f>VLOOKUP(K946,'Component List'!S$2:T$30,2,FALSE)</f>
        <v>#N/A</v>
      </c>
      <c r="AA946" s="77" t="e">
        <f>VLOOKUP(L946,'Component List'!U$2:V$30,2,FALSE)</f>
        <v>#N/A</v>
      </c>
      <c r="AB946" s="77" t="e">
        <f>VLOOKUP(M946,'Component List'!AA$2:AB$30,2,FALSE)</f>
        <v>#N/A</v>
      </c>
      <c r="AC946" s="77" t="e">
        <f>VLOOKUP(N946,'Component List'!Y$2:Z$30,2,FALSE)</f>
        <v>#N/A</v>
      </c>
      <c r="AD946" s="77" t="e">
        <f>VLOOKUP(O946,'Component List'!W$3:X$30,2,FALSE)</f>
        <v>#N/A</v>
      </c>
    </row>
    <row r="947" spans="1:30" ht="30" customHeight="1" x14ac:dyDescent="0.3">
      <c r="A947" s="76"/>
      <c r="B947" s="78"/>
      <c r="C947" s="78"/>
      <c r="D947" s="78"/>
      <c r="E947" s="79"/>
      <c r="F947" s="78"/>
      <c r="G947" s="78"/>
      <c r="H947" s="78"/>
      <c r="I947" s="78"/>
      <c r="J947" s="78"/>
      <c r="K947" s="110"/>
      <c r="L947" s="110"/>
      <c r="M947" s="78"/>
      <c r="N947" s="78"/>
      <c r="O947" s="117"/>
      <c r="P947" s="114" t="e">
        <f t="shared" si="13"/>
        <v>#N/A</v>
      </c>
      <c r="Q947" s="77" t="e">
        <f>VLOOKUP($B947,'Component List'!$A$2:$B$30,2,FALSE)</f>
        <v>#N/A</v>
      </c>
      <c r="R947" s="77" t="e">
        <f>VLOOKUP($C947,'Component List'!C$2:D$28,2,FALSE)</f>
        <v>#N/A</v>
      </c>
      <c r="S947" s="77" t="e">
        <f>VLOOKUP($D947,'Component List'!E$2:F$30,2,FALSE)</f>
        <v>#N/A</v>
      </c>
      <c r="T947" s="77" t="e">
        <f>VLOOKUP($E947,'Component List'!G$2:H$30,2,FALSE)</f>
        <v>#N/A</v>
      </c>
      <c r="U947" s="77" t="e">
        <f>VLOOKUP($F947,'Component List'!I$2:J$30,2,FALSE)</f>
        <v>#N/A</v>
      </c>
      <c r="V947" s="77" t="e">
        <f>VLOOKUP(G947,'Component List'!K$2:L$30,2,FALSE)</f>
        <v>#N/A</v>
      </c>
      <c r="W947" s="77" t="e">
        <f>VLOOKUP(H947,'Component List'!M$2:N$31,2,FALSE)</f>
        <v>#N/A</v>
      </c>
      <c r="X947" s="77" t="e">
        <f>VLOOKUP(I947,'Component List'!O$2:P$30,2,FALSE)</f>
        <v>#N/A</v>
      </c>
      <c r="Y947" s="77" t="e">
        <f>VLOOKUP(J947,'Component List'!Q$2:R$30,2,FALSE)</f>
        <v>#N/A</v>
      </c>
      <c r="Z947" s="77" t="e">
        <f>VLOOKUP(K947,'Component List'!S$2:T$30,2,FALSE)</f>
        <v>#N/A</v>
      </c>
      <c r="AA947" s="77" t="e">
        <f>VLOOKUP(L947,'Component List'!U$2:V$30,2,FALSE)</f>
        <v>#N/A</v>
      </c>
      <c r="AB947" s="77" t="e">
        <f>VLOOKUP(M947,'Component List'!AA$2:AB$30,2,FALSE)</f>
        <v>#N/A</v>
      </c>
      <c r="AC947" s="77" t="e">
        <f>VLOOKUP(N947,'Component List'!Y$2:Z$30,2,FALSE)</f>
        <v>#N/A</v>
      </c>
      <c r="AD947" s="77" t="e">
        <f>VLOOKUP(O947,'Component List'!W$3:X$30,2,FALSE)</f>
        <v>#N/A</v>
      </c>
    </row>
    <row r="948" spans="1:30" ht="30" customHeight="1" x14ac:dyDescent="0.3">
      <c r="A948" s="76"/>
      <c r="B948" s="78"/>
      <c r="C948" s="78"/>
      <c r="D948" s="78"/>
      <c r="E948" s="79"/>
      <c r="F948" s="78"/>
      <c r="G948" s="78"/>
      <c r="H948" s="78"/>
      <c r="I948" s="78"/>
      <c r="J948" s="78"/>
      <c r="K948" s="110"/>
      <c r="L948" s="110"/>
      <c r="M948" s="78"/>
      <c r="N948" s="78"/>
      <c r="O948" s="117"/>
      <c r="P948" s="114" t="e">
        <f t="shared" si="13"/>
        <v>#N/A</v>
      </c>
      <c r="Q948" s="77" t="e">
        <f>VLOOKUP($B948,'Component List'!$A$2:$B$30,2,FALSE)</f>
        <v>#N/A</v>
      </c>
      <c r="R948" s="77" t="e">
        <f>VLOOKUP($C948,'Component List'!C$2:D$28,2,FALSE)</f>
        <v>#N/A</v>
      </c>
      <c r="S948" s="77" t="e">
        <f>VLOOKUP($D948,'Component List'!E$2:F$30,2,FALSE)</f>
        <v>#N/A</v>
      </c>
      <c r="T948" s="77" t="e">
        <f>VLOOKUP($E948,'Component List'!G$2:H$30,2,FALSE)</f>
        <v>#N/A</v>
      </c>
      <c r="U948" s="77" t="e">
        <f>VLOOKUP($F948,'Component List'!I$2:J$30,2,FALSE)</f>
        <v>#N/A</v>
      </c>
      <c r="V948" s="77" t="e">
        <f>VLOOKUP(G948,'Component List'!K$2:L$30,2,FALSE)</f>
        <v>#N/A</v>
      </c>
      <c r="W948" s="77" t="e">
        <f>VLOOKUP(H948,'Component List'!M$2:N$31,2,FALSE)</f>
        <v>#N/A</v>
      </c>
      <c r="X948" s="77" t="e">
        <f>VLOOKUP(I948,'Component List'!O$2:P$30,2,FALSE)</f>
        <v>#N/A</v>
      </c>
      <c r="Y948" s="77" t="e">
        <f>VLOOKUP(J948,'Component List'!Q$2:R$30,2,FALSE)</f>
        <v>#N/A</v>
      </c>
      <c r="Z948" s="77" t="e">
        <f>VLOOKUP(K948,'Component List'!S$2:T$30,2,FALSE)</f>
        <v>#N/A</v>
      </c>
      <c r="AA948" s="77" t="e">
        <f>VLOOKUP(L948,'Component List'!U$2:V$30,2,FALSE)</f>
        <v>#N/A</v>
      </c>
      <c r="AB948" s="77" t="e">
        <f>VLOOKUP(M948,'Component List'!AA$2:AB$30,2,FALSE)</f>
        <v>#N/A</v>
      </c>
      <c r="AC948" s="77" t="e">
        <f>VLOOKUP(N948,'Component List'!Y$2:Z$30,2,FALSE)</f>
        <v>#N/A</v>
      </c>
      <c r="AD948" s="77" t="e">
        <f>VLOOKUP(O948,'Component List'!W$3:X$30,2,FALSE)</f>
        <v>#N/A</v>
      </c>
    </row>
    <row r="949" spans="1:30" ht="30" customHeight="1" x14ac:dyDescent="0.3">
      <c r="A949" s="76"/>
      <c r="B949" s="78"/>
      <c r="C949" s="78"/>
      <c r="D949" s="78"/>
      <c r="E949" s="79"/>
      <c r="F949" s="78"/>
      <c r="G949" s="78"/>
      <c r="H949" s="78"/>
      <c r="I949" s="78"/>
      <c r="J949" s="78"/>
      <c r="K949" s="110"/>
      <c r="L949" s="110"/>
      <c r="M949" s="78"/>
      <c r="N949" s="78"/>
      <c r="O949" s="117"/>
      <c r="P949" s="114" t="e">
        <f t="shared" si="13"/>
        <v>#N/A</v>
      </c>
      <c r="Q949" s="77" t="e">
        <f>VLOOKUP($B949,'Component List'!$A$2:$B$30,2,FALSE)</f>
        <v>#N/A</v>
      </c>
      <c r="R949" s="77" t="e">
        <f>VLOOKUP($C949,'Component List'!C$2:D$28,2,FALSE)</f>
        <v>#N/A</v>
      </c>
      <c r="S949" s="77" t="e">
        <f>VLOOKUP($D949,'Component List'!E$2:F$30,2,FALSE)</f>
        <v>#N/A</v>
      </c>
      <c r="T949" s="77" t="e">
        <f>VLOOKUP($E949,'Component List'!G$2:H$30,2,FALSE)</f>
        <v>#N/A</v>
      </c>
      <c r="U949" s="77" t="e">
        <f>VLOOKUP($F949,'Component List'!I$2:J$30,2,FALSE)</f>
        <v>#N/A</v>
      </c>
      <c r="V949" s="77" t="e">
        <f>VLOOKUP(G949,'Component List'!K$2:L$30,2,FALSE)</f>
        <v>#N/A</v>
      </c>
      <c r="W949" s="77" t="e">
        <f>VLOOKUP(H949,'Component List'!M$2:N$31,2,FALSE)</f>
        <v>#N/A</v>
      </c>
      <c r="X949" s="77" t="e">
        <f>VLOOKUP(I949,'Component List'!O$2:P$30,2,FALSE)</f>
        <v>#N/A</v>
      </c>
      <c r="Y949" s="77" t="e">
        <f>VLOOKUP(J949,'Component List'!Q$2:R$30,2,FALSE)</f>
        <v>#N/A</v>
      </c>
      <c r="Z949" s="77" t="e">
        <f>VLOOKUP(K949,'Component List'!S$2:T$30,2,FALSE)</f>
        <v>#N/A</v>
      </c>
      <c r="AA949" s="77" t="e">
        <f>VLOOKUP(L949,'Component List'!U$2:V$30,2,FALSE)</f>
        <v>#N/A</v>
      </c>
      <c r="AB949" s="77" t="e">
        <f>VLOOKUP(M949,'Component List'!AA$2:AB$30,2,FALSE)</f>
        <v>#N/A</v>
      </c>
      <c r="AC949" s="77" t="e">
        <f>VLOOKUP(N949,'Component List'!Y$2:Z$30,2,FALSE)</f>
        <v>#N/A</v>
      </c>
      <c r="AD949" s="77" t="e">
        <f>VLOOKUP(O949,'Component List'!W$3:X$30,2,FALSE)</f>
        <v>#N/A</v>
      </c>
    </row>
    <row r="950" spans="1:30" ht="30" customHeight="1" x14ac:dyDescent="0.3">
      <c r="A950" s="76"/>
      <c r="B950" s="78"/>
      <c r="C950" s="78"/>
      <c r="D950" s="78"/>
      <c r="E950" s="79"/>
      <c r="F950" s="78"/>
      <c r="G950" s="78"/>
      <c r="H950" s="78"/>
      <c r="I950" s="78"/>
      <c r="J950" s="78"/>
      <c r="K950" s="110"/>
      <c r="L950" s="110"/>
      <c r="M950" s="78"/>
      <c r="N950" s="78"/>
      <c r="O950" s="117"/>
      <c r="P950" s="114" t="e">
        <f t="shared" si="13"/>
        <v>#N/A</v>
      </c>
      <c r="Q950" s="77" t="e">
        <f>VLOOKUP($B950,'Component List'!$A$2:$B$30,2,FALSE)</f>
        <v>#N/A</v>
      </c>
      <c r="R950" s="77" t="e">
        <f>VLOOKUP($C950,'Component List'!C$2:D$28,2,FALSE)</f>
        <v>#N/A</v>
      </c>
      <c r="S950" s="77" t="e">
        <f>VLOOKUP($D950,'Component List'!E$2:F$30,2,FALSE)</f>
        <v>#N/A</v>
      </c>
      <c r="T950" s="77" t="e">
        <f>VLOOKUP($E950,'Component List'!G$2:H$30,2,FALSE)</f>
        <v>#N/A</v>
      </c>
      <c r="U950" s="77" t="e">
        <f>VLOOKUP($F950,'Component List'!I$2:J$30,2,FALSE)</f>
        <v>#N/A</v>
      </c>
      <c r="V950" s="77" t="e">
        <f>VLOOKUP(G950,'Component List'!K$2:L$30,2,FALSE)</f>
        <v>#N/A</v>
      </c>
      <c r="W950" s="77" t="e">
        <f>VLOOKUP(H950,'Component List'!M$2:N$31,2,FALSE)</f>
        <v>#N/A</v>
      </c>
      <c r="X950" s="77" t="e">
        <f>VLOOKUP(I950,'Component List'!O$2:P$30,2,FALSE)</f>
        <v>#N/A</v>
      </c>
      <c r="Y950" s="77" t="e">
        <f>VLOOKUP(J950,'Component List'!Q$2:R$30,2,FALSE)</f>
        <v>#N/A</v>
      </c>
      <c r="Z950" s="77" t="e">
        <f>VLOOKUP(K950,'Component List'!S$2:T$30,2,FALSE)</f>
        <v>#N/A</v>
      </c>
      <c r="AA950" s="77" t="e">
        <f>VLOOKUP(L950,'Component List'!U$2:V$30,2,FALSE)</f>
        <v>#N/A</v>
      </c>
      <c r="AB950" s="77" t="e">
        <f>VLOOKUP(M950,'Component List'!AA$2:AB$30,2,FALSE)</f>
        <v>#N/A</v>
      </c>
      <c r="AC950" s="77" t="e">
        <f>VLOOKUP(N950,'Component List'!Y$2:Z$30,2,FALSE)</f>
        <v>#N/A</v>
      </c>
      <c r="AD950" s="77" t="e">
        <f>VLOOKUP(O950,'Component List'!W$3:X$30,2,FALSE)</f>
        <v>#N/A</v>
      </c>
    </row>
    <row r="951" spans="1:30" ht="30" customHeight="1" x14ac:dyDescent="0.3">
      <c r="A951" s="76"/>
      <c r="B951" s="78"/>
      <c r="C951" s="78"/>
      <c r="D951" s="78"/>
      <c r="E951" s="79"/>
      <c r="F951" s="78"/>
      <c r="G951" s="78"/>
      <c r="H951" s="78"/>
      <c r="I951" s="78"/>
      <c r="J951" s="78"/>
      <c r="K951" s="110"/>
      <c r="L951" s="110"/>
      <c r="M951" s="78"/>
      <c r="N951" s="78"/>
      <c r="O951" s="117"/>
      <c r="P951" s="114" t="e">
        <f t="shared" si="13"/>
        <v>#N/A</v>
      </c>
      <c r="Q951" s="77" t="e">
        <f>VLOOKUP($B951,'Component List'!$A$2:$B$30,2,FALSE)</f>
        <v>#N/A</v>
      </c>
      <c r="R951" s="77" t="e">
        <f>VLOOKUP($C951,'Component List'!C$2:D$28,2,FALSE)</f>
        <v>#N/A</v>
      </c>
      <c r="S951" s="77" t="e">
        <f>VLOOKUP($D951,'Component List'!E$2:F$30,2,FALSE)</f>
        <v>#N/A</v>
      </c>
      <c r="T951" s="77" t="e">
        <f>VLOOKUP($E951,'Component List'!G$2:H$30,2,FALSE)</f>
        <v>#N/A</v>
      </c>
      <c r="U951" s="77" t="e">
        <f>VLOOKUP($F951,'Component List'!I$2:J$30,2,FALSE)</f>
        <v>#N/A</v>
      </c>
      <c r="V951" s="77" t="e">
        <f>VLOOKUP(G951,'Component List'!K$2:L$30,2,FALSE)</f>
        <v>#N/A</v>
      </c>
      <c r="W951" s="77" t="e">
        <f>VLOOKUP(H951,'Component List'!M$2:N$31,2,FALSE)</f>
        <v>#N/A</v>
      </c>
      <c r="X951" s="77" t="e">
        <f>VLOOKUP(I951,'Component List'!O$2:P$30,2,FALSE)</f>
        <v>#N/A</v>
      </c>
      <c r="Y951" s="77" t="e">
        <f>VLOOKUP(J951,'Component List'!Q$2:R$30,2,FALSE)</f>
        <v>#N/A</v>
      </c>
      <c r="Z951" s="77" t="e">
        <f>VLOOKUP(K951,'Component List'!S$2:T$30,2,FALSE)</f>
        <v>#N/A</v>
      </c>
      <c r="AA951" s="77" t="e">
        <f>VLOOKUP(L951,'Component List'!U$2:V$30,2,FALSE)</f>
        <v>#N/A</v>
      </c>
      <c r="AB951" s="77" t="e">
        <f>VLOOKUP(M951,'Component List'!AA$2:AB$30,2,FALSE)</f>
        <v>#N/A</v>
      </c>
      <c r="AC951" s="77" t="e">
        <f>VLOOKUP(N951,'Component List'!Y$2:Z$30,2,FALSE)</f>
        <v>#N/A</v>
      </c>
      <c r="AD951" s="77" t="e">
        <f>VLOOKUP(O951,'Component List'!W$3:X$30,2,FALSE)</f>
        <v>#N/A</v>
      </c>
    </row>
    <row r="952" spans="1:30" ht="30" customHeight="1" x14ac:dyDescent="0.3">
      <c r="A952" s="76"/>
      <c r="B952" s="78"/>
      <c r="C952" s="78"/>
      <c r="D952" s="78"/>
      <c r="E952" s="79"/>
      <c r="F952" s="78"/>
      <c r="G952" s="78"/>
      <c r="H952" s="78"/>
      <c r="I952" s="78"/>
      <c r="J952" s="78"/>
      <c r="K952" s="110"/>
      <c r="L952" s="110"/>
      <c r="M952" s="78"/>
      <c r="N952" s="78"/>
      <c r="O952" s="117"/>
      <c r="P952" s="114" t="e">
        <f t="shared" si="13"/>
        <v>#N/A</v>
      </c>
      <c r="Q952" s="77" t="e">
        <f>VLOOKUP($B952,'Component List'!$A$2:$B$30,2,FALSE)</f>
        <v>#N/A</v>
      </c>
      <c r="R952" s="77" t="e">
        <f>VLOOKUP($C952,'Component List'!C$2:D$28,2,FALSE)</f>
        <v>#N/A</v>
      </c>
      <c r="S952" s="77" t="e">
        <f>VLOOKUP($D952,'Component List'!E$2:F$30,2,FALSE)</f>
        <v>#N/A</v>
      </c>
      <c r="T952" s="77" t="e">
        <f>VLOOKUP($E952,'Component List'!G$2:H$30,2,FALSE)</f>
        <v>#N/A</v>
      </c>
      <c r="U952" s="77" t="e">
        <f>VLOOKUP($F952,'Component List'!I$2:J$30,2,FALSE)</f>
        <v>#N/A</v>
      </c>
      <c r="V952" s="77" t="e">
        <f>VLOOKUP(G952,'Component List'!K$2:L$30,2,FALSE)</f>
        <v>#N/A</v>
      </c>
      <c r="W952" s="77" t="e">
        <f>VLOOKUP(H952,'Component List'!M$2:N$31,2,FALSE)</f>
        <v>#N/A</v>
      </c>
      <c r="X952" s="77" t="e">
        <f>VLOOKUP(I952,'Component List'!O$2:P$30,2,FALSE)</f>
        <v>#N/A</v>
      </c>
      <c r="Y952" s="77" t="e">
        <f>VLOOKUP(J952,'Component List'!Q$2:R$30,2,FALSE)</f>
        <v>#N/A</v>
      </c>
      <c r="Z952" s="77" t="e">
        <f>VLOOKUP(K952,'Component List'!S$2:T$30,2,FALSE)</f>
        <v>#N/A</v>
      </c>
      <c r="AA952" s="77" t="e">
        <f>VLOOKUP(L952,'Component List'!U$2:V$30,2,FALSE)</f>
        <v>#N/A</v>
      </c>
      <c r="AB952" s="77" t="e">
        <f>VLOOKUP(M952,'Component List'!AA$2:AB$30,2,FALSE)</f>
        <v>#N/A</v>
      </c>
      <c r="AC952" s="77" t="e">
        <f>VLOOKUP(N952,'Component List'!Y$2:Z$30,2,FALSE)</f>
        <v>#N/A</v>
      </c>
      <c r="AD952" s="77" t="e">
        <f>VLOOKUP(O952,'Component List'!W$3:X$30,2,FALSE)</f>
        <v>#N/A</v>
      </c>
    </row>
    <row r="953" spans="1:30" ht="30" customHeight="1" x14ac:dyDescent="0.3">
      <c r="A953" s="76"/>
      <c r="B953" s="78"/>
      <c r="C953" s="78"/>
      <c r="D953" s="78"/>
      <c r="E953" s="79"/>
      <c r="F953" s="78"/>
      <c r="G953" s="78"/>
      <c r="H953" s="78"/>
      <c r="I953" s="78"/>
      <c r="J953" s="78"/>
      <c r="K953" s="110"/>
      <c r="L953" s="110"/>
      <c r="M953" s="78"/>
      <c r="N953" s="78"/>
      <c r="O953" s="117"/>
      <c r="P953" s="114" t="e">
        <f t="shared" si="13"/>
        <v>#N/A</v>
      </c>
      <c r="Q953" s="77" t="e">
        <f>VLOOKUP($B953,'Component List'!$A$2:$B$30,2,FALSE)</f>
        <v>#N/A</v>
      </c>
      <c r="R953" s="77" t="e">
        <f>VLOOKUP($C953,'Component List'!C$2:D$28,2,FALSE)</f>
        <v>#N/A</v>
      </c>
      <c r="S953" s="77" t="e">
        <f>VLOOKUP($D953,'Component List'!E$2:F$30,2,FALSE)</f>
        <v>#N/A</v>
      </c>
      <c r="T953" s="77" t="e">
        <f>VLOOKUP($E953,'Component List'!G$2:H$30,2,FALSE)</f>
        <v>#N/A</v>
      </c>
      <c r="U953" s="77" t="e">
        <f>VLOOKUP($F953,'Component List'!I$2:J$30,2,FALSE)</f>
        <v>#N/A</v>
      </c>
      <c r="V953" s="77" t="e">
        <f>VLOOKUP(G953,'Component List'!K$2:L$30,2,FALSE)</f>
        <v>#N/A</v>
      </c>
      <c r="W953" s="77" t="e">
        <f>VLOOKUP(H953,'Component List'!M$2:N$31,2,FALSE)</f>
        <v>#N/A</v>
      </c>
      <c r="X953" s="77" t="e">
        <f>VLOOKUP(I953,'Component List'!O$2:P$30,2,FALSE)</f>
        <v>#N/A</v>
      </c>
      <c r="Y953" s="77" t="e">
        <f>VLOOKUP(J953,'Component List'!Q$2:R$30,2,FALSE)</f>
        <v>#N/A</v>
      </c>
      <c r="Z953" s="77" t="e">
        <f>VLOOKUP(K953,'Component List'!S$2:T$30,2,FALSE)</f>
        <v>#N/A</v>
      </c>
      <c r="AA953" s="77" t="e">
        <f>VLOOKUP(L953,'Component List'!U$2:V$30,2,FALSE)</f>
        <v>#N/A</v>
      </c>
      <c r="AB953" s="77" t="e">
        <f>VLOOKUP(M953,'Component List'!AA$2:AB$30,2,FALSE)</f>
        <v>#N/A</v>
      </c>
      <c r="AC953" s="77" t="e">
        <f>VLOOKUP(N953,'Component List'!Y$2:Z$30,2,FALSE)</f>
        <v>#N/A</v>
      </c>
      <c r="AD953" s="77" t="e">
        <f>VLOOKUP(O953,'Component List'!W$3:X$30,2,FALSE)</f>
        <v>#N/A</v>
      </c>
    </row>
    <row r="954" spans="1:30" ht="30" customHeight="1" x14ac:dyDescent="0.3">
      <c r="A954" s="76"/>
      <c r="B954" s="78"/>
      <c r="C954" s="78"/>
      <c r="D954" s="78"/>
      <c r="E954" s="79"/>
      <c r="F954" s="78"/>
      <c r="G954" s="78"/>
      <c r="H954" s="78"/>
      <c r="I954" s="78"/>
      <c r="J954" s="78"/>
      <c r="K954" s="110"/>
      <c r="L954" s="110"/>
      <c r="M954" s="78"/>
      <c r="N954" s="78"/>
      <c r="O954" s="117"/>
      <c r="P954" s="114" t="e">
        <f t="shared" si="13"/>
        <v>#N/A</v>
      </c>
      <c r="Q954" s="77" t="e">
        <f>VLOOKUP($B954,'Component List'!$A$2:$B$30,2,FALSE)</f>
        <v>#N/A</v>
      </c>
      <c r="R954" s="77" t="e">
        <f>VLOOKUP($C954,'Component List'!C$2:D$28,2,FALSE)</f>
        <v>#N/A</v>
      </c>
      <c r="S954" s="77" t="e">
        <f>VLOOKUP($D954,'Component List'!E$2:F$30,2,FALSE)</f>
        <v>#N/A</v>
      </c>
      <c r="T954" s="77" t="e">
        <f>VLOOKUP($E954,'Component List'!G$2:H$30,2,FALSE)</f>
        <v>#N/A</v>
      </c>
      <c r="U954" s="77" t="e">
        <f>VLOOKUP($F954,'Component List'!I$2:J$30,2,FALSE)</f>
        <v>#N/A</v>
      </c>
      <c r="V954" s="77" t="e">
        <f>VLOOKUP(G954,'Component List'!K$2:L$30,2,FALSE)</f>
        <v>#N/A</v>
      </c>
      <c r="W954" s="77" t="e">
        <f>VLOOKUP(H954,'Component List'!M$2:N$31,2,FALSE)</f>
        <v>#N/A</v>
      </c>
      <c r="X954" s="77" t="e">
        <f>VLOOKUP(I954,'Component List'!O$2:P$30,2,FALSE)</f>
        <v>#N/A</v>
      </c>
      <c r="Y954" s="77" t="e">
        <f>VLOOKUP(J954,'Component List'!Q$2:R$30,2,FALSE)</f>
        <v>#N/A</v>
      </c>
      <c r="Z954" s="77" t="e">
        <f>VLOOKUP(K954,'Component List'!S$2:T$30,2,FALSE)</f>
        <v>#N/A</v>
      </c>
      <c r="AA954" s="77" t="e">
        <f>VLOOKUP(L954,'Component List'!U$2:V$30,2,FALSE)</f>
        <v>#N/A</v>
      </c>
      <c r="AB954" s="77" t="e">
        <f>VLOOKUP(M954,'Component List'!AA$2:AB$30,2,FALSE)</f>
        <v>#N/A</v>
      </c>
      <c r="AC954" s="77" t="e">
        <f>VLOOKUP(N954,'Component List'!Y$2:Z$30,2,FALSE)</f>
        <v>#N/A</v>
      </c>
      <c r="AD954" s="77" t="e">
        <f>VLOOKUP(O954,'Component List'!W$3:X$30,2,FALSE)</f>
        <v>#N/A</v>
      </c>
    </row>
    <row r="955" spans="1:30" ht="30" customHeight="1" x14ac:dyDescent="0.3">
      <c r="A955" s="76"/>
      <c r="B955" s="78"/>
      <c r="C955" s="78"/>
      <c r="D955" s="78"/>
      <c r="E955" s="79"/>
      <c r="F955" s="78"/>
      <c r="G955" s="78"/>
      <c r="H955" s="78"/>
      <c r="I955" s="78"/>
      <c r="J955" s="78"/>
      <c r="K955" s="110"/>
      <c r="L955" s="110"/>
      <c r="M955" s="78"/>
      <c r="N955" s="78"/>
      <c r="O955" s="117"/>
      <c r="P955" s="114" t="e">
        <f t="shared" si="13"/>
        <v>#N/A</v>
      </c>
      <c r="Q955" s="77" t="e">
        <f>VLOOKUP($B955,'Component List'!$A$2:$B$30,2,FALSE)</f>
        <v>#N/A</v>
      </c>
      <c r="R955" s="77" t="e">
        <f>VLOOKUP($C955,'Component List'!C$2:D$28,2,FALSE)</f>
        <v>#N/A</v>
      </c>
      <c r="S955" s="77" t="e">
        <f>VLOOKUP($D955,'Component List'!E$2:F$30,2,FALSE)</f>
        <v>#N/A</v>
      </c>
      <c r="T955" s="77" t="e">
        <f>VLOOKUP($E955,'Component List'!G$2:H$30,2,FALSE)</f>
        <v>#N/A</v>
      </c>
      <c r="U955" s="77" t="e">
        <f>VLOOKUP($F955,'Component List'!I$2:J$30,2,FALSE)</f>
        <v>#N/A</v>
      </c>
      <c r="V955" s="77" t="e">
        <f>VLOOKUP(G955,'Component List'!K$2:L$30,2,FALSE)</f>
        <v>#N/A</v>
      </c>
      <c r="W955" s="77" t="e">
        <f>VLOOKUP(H955,'Component List'!M$2:N$31,2,FALSE)</f>
        <v>#N/A</v>
      </c>
      <c r="X955" s="77" t="e">
        <f>VLOOKUP(I955,'Component List'!O$2:P$30,2,FALSE)</f>
        <v>#N/A</v>
      </c>
      <c r="Y955" s="77" t="e">
        <f>VLOOKUP(J955,'Component List'!Q$2:R$30,2,FALSE)</f>
        <v>#N/A</v>
      </c>
      <c r="Z955" s="77" t="e">
        <f>VLOOKUP(K955,'Component List'!S$2:T$30,2,FALSE)</f>
        <v>#N/A</v>
      </c>
      <c r="AA955" s="77" t="e">
        <f>VLOOKUP(L955,'Component List'!U$2:V$30,2,FALSE)</f>
        <v>#N/A</v>
      </c>
      <c r="AB955" s="77" t="e">
        <f>VLOOKUP(M955,'Component List'!AA$2:AB$30,2,FALSE)</f>
        <v>#N/A</v>
      </c>
      <c r="AC955" s="77" t="e">
        <f>VLOOKUP(N955,'Component List'!Y$2:Z$30,2,FALSE)</f>
        <v>#N/A</v>
      </c>
      <c r="AD955" s="77" t="e">
        <f>VLOOKUP(O955,'Component List'!W$3:X$30,2,FALSE)</f>
        <v>#N/A</v>
      </c>
    </row>
    <row r="956" spans="1:30" ht="30" customHeight="1" x14ac:dyDescent="0.3">
      <c r="A956" s="76"/>
      <c r="B956" s="78"/>
      <c r="C956" s="78"/>
      <c r="D956" s="78"/>
      <c r="E956" s="79"/>
      <c r="F956" s="78"/>
      <c r="G956" s="78"/>
      <c r="H956" s="78"/>
      <c r="I956" s="78"/>
      <c r="J956" s="78"/>
      <c r="K956" s="110"/>
      <c r="L956" s="110"/>
      <c r="M956" s="78"/>
      <c r="N956" s="78"/>
      <c r="O956" s="117"/>
      <c r="P956" s="114" t="e">
        <f t="shared" si="13"/>
        <v>#N/A</v>
      </c>
      <c r="Q956" s="77" t="e">
        <f>VLOOKUP($B956,'Component List'!$A$2:$B$30,2,FALSE)</f>
        <v>#N/A</v>
      </c>
      <c r="R956" s="77" t="e">
        <f>VLOOKUP($C956,'Component List'!C$2:D$28,2,FALSE)</f>
        <v>#N/A</v>
      </c>
      <c r="S956" s="77" t="e">
        <f>VLOOKUP($D956,'Component List'!E$2:F$30,2,FALSE)</f>
        <v>#N/A</v>
      </c>
      <c r="T956" s="77" t="e">
        <f>VLOOKUP($E956,'Component List'!G$2:H$30,2,FALSE)</f>
        <v>#N/A</v>
      </c>
      <c r="U956" s="77" t="e">
        <f>VLOOKUP($F956,'Component List'!I$2:J$30,2,FALSE)</f>
        <v>#N/A</v>
      </c>
      <c r="V956" s="77" t="e">
        <f>VLOOKUP(G956,'Component List'!K$2:L$30,2,FALSE)</f>
        <v>#N/A</v>
      </c>
      <c r="W956" s="77" t="e">
        <f>VLOOKUP(H956,'Component List'!M$2:N$31,2,FALSE)</f>
        <v>#N/A</v>
      </c>
      <c r="X956" s="77" t="e">
        <f>VLOOKUP(I956,'Component List'!O$2:P$30,2,FALSE)</f>
        <v>#N/A</v>
      </c>
      <c r="Y956" s="77" t="e">
        <f>VLOOKUP(J956,'Component List'!Q$2:R$30,2,FALSE)</f>
        <v>#N/A</v>
      </c>
      <c r="Z956" s="77" t="e">
        <f>VLOOKUP(K956,'Component List'!S$2:T$30,2,FALSE)</f>
        <v>#N/A</v>
      </c>
      <c r="AA956" s="77" t="e">
        <f>VLOOKUP(L956,'Component List'!U$2:V$30,2,FALSE)</f>
        <v>#N/A</v>
      </c>
      <c r="AB956" s="77" t="e">
        <f>VLOOKUP(M956,'Component List'!AA$2:AB$30,2,FALSE)</f>
        <v>#N/A</v>
      </c>
      <c r="AC956" s="77" t="e">
        <f>VLOOKUP(N956,'Component List'!Y$2:Z$30,2,FALSE)</f>
        <v>#N/A</v>
      </c>
      <c r="AD956" s="77" t="e">
        <f>VLOOKUP(O956,'Component List'!W$3:X$30,2,FALSE)</f>
        <v>#N/A</v>
      </c>
    </row>
    <row r="957" spans="1:30" ht="30" customHeight="1" x14ac:dyDescent="0.3">
      <c r="A957" s="76"/>
      <c r="B957" s="78"/>
      <c r="C957" s="78"/>
      <c r="D957" s="78"/>
      <c r="E957" s="79"/>
      <c r="F957" s="78"/>
      <c r="G957" s="78"/>
      <c r="H957" s="78"/>
      <c r="I957" s="78"/>
      <c r="J957" s="78"/>
      <c r="K957" s="110"/>
      <c r="L957" s="110"/>
      <c r="M957" s="78"/>
      <c r="N957" s="78"/>
      <c r="O957" s="117"/>
      <c r="P957" s="114" t="e">
        <f t="shared" si="13"/>
        <v>#N/A</v>
      </c>
      <c r="Q957" s="77" t="e">
        <f>VLOOKUP($B957,'Component List'!$A$2:$B$30,2,FALSE)</f>
        <v>#N/A</v>
      </c>
      <c r="R957" s="77" t="e">
        <f>VLOOKUP($C957,'Component List'!C$2:D$28,2,FALSE)</f>
        <v>#N/A</v>
      </c>
      <c r="S957" s="77" t="e">
        <f>VLOOKUP($D957,'Component List'!E$2:F$30,2,FALSE)</f>
        <v>#N/A</v>
      </c>
      <c r="T957" s="77" t="e">
        <f>VLOOKUP($E957,'Component List'!G$2:H$30,2,FALSE)</f>
        <v>#N/A</v>
      </c>
      <c r="U957" s="77" t="e">
        <f>VLOOKUP($F957,'Component List'!I$2:J$30,2,FALSE)</f>
        <v>#N/A</v>
      </c>
      <c r="V957" s="77" t="e">
        <f>VLOOKUP(G957,'Component List'!K$2:L$30,2,FALSE)</f>
        <v>#N/A</v>
      </c>
      <c r="W957" s="77" t="e">
        <f>VLOOKUP(H957,'Component List'!M$2:N$31,2,FALSE)</f>
        <v>#N/A</v>
      </c>
      <c r="X957" s="77" t="e">
        <f>VLOOKUP(I957,'Component List'!O$2:P$30,2,FALSE)</f>
        <v>#N/A</v>
      </c>
      <c r="Y957" s="77" t="e">
        <f>VLOOKUP(J957,'Component List'!Q$2:R$30,2,FALSE)</f>
        <v>#N/A</v>
      </c>
      <c r="Z957" s="77" t="e">
        <f>VLOOKUP(K957,'Component List'!S$2:T$30,2,FALSE)</f>
        <v>#N/A</v>
      </c>
      <c r="AA957" s="77" t="e">
        <f>VLOOKUP(L957,'Component List'!U$2:V$30,2,FALSE)</f>
        <v>#N/A</v>
      </c>
      <c r="AB957" s="77" t="e">
        <f>VLOOKUP(M957,'Component List'!AA$2:AB$30,2,FALSE)</f>
        <v>#N/A</v>
      </c>
      <c r="AC957" s="77" t="e">
        <f>VLOOKUP(N957,'Component List'!Y$2:Z$30,2,FALSE)</f>
        <v>#N/A</v>
      </c>
      <c r="AD957" s="77" t="e">
        <f>VLOOKUP(O957,'Component List'!W$3:X$30,2,FALSE)</f>
        <v>#N/A</v>
      </c>
    </row>
    <row r="958" spans="1:30" ht="30" customHeight="1" x14ac:dyDescent="0.3">
      <c r="A958" s="76"/>
      <c r="B958" s="78"/>
      <c r="C958" s="78"/>
      <c r="D958" s="78"/>
      <c r="E958" s="79"/>
      <c r="F958" s="78"/>
      <c r="G958" s="78"/>
      <c r="H958" s="78"/>
      <c r="I958" s="78"/>
      <c r="J958" s="78"/>
      <c r="K958" s="110"/>
      <c r="L958" s="110"/>
      <c r="M958" s="78"/>
      <c r="N958" s="78"/>
      <c r="O958" s="117"/>
      <c r="P958" s="114" t="e">
        <f t="shared" si="13"/>
        <v>#N/A</v>
      </c>
      <c r="Q958" s="77" t="e">
        <f>VLOOKUP($B958,'Component List'!$A$2:$B$30,2,FALSE)</f>
        <v>#N/A</v>
      </c>
      <c r="R958" s="77" t="e">
        <f>VLOOKUP($C958,'Component List'!C$2:D$28,2,FALSE)</f>
        <v>#N/A</v>
      </c>
      <c r="S958" s="77" t="e">
        <f>VLOOKUP($D958,'Component List'!E$2:F$30,2,FALSE)</f>
        <v>#N/A</v>
      </c>
      <c r="T958" s="77" t="e">
        <f>VLOOKUP($E958,'Component List'!G$2:H$30,2,FALSE)</f>
        <v>#N/A</v>
      </c>
      <c r="U958" s="77" t="e">
        <f>VLOOKUP($F958,'Component List'!I$2:J$30,2,FALSE)</f>
        <v>#N/A</v>
      </c>
      <c r="V958" s="77" t="e">
        <f>VLOOKUP(G958,'Component List'!K$2:L$30,2,FALSE)</f>
        <v>#N/A</v>
      </c>
      <c r="W958" s="77" t="e">
        <f>VLOOKUP(H958,'Component List'!M$2:N$31,2,FALSE)</f>
        <v>#N/A</v>
      </c>
      <c r="X958" s="77" t="e">
        <f>VLOOKUP(I958,'Component List'!O$2:P$30,2,FALSE)</f>
        <v>#N/A</v>
      </c>
      <c r="Y958" s="77" t="e">
        <f>VLOOKUP(J958,'Component List'!Q$2:R$30,2,FALSE)</f>
        <v>#N/A</v>
      </c>
      <c r="Z958" s="77" t="e">
        <f>VLOOKUP(K958,'Component List'!S$2:T$30,2,FALSE)</f>
        <v>#N/A</v>
      </c>
      <c r="AA958" s="77" t="e">
        <f>VLOOKUP(L958,'Component List'!U$2:V$30,2,FALSE)</f>
        <v>#N/A</v>
      </c>
      <c r="AB958" s="77" t="e">
        <f>VLOOKUP(M958,'Component List'!AA$2:AB$30,2,FALSE)</f>
        <v>#N/A</v>
      </c>
      <c r="AC958" s="77" t="e">
        <f>VLOOKUP(N958,'Component List'!Y$2:Z$30,2,FALSE)</f>
        <v>#N/A</v>
      </c>
      <c r="AD958" s="77" t="e">
        <f>VLOOKUP(O958,'Component List'!W$3:X$30,2,FALSE)</f>
        <v>#N/A</v>
      </c>
    </row>
    <row r="959" spans="1:30" ht="30" customHeight="1" x14ac:dyDescent="0.3">
      <c r="A959" s="76"/>
      <c r="B959" s="78"/>
      <c r="C959" s="78"/>
      <c r="D959" s="78"/>
      <c r="E959" s="79"/>
      <c r="F959" s="78"/>
      <c r="G959" s="78"/>
      <c r="H959" s="78"/>
      <c r="I959" s="78"/>
      <c r="J959" s="78"/>
      <c r="K959" s="110"/>
      <c r="L959" s="110"/>
      <c r="M959" s="78"/>
      <c r="N959" s="78"/>
      <c r="O959" s="117"/>
      <c r="P959" s="114" t="e">
        <f t="shared" si="13"/>
        <v>#N/A</v>
      </c>
      <c r="Q959" s="77" t="e">
        <f>VLOOKUP($B959,'Component List'!$A$2:$B$30,2,FALSE)</f>
        <v>#N/A</v>
      </c>
      <c r="R959" s="77" t="e">
        <f>VLOOKUP($C959,'Component List'!C$2:D$28,2,FALSE)</f>
        <v>#N/A</v>
      </c>
      <c r="S959" s="77" t="e">
        <f>VLOOKUP($D959,'Component List'!E$2:F$30,2,FALSE)</f>
        <v>#N/A</v>
      </c>
      <c r="T959" s="77" t="e">
        <f>VLOOKUP($E959,'Component List'!G$2:H$30,2,FALSE)</f>
        <v>#N/A</v>
      </c>
      <c r="U959" s="77" t="e">
        <f>VLOOKUP($F959,'Component List'!I$2:J$30,2,FALSE)</f>
        <v>#N/A</v>
      </c>
      <c r="V959" s="77" t="e">
        <f>VLOOKUP(G959,'Component List'!K$2:L$30,2,FALSE)</f>
        <v>#N/A</v>
      </c>
      <c r="W959" s="77" t="e">
        <f>VLOOKUP(H959,'Component List'!M$2:N$31,2,FALSE)</f>
        <v>#N/A</v>
      </c>
      <c r="X959" s="77" t="e">
        <f>VLOOKUP(I959,'Component List'!O$2:P$30,2,FALSE)</f>
        <v>#N/A</v>
      </c>
      <c r="Y959" s="77" t="e">
        <f>VLOOKUP(J959,'Component List'!Q$2:R$30,2,FALSE)</f>
        <v>#N/A</v>
      </c>
      <c r="Z959" s="77" t="e">
        <f>VLOOKUP(K959,'Component List'!S$2:T$30,2,FALSE)</f>
        <v>#N/A</v>
      </c>
      <c r="AA959" s="77" t="e">
        <f>VLOOKUP(L959,'Component List'!U$2:V$30,2,FALSE)</f>
        <v>#N/A</v>
      </c>
      <c r="AB959" s="77" t="e">
        <f>VLOOKUP(M959,'Component List'!AA$2:AB$30,2,FALSE)</f>
        <v>#N/A</v>
      </c>
      <c r="AC959" s="77" t="e">
        <f>VLOOKUP(N959,'Component List'!Y$2:Z$30,2,FALSE)</f>
        <v>#N/A</v>
      </c>
      <c r="AD959" s="77" t="e">
        <f>VLOOKUP(O959,'Component List'!W$3:X$30,2,FALSE)</f>
        <v>#N/A</v>
      </c>
    </row>
    <row r="960" spans="1:30" ht="30" customHeight="1" x14ac:dyDescent="0.3">
      <c r="A960" s="76"/>
      <c r="B960" s="78"/>
      <c r="C960" s="78"/>
      <c r="D960" s="78"/>
      <c r="E960" s="79"/>
      <c r="F960" s="78"/>
      <c r="G960" s="78"/>
      <c r="H960" s="78"/>
      <c r="I960" s="78"/>
      <c r="J960" s="78"/>
      <c r="K960" s="110"/>
      <c r="L960" s="110"/>
      <c r="M960" s="78"/>
      <c r="N960" s="78"/>
      <c r="O960" s="117"/>
      <c r="P960" s="114" t="e">
        <f t="shared" si="13"/>
        <v>#N/A</v>
      </c>
      <c r="Q960" s="77" t="e">
        <f>VLOOKUP($B960,'Component List'!$A$2:$B$30,2,FALSE)</f>
        <v>#N/A</v>
      </c>
      <c r="R960" s="77" t="e">
        <f>VLOOKUP($C960,'Component List'!C$2:D$28,2,FALSE)</f>
        <v>#N/A</v>
      </c>
      <c r="S960" s="77" t="e">
        <f>VLOOKUP($D960,'Component List'!E$2:F$30,2,FALSE)</f>
        <v>#N/A</v>
      </c>
      <c r="T960" s="77" t="e">
        <f>VLOOKUP($E960,'Component List'!G$2:H$30,2,FALSE)</f>
        <v>#N/A</v>
      </c>
      <c r="U960" s="77" t="e">
        <f>VLOOKUP($F960,'Component List'!I$2:J$30,2,FALSE)</f>
        <v>#N/A</v>
      </c>
      <c r="V960" s="77" t="e">
        <f>VLOOKUP(G960,'Component List'!K$2:L$30,2,FALSE)</f>
        <v>#N/A</v>
      </c>
      <c r="W960" s="77" t="e">
        <f>VLOOKUP(H960,'Component List'!M$2:N$31,2,FALSE)</f>
        <v>#N/A</v>
      </c>
      <c r="X960" s="77" t="e">
        <f>VLOOKUP(I960,'Component List'!O$2:P$30,2,FALSE)</f>
        <v>#N/A</v>
      </c>
      <c r="Y960" s="77" t="e">
        <f>VLOOKUP(J960,'Component List'!Q$2:R$30,2,FALSE)</f>
        <v>#N/A</v>
      </c>
      <c r="Z960" s="77" t="e">
        <f>VLOOKUP(K960,'Component List'!S$2:T$30,2,FALSE)</f>
        <v>#N/A</v>
      </c>
      <c r="AA960" s="77" t="e">
        <f>VLOOKUP(L960,'Component List'!U$2:V$30,2,FALSE)</f>
        <v>#N/A</v>
      </c>
      <c r="AB960" s="77" t="e">
        <f>VLOOKUP(M960,'Component List'!AA$2:AB$30,2,FALSE)</f>
        <v>#N/A</v>
      </c>
      <c r="AC960" s="77" t="e">
        <f>VLOOKUP(N960,'Component List'!Y$2:Z$30,2,FALSE)</f>
        <v>#N/A</v>
      </c>
      <c r="AD960" s="77" t="e">
        <f>VLOOKUP(O960,'Component List'!W$3:X$30,2,FALSE)</f>
        <v>#N/A</v>
      </c>
    </row>
    <row r="961" spans="1:30" ht="30" customHeight="1" x14ac:dyDescent="0.3">
      <c r="A961" s="76"/>
      <c r="B961" s="78"/>
      <c r="C961" s="78"/>
      <c r="D961" s="78"/>
      <c r="E961" s="79"/>
      <c r="F961" s="78"/>
      <c r="G961" s="78"/>
      <c r="H961" s="78"/>
      <c r="I961" s="78"/>
      <c r="J961" s="78"/>
      <c r="K961" s="110"/>
      <c r="L961" s="110"/>
      <c r="M961" s="78"/>
      <c r="N961" s="78"/>
      <c r="O961" s="117"/>
      <c r="P961" s="114" t="e">
        <f t="shared" si="13"/>
        <v>#N/A</v>
      </c>
      <c r="Q961" s="77" t="e">
        <f>VLOOKUP($B961,'Component List'!$A$2:$B$30,2,FALSE)</f>
        <v>#N/A</v>
      </c>
      <c r="R961" s="77" t="e">
        <f>VLOOKUP($C961,'Component List'!C$2:D$28,2,FALSE)</f>
        <v>#N/A</v>
      </c>
      <c r="S961" s="77" t="e">
        <f>VLOOKUP($D961,'Component List'!E$2:F$30,2,FALSE)</f>
        <v>#N/A</v>
      </c>
      <c r="T961" s="77" t="e">
        <f>VLOOKUP($E961,'Component List'!G$2:H$30,2,FALSE)</f>
        <v>#N/A</v>
      </c>
      <c r="U961" s="77" t="e">
        <f>VLOOKUP($F961,'Component List'!I$2:J$30,2,FALSE)</f>
        <v>#N/A</v>
      </c>
      <c r="V961" s="77" t="e">
        <f>VLOOKUP(G961,'Component List'!K$2:L$30,2,FALSE)</f>
        <v>#N/A</v>
      </c>
      <c r="W961" s="77" t="e">
        <f>VLOOKUP(H961,'Component List'!M$2:N$31,2,FALSE)</f>
        <v>#N/A</v>
      </c>
      <c r="X961" s="77" t="e">
        <f>VLOOKUP(I961,'Component List'!O$2:P$30,2,FALSE)</f>
        <v>#N/A</v>
      </c>
      <c r="Y961" s="77" t="e">
        <f>VLOOKUP(J961,'Component List'!Q$2:R$30,2,FALSE)</f>
        <v>#N/A</v>
      </c>
      <c r="Z961" s="77" t="e">
        <f>VLOOKUP(K961,'Component List'!S$2:T$30,2,FALSE)</f>
        <v>#N/A</v>
      </c>
      <c r="AA961" s="77" t="e">
        <f>VLOOKUP(L961,'Component List'!U$2:V$30,2,FALSE)</f>
        <v>#N/A</v>
      </c>
      <c r="AB961" s="77" t="e">
        <f>VLOOKUP(M961,'Component List'!AA$2:AB$30,2,FALSE)</f>
        <v>#N/A</v>
      </c>
      <c r="AC961" s="77" t="e">
        <f>VLOOKUP(N961,'Component List'!Y$2:Z$30,2,FALSE)</f>
        <v>#N/A</v>
      </c>
      <c r="AD961" s="77" t="e">
        <f>VLOOKUP(O961,'Component List'!W$3:X$30,2,FALSE)</f>
        <v>#N/A</v>
      </c>
    </row>
    <row r="962" spans="1:30" ht="30" customHeight="1" x14ac:dyDescent="0.3">
      <c r="A962" s="76"/>
      <c r="B962" s="78"/>
      <c r="C962" s="78"/>
      <c r="D962" s="78"/>
      <c r="E962" s="79"/>
      <c r="F962" s="78"/>
      <c r="G962" s="78"/>
      <c r="H962" s="78"/>
      <c r="I962" s="78"/>
      <c r="J962" s="78"/>
      <c r="K962" s="110"/>
      <c r="L962" s="110"/>
      <c r="M962" s="78"/>
      <c r="N962" s="78"/>
      <c r="O962" s="117"/>
      <c r="P962" s="114" t="e">
        <f t="shared" si="13"/>
        <v>#N/A</v>
      </c>
      <c r="Q962" s="77" t="e">
        <f>VLOOKUP($B962,'Component List'!$A$2:$B$30,2,FALSE)</f>
        <v>#N/A</v>
      </c>
      <c r="R962" s="77" t="e">
        <f>VLOOKUP($C962,'Component List'!C$2:D$28,2,FALSE)</f>
        <v>#N/A</v>
      </c>
      <c r="S962" s="77" t="e">
        <f>VLOOKUP($D962,'Component List'!E$2:F$30,2,FALSE)</f>
        <v>#N/A</v>
      </c>
      <c r="T962" s="77" t="e">
        <f>VLOOKUP($E962,'Component List'!G$2:H$30,2,FALSE)</f>
        <v>#N/A</v>
      </c>
      <c r="U962" s="77" t="e">
        <f>VLOOKUP($F962,'Component List'!I$2:J$30,2,FALSE)</f>
        <v>#N/A</v>
      </c>
      <c r="V962" s="77" t="e">
        <f>VLOOKUP(G962,'Component List'!K$2:L$30,2,FALSE)</f>
        <v>#N/A</v>
      </c>
      <c r="W962" s="77" t="e">
        <f>VLOOKUP(H962,'Component List'!M$2:N$31,2,FALSE)</f>
        <v>#N/A</v>
      </c>
      <c r="X962" s="77" t="e">
        <f>VLOOKUP(I962,'Component List'!O$2:P$30,2,FALSE)</f>
        <v>#N/A</v>
      </c>
      <c r="Y962" s="77" t="e">
        <f>VLOOKUP(J962,'Component List'!Q$2:R$30,2,FALSE)</f>
        <v>#N/A</v>
      </c>
      <c r="Z962" s="77" t="e">
        <f>VLOOKUP(K962,'Component List'!S$2:T$30,2,FALSE)</f>
        <v>#N/A</v>
      </c>
      <c r="AA962" s="77" t="e">
        <f>VLOOKUP(L962,'Component List'!U$2:V$30,2,FALSE)</f>
        <v>#N/A</v>
      </c>
      <c r="AB962" s="77" t="e">
        <f>VLOOKUP(M962,'Component List'!AA$2:AB$30,2,FALSE)</f>
        <v>#N/A</v>
      </c>
      <c r="AC962" s="77" t="e">
        <f>VLOOKUP(N962,'Component List'!Y$2:Z$30,2,FALSE)</f>
        <v>#N/A</v>
      </c>
      <c r="AD962" s="77" t="e">
        <f>VLOOKUP(O962,'Component List'!W$3:X$30,2,FALSE)</f>
        <v>#N/A</v>
      </c>
    </row>
    <row r="963" spans="1:30" ht="30" customHeight="1" x14ac:dyDescent="0.3">
      <c r="A963" s="76"/>
      <c r="B963" s="78"/>
      <c r="C963" s="78"/>
      <c r="D963" s="78"/>
      <c r="E963" s="79"/>
      <c r="F963" s="78"/>
      <c r="G963" s="78"/>
      <c r="H963" s="78"/>
      <c r="I963" s="78"/>
      <c r="J963" s="78"/>
      <c r="K963" s="110"/>
      <c r="L963" s="110"/>
      <c r="M963" s="78"/>
      <c r="N963" s="78"/>
      <c r="O963" s="117"/>
      <c r="P963" s="114" t="e">
        <f t="shared" si="13"/>
        <v>#N/A</v>
      </c>
      <c r="Q963" s="77" t="e">
        <f>VLOOKUP($B963,'Component List'!$A$2:$B$30,2,FALSE)</f>
        <v>#N/A</v>
      </c>
      <c r="R963" s="77" t="e">
        <f>VLOOKUP($C963,'Component List'!C$2:D$28,2,FALSE)</f>
        <v>#N/A</v>
      </c>
      <c r="S963" s="77" t="e">
        <f>VLOOKUP($D963,'Component List'!E$2:F$30,2,FALSE)</f>
        <v>#N/A</v>
      </c>
      <c r="T963" s="77" t="e">
        <f>VLOOKUP($E963,'Component List'!G$2:H$30,2,FALSE)</f>
        <v>#N/A</v>
      </c>
      <c r="U963" s="77" t="e">
        <f>VLOOKUP($F963,'Component List'!I$2:J$30,2,FALSE)</f>
        <v>#N/A</v>
      </c>
      <c r="V963" s="77" t="e">
        <f>VLOOKUP(G963,'Component List'!K$2:L$30,2,FALSE)</f>
        <v>#N/A</v>
      </c>
      <c r="W963" s="77" t="e">
        <f>VLOOKUP(H963,'Component List'!M$2:N$31,2,FALSE)</f>
        <v>#N/A</v>
      </c>
      <c r="X963" s="77" t="e">
        <f>VLOOKUP(I963,'Component List'!O$2:P$30,2,FALSE)</f>
        <v>#N/A</v>
      </c>
      <c r="Y963" s="77" t="e">
        <f>VLOOKUP(J963,'Component List'!Q$2:R$30,2,FALSE)</f>
        <v>#N/A</v>
      </c>
      <c r="Z963" s="77" t="e">
        <f>VLOOKUP(K963,'Component List'!S$2:T$30,2,FALSE)</f>
        <v>#N/A</v>
      </c>
      <c r="AA963" s="77" t="e">
        <f>VLOOKUP(L963,'Component List'!U$2:V$30,2,FALSE)</f>
        <v>#N/A</v>
      </c>
      <c r="AB963" s="77" t="e">
        <f>VLOOKUP(M963,'Component List'!AA$2:AB$30,2,FALSE)</f>
        <v>#N/A</v>
      </c>
      <c r="AC963" s="77" t="e">
        <f>VLOOKUP(N963,'Component List'!Y$2:Z$30,2,FALSE)</f>
        <v>#N/A</v>
      </c>
      <c r="AD963" s="77" t="e">
        <f>VLOOKUP(O963,'Component List'!W$3:X$30,2,FALSE)</f>
        <v>#N/A</v>
      </c>
    </row>
    <row r="964" spans="1:30" ht="30" customHeight="1" x14ac:dyDescent="0.3">
      <c r="A964" s="76"/>
      <c r="B964" s="78"/>
      <c r="C964" s="78"/>
      <c r="D964" s="78"/>
      <c r="E964" s="79"/>
      <c r="F964" s="78"/>
      <c r="G964" s="78"/>
      <c r="H964" s="78"/>
      <c r="I964" s="78"/>
      <c r="J964" s="78"/>
      <c r="K964" s="110"/>
      <c r="L964" s="110"/>
      <c r="M964" s="78"/>
      <c r="N964" s="78"/>
      <c r="O964" s="117"/>
      <c r="P964" s="114" t="e">
        <f t="shared" si="13"/>
        <v>#N/A</v>
      </c>
      <c r="Q964" s="77" t="e">
        <f>VLOOKUP($B964,'Component List'!$A$2:$B$30,2,FALSE)</f>
        <v>#N/A</v>
      </c>
      <c r="R964" s="77" t="e">
        <f>VLOOKUP($C964,'Component List'!C$2:D$28,2,FALSE)</f>
        <v>#N/A</v>
      </c>
      <c r="S964" s="77" t="e">
        <f>VLOOKUP($D964,'Component List'!E$2:F$30,2,FALSE)</f>
        <v>#N/A</v>
      </c>
      <c r="T964" s="77" t="e">
        <f>VLOOKUP($E964,'Component List'!G$2:H$30,2,FALSE)</f>
        <v>#N/A</v>
      </c>
      <c r="U964" s="77" t="e">
        <f>VLOOKUP($F964,'Component List'!I$2:J$30,2,FALSE)</f>
        <v>#N/A</v>
      </c>
      <c r="V964" s="77" t="e">
        <f>VLOOKUP(G964,'Component List'!K$2:L$30,2,FALSE)</f>
        <v>#N/A</v>
      </c>
      <c r="W964" s="77" t="e">
        <f>VLOOKUP(H964,'Component List'!M$2:N$31,2,FALSE)</f>
        <v>#N/A</v>
      </c>
      <c r="X964" s="77" t="e">
        <f>VLOOKUP(I964,'Component List'!O$2:P$30,2,FALSE)</f>
        <v>#N/A</v>
      </c>
      <c r="Y964" s="77" t="e">
        <f>VLOOKUP(J964,'Component List'!Q$2:R$30,2,FALSE)</f>
        <v>#N/A</v>
      </c>
      <c r="Z964" s="77" t="e">
        <f>VLOOKUP(K964,'Component List'!S$2:T$30,2,FALSE)</f>
        <v>#N/A</v>
      </c>
      <c r="AA964" s="77" t="e">
        <f>VLOOKUP(L964,'Component List'!U$2:V$30,2,FALSE)</f>
        <v>#N/A</v>
      </c>
      <c r="AB964" s="77" t="e">
        <f>VLOOKUP(M964,'Component List'!AA$2:AB$30,2,FALSE)</f>
        <v>#N/A</v>
      </c>
      <c r="AC964" s="77" t="e">
        <f>VLOOKUP(N964,'Component List'!Y$2:Z$30,2,FALSE)</f>
        <v>#N/A</v>
      </c>
      <c r="AD964" s="77" t="e">
        <f>VLOOKUP(O964,'Component List'!W$3:X$30,2,FALSE)</f>
        <v>#N/A</v>
      </c>
    </row>
    <row r="965" spans="1:30" ht="30" customHeight="1" x14ac:dyDescent="0.3">
      <c r="A965" s="76"/>
      <c r="B965" s="78"/>
      <c r="C965" s="78"/>
      <c r="D965" s="78"/>
      <c r="E965" s="79"/>
      <c r="F965" s="78"/>
      <c r="G965" s="78"/>
      <c r="H965" s="78"/>
      <c r="I965" s="78"/>
      <c r="J965" s="78"/>
      <c r="K965" s="110"/>
      <c r="L965" s="110"/>
      <c r="M965" s="78"/>
      <c r="N965" s="78"/>
      <c r="O965" s="117"/>
      <c r="P965" s="114" t="e">
        <f t="shared" si="13"/>
        <v>#N/A</v>
      </c>
      <c r="Q965" s="77" t="e">
        <f>VLOOKUP($B965,'Component List'!$A$2:$B$30,2,FALSE)</f>
        <v>#N/A</v>
      </c>
      <c r="R965" s="77" t="e">
        <f>VLOOKUP($C965,'Component List'!C$2:D$28,2,FALSE)</f>
        <v>#N/A</v>
      </c>
      <c r="S965" s="77" t="e">
        <f>VLOOKUP($D965,'Component List'!E$2:F$30,2,FALSE)</f>
        <v>#N/A</v>
      </c>
      <c r="T965" s="77" t="e">
        <f>VLOOKUP($E965,'Component List'!G$2:H$30,2,FALSE)</f>
        <v>#N/A</v>
      </c>
      <c r="U965" s="77" t="e">
        <f>VLOOKUP($F965,'Component List'!I$2:J$30,2,FALSE)</f>
        <v>#N/A</v>
      </c>
      <c r="V965" s="77" t="e">
        <f>VLOOKUP(G965,'Component List'!K$2:L$30,2,FALSE)</f>
        <v>#N/A</v>
      </c>
      <c r="W965" s="77" t="e">
        <f>VLOOKUP(H965,'Component List'!M$2:N$31,2,FALSE)</f>
        <v>#N/A</v>
      </c>
      <c r="X965" s="77" t="e">
        <f>VLOOKUP(I965,'Component List'!O$2:P$30,2,FALSE)</f>
        <v>#N/A</v>
      </c>
      <c r="Y965" s="77" t="e">
        <f>VLOOKUP(J965,'Component List'!Q$2:R$30,2,FALSE)</f>
        <v>#N/A</v>
      </c>
      <c r="Z965" s="77" t="e">
        <f>VLOOKUP(K965,'Component List'!S$2:T$30,2,FALSE)</f>
        <v>#N/A</v>
      </c>
      <c r="AA965" s="77" t="e">
        <f>VLOOKUP(L965,'Component List'!U$2:V$30,2,FALSE)</f>
        <v>#N/A</v>
      </c>
      <c r="AB965" s="77" t="e">
        <f>VLOOKUP(M965,'Component List'!AA$2:AB$30,2,FALSE)</f>
        <v>#N/A</v>
      </c>
      <c r="AC965" s="77" t="e">
        <f>VLOOKUP(N965,'Component List'!Y$2:Z$30,2,FALSE)</f>
        <v>#N/A</v>
      </c>
      <c r="AD965" s="77" t="e">
        <f>VLOOKUP(O965,'Component List'!W$3:X$30,2,FALSE)</f>
        <v>#N/A</v>
      </c>
    </row>
    <row r="966" spans="1:30" ht="30" customHeight="1" x14ac:dyDescent="0.3">
      <c r="A966" s="76"/>
      <c r="B966" s="78"/>
      <c r="C966" s="78"/>
      <c r="D966" s="78"/>
      <c r="E966" s="79"/>
      <c r="F966" s="78"/>
      <c r="G966" s="78"/>
      <c r="H966" s="78"/>
      <c r="I966" s="78"/>
      <c r="J966" s="78"/>
      <c r="K966" s="110"/>
      <c r="L966" s="110"/>
      <c r="M966" s="78"/>
      <c r="N966" s="78"/>
      <c r="O966" s="117"/>
      <c r="P966" s="114" t="e">
        <f t="shared" si="13"/>
        <v>#N/A</v>
      </c>
      <c r="Q966" s="77" t="e">
        <f>VLOOKUP($B966,'Component List'!$A$2:$B$30,2,FALSE)</f>
        <v>#N/A</v>
      </c>
      <c r="R966" s="77" t="e">
        <f>VLOOKUP($C966,'Component List'!C$2:D$28,2,FALSE)</f>
        <v>#N/A</v>
      </c>
      <c r="S966" s="77" t="e">
        <f>VLOOKUP($D966,'Component List'!E$2:F$30,2,FALSE)</f>
        <v>#N/A</v>
      </c>
      <c r="T966" s="77" t="e">
        <f>VLOOKUP($E966,'Component List'!G$2:H$30,2,FALSE)</f>
        <v>#N/A</v>
      </c>
      <c r="U966" s="77" t="e">
        <f>VLOOKUP($F966,'Component List'!I$2:J$30,2,FALSE)</f>
        <v>#N/A</v>
      </c>
      <c r="V966" s="77" t="e">
        <f>VLOOKUP(G966,'Component List'!K$2:L$30,2,FALSE)</f>
        <v>#N/A</v>
      </c>
      <c r="W966" s="77" t="e">
        <f>VLOOKUP(H966,'Component List'!M$2:N$31,2,FALSE)</f>
        <v>#N/A</v>
      </c>
      <c r="X966" s="77" t="e">
        <f>VLOOKUP(I966,'Component List'!O$2:P$30,2,FALSE)</f>
        <v>#N/A</v>
      </c>
      <c r="Y966" s="77" t="e">
        <f>VLOOKUP(J966,'Component List'!Q$2:R$30,2,FALSE)</f>
        <v>#N/A</v>
      </c>
      <c r="Z966" s="77" t="e">
        <f>VLOOKUP(K966,'Component List'!S$2:T$30,2,FALSE)</f>
        <v>#N/A</v>
      </c>
      <c r="AA966" s="77" t="e">
        <f>VLOOKUP(L966,'Component List'!U$2:V$30,2,FALSE)</f>
        <v>#N/A</v>
      </c>
      <c r="AB966" s="77" t="e">
        <f>VLOOKUP(M966,'Component List'!AA$2:AB$30,2,FALSE)</f>
        <v>#N/A</v>
      </c>
      <c r="AC966" s="77" t="e">
        <f>VLOOKUP(N966,'Component List'!Y$2:Z$30,2,FALSE)</f>
        <v>#N/A</v>
      </c>
      <c r="AD966" s="77" t="e">
        <f>VLOOKUP(O966,'Component List'!W$3:X$30,2,FALSE)</f>
        <v>#N/A</v>
      </c>
    </row>
    <row r="967" spans="1:30" ht="30" customHeight="1" x14ac:dyDescent="0.3">
      <c r="A967" s="76"/>
      <c r="B967" s="78"/>
      <c r="C967" s="78"/>
      <c r="D967" s="78"/>
      <c r="E967" s="79"/>
      <c r="F967" s="78"/>
      <c r="G967" s="78"/>
      <c r="H967" s="78"/>
      <c r="I967" s="78"/>
      <c r="J967" s="78"/>
      <c r="K967" s="110"/>
      <c r="L967" s="110"/>
      <c r="M967" s="78"/>
      <c r="N967" s="78"/>
      <c r="O967" s="117"/>
      <c r="P967" s="114" t="e">
        <f t="shared" si="13"/>
        <v>#N/A</v>
      </c>
      <c r="Q967" s="77" t="e">
        <f>VLOOKUP($B967,'Component List'!$A$2:$B$30,2,FALSE)</f>
        <v>#N/A</v>
      </c>
      <c r="R967" s="77" t="e">
        <f>VLOOKUP($C967,'Component List'!C$2:D$28,2,FALSE)</f>
        <v>#N/A</v>
      </c>
      <c r="S967" s="77" t="e">
        <f>VLOOKUP($D967,'Component List'!E$2:F$30,2,FALSE)</f>
        <v>#N/A</v>
      </c>
      <c r="T967" s="77" t="e">
        <f>VLOOKUP($E967,'Component List'!G$2:H$30,2,FALSE)</f>
        <v>#N/A</v>
      </c>
      <c r="U967" s="77" t="e">
        <f>VLOOKUP($F967,'Component List'!I$2:J$30,2,FALSE)</f>
        <v>#N/A</v>
      </c>
      <c r="V967" s="77" t="e">
        <f>VLOOKUP(G967,'Component List'!K$2:L$30,2,FALSE)</f>
        <v>#N/A</v>
      </c>
      <c r="W967" s="77" t="e">
        <f>VLOOKUP(H967,'Component List'!M$2:N$31,2,FALSE)</f>
        <v>#N/A</v>
      </c>
      <c r="X967" s="77" t="e">
        <f>VLOOKUP(I967,'Component List'!O$2:P$30,2,FALSE)</f>
        <v>#N/A</v>
      </c>
      <c r="Y967" s="77" t="e">
        <f>VLOOKUP(J967,'Component List'!Q$2:R$30,2,FALSE)</f>
        <v>#N/A</v>
      </c>
      <c r="Z967" s="77" t="e">
        <f>VLOOKUP(K967,'Component List'!S$2:T$30,2,FALSE)</f>
        <v>#N/A</v>
      </c>
      <c r="AA967" s="77" t="e">
        <f>VLOOKUP(L967,'Component List'!U$2:V$30,2,FALSE)</f>
        <v>#N/A</v>
      </c>
      <c r="AB967" s="77" t="e">
        <f>VLOOKUP(M967,'Component List'!AA$2:AB$30,2,FALSE)</f>
        <v>#N/A</v>
      </c>
      <c r="AC967" s="77" t="e">
        <f>VLOOKUP(N967,'Component List'!Y$2:Z$30,2,FALSE)</f>
        <v>#N/A</v>
      </c>
      <c r="AD967" s="77" t="e">
        <f>VLOOKUP(O967,'Component List'!W$3:X$30,2,FALSE)</f>
        <v>#N/A</v>
      </c>
    </row>
    <row r="968" spans="1:30" ht="30" customHeight="1" x14ac:dyDescent="0.3">
      <c r="A968" s="76"/>
      <c r="B968" s="78"/>
      <c r="C968" s="78"/>
      <c r="D968" s="78"/>
      <c r="E968" s="79"/>
      <c r="F968" s="78"/>
      <c r="G968" s="78"/>
      <c r="H968" s="78"/>
      <c r="I968" s="78"/>
      <c r="J968" s="78"/>
      <c r="K968" s="110"/>
      <c r="L968" s="110"/>
      <c r="M968" s="78"/>
      <c r="N968" s="78"/>
      <c r="O968" s="117"/>
      <c r="P968" s="114" t="e">
        <f t="shared" si="13"/>
        <v>#N/A</v>
      </c>
      <c r="Q968" s="77" t="e">
        <f>VLOOKUP($B968,'Component List'!$A$2:$B$30,2,FALSE)</f>
        <v>#N/A</v>
      </c>
      <c r="R968" s="77" t="e">
        <f>VLOOKUP($C968,'Component List'!C$2:D$28,2,FALSE)</f>
        <v>#N/A</v>
      </c>
      <c r="S968" s="77" t="e">
        <f>VLOOKUP($D968,'Component List'!E$2:F$30,2,FALSE)</f>
        <v>#N/A</v>
      </c>
      <c r="T968" s="77" t="e">
        <f>VLOOKUP($E968,'Component List'!G$2:H$30,2,FALSE)</f>
        <v>#N/A</v>
      </c>
      <c r="U968" s="77" t="e">
        <f>VLOOKUP($F968,'Component List'!I$2:J$30,2,FALSE)</f>
        <v>#N/A</v>
      </c>
      <c r="V968" s="77" t="e">
        <f>VLOOKUP(G968,'Component List'!K$2:L$30,2,FALSE)</f>
        <v>#N/A</v>
      </c>
      <c r="W968" s="77" t="e">
        <f>VLOOKUP(H968,'Component List'!M$2:N$31,2,FALSE)</f>
        <v>#N/A</v>
      </c>
      <c r="X968" s="77" t="e">
        <f>VLOOKUP(I968,'Component List'!O$2:P$30,2,FALSE)</f>
        <v>#N/A</v>
      </c>
      <c r="Y968" s="77" t="e">
        <f>VLOOKUP(J968,'Component List'!Q$2:R$30,2,FALSE)</f>
        <v>#N/A</v>
      </c>
      <c r="Z968" s="77" t="e">
        <f>VLOOKUP(K968,'Component List'!S$2:T$30,2,FALSE)</f>
        <v>#N/A</v>
      </c>
      <c r="AA968" s="77" t="e">
        <f>VLOOKUP(L968,'Component List'!U$2:V$30,2,FALSE)</f>
        <v>#N/A</v>
      </c>
      <c r="AB968" s="77" t="e">
        <f>VLOOKUP(M968,'Component List'!AA$2:AB$30,2,FALSE)</f>
        <v>#N/A</v>
      </c>
      <c r="AC968" s="77" t="e">
        <f>VLOOKUP(N968,'Component List'!Y$2:Z$30,2,FALSE)</f>
        <v>#N/A</v>
      </c>
      <c r="AD968" s="77" t="e">
        <f>VLOOKUP(O968,'Component List'!W$3:X$30,2,FALSE)</f>
        <v>#N/A</v>
      </c>
    </row>
    <row r="969" spans="1:30" ht="30" customHeight="1" x14ac:dyDescent="0.3">
      <c r="A969" s="76"/>
      <c r="B969" s="78"/>
      <c r="C969" s="78"/>
      <c r="D969" s="78"/>
      <c r="E969" s="79"/>
      <c r="F969" s="78"/>
      <c r="G969" s="78"/>
      <c r="H969" s="78"/>
      <c r="I969" s="78"/>
      <c r="J969" s="78"/>
      <c r="K969" s="110"/>
      <c r="L969" s="110"/>
      <c r="M969" s="78"/>
      <c r="N969" s="78"/>
      <c r="O969" s="117"/>
      <c r="P969" s="114" t="e">
        <f t="shared" si="13"/>
        <v>#N/A</v>
      </c>
      <c r="Q969" s="77" t="e">
        <f>VLOOKUP($B969,'Component List'!$A$2:$B$30,2,FALSE)</f>
        <v>#N/A</v>
      </c>
      <c r="R969" s="77" t="e">
        <f>VLOOKUP($C969,'Component List'!C$2:D$28,2,FALSE)</f>
        <v>#N/A</v>
      </c>
      <c r="S969" s="77" t="e">
        <f>VLOOKUP($D969,'Component List'!E$2:F$30,2,FALSE)</f>
        <v>#N/A</v>
      </c>
      <c r="T969" s="77" t="e">
        <f>VLOOKUP($E969,'Component List'!G$2:H$30,2,FALSE)</f>
        <v>#N/A</v>
      </c>
      <c r="U969" s="77" t="e">
        <f>VLOOKUP($F969,'Component List'!I$2:J$30,2,FALSE)</f>
        <v>#N/A</v>
      </c>
      <c r="V969" s="77" t="e">
        <f>VLOOKUP(G969,'Component List'!K$2:L$30,2,FALSE)</f>
        <v>#N/A</v>
      </c>
      <c r="W969" s="77" t="e">
        <f>VLOOKUP(H969,'Component List'!M$2:N$31,2,FALSE)</f>
        <v>#N/A</v>
      </c>
      <c r="X969" s="77" t="e">
        <f>VLOOKUP(I969,'Component List'!O$2:P$30,2,FALSE)</f>
        <v>#N/A</v>
      </c>
      <c r="Y969" s="77" t="e">
        <f>VLOOKUP(J969,'Component List'!Q$2:R$30,2,FALSE)</f>
        <v>#N/A</v>
      </c>
      <c r="Z969" s="77" t="e">
        <f>VLOOKUP(K969,'Component List'!S$2:T$30,2,FALSE)</f>
        <v>#N/A</v>
      </c>
      <c r="AA969" s="77" t="e">
        <f>VLOOKUP(L969,'Component List'!U$2:V$30,2,FALSE)</f>
        <v>#N/A</v>
      </c>
      <c r="AB969" s="77" t="e">
        <f>VLOOKUP(M969,'Component List'!AA$2:AB$30,2,FALSE)</f>
        <v>#N/A</v>
      </c>
      <c r="AC969" s="77" t="e">
        <f>VLOOKUP(N969,'Component List'!Y$2:Z$30,2,FALSE)</f>
        <v>#N/A</v>
      </c>
      <c r="AD969" s="77" t="e">
        <f>VLOOKUP(O969,'Component List'!W$3:X$30,2,FALSE)</f>
        <v>#N/A</v>
      </c>
    </row>
    <row r="970" spans="1:30" ht="30" customHeight="1" x14ac:dyDescent="0.3">
      <c r="A970" s="76"/>
      <c r="B970" s="78"/>
      <c r="C970" s="78"/>
      <c r="D970" s="78"/>
      <c r="E970" s="79"/>
      <c r="F970" s="78"/>
      <c r="G970" s="78"/>
      <c r="H970" s="78"/>
      <c r="I970" s="78"/>
      <c r="J970" s="78"/>
      <c r="K970" s="110"/>
      <c r="L970" s="110"/>
      <c r="M970" s="78"/>
      <c r="N970" s="78"/>
      <c r="O970" s="117"/>
      <c r="P970" s="114" t="e">
        <f t="shared" si="13"/>
        <v>#N/A</v>
      </c>
      <c r="Q970" s="77" t="e">
        <f>VLOOKUP($B970,'Component List'!$A$2:$B$30,2,FALSE)</f>
        <v>#N/A</v>
      </c>
      <c r="R970" s="77" t="e">
        <f>VLOOKUP($C970,'Component List'!C$2:D$28,2,FALSE)</f>
        <v>#N/A</v>
      </c>
      <c r="S970" s="77" t="e">
        <f>VLOOKUP($D970,'Component List'!E$2:F$30,2,FALSE)</f>
        <v>#N/A</v>
      </c>
      <c r="T970" s="77" t="e">
        <f>VLOOKUP($E970,'Component List'!G$2:H$30,2,FALSE)</f>
        <v>#N/A</v>
      </c>
      <c r="U970" s="77" t="e">
        <f>VLOOKUP($F970,'Component List'!I$2:J$30,2,FALSE)</f>
        <v>#N/A</v>
      </c>
      <c r="V970" s="77" t="e">
        <f>VLOOKUP(G970,'Component List'!K$2:L$30,2,FALSE)</f>
        <v>#N/A</v>
      </c>
      <c r="W970" s="77" t="e">
        <f>VLOOKUP(H970,'Component List'!M$2:N$31,2,FALSE)</f>
        <v>#N/A</v>
      </c>
      <c r="X970" s="77" t="e">
        <f>VLOOKUP(I970,'Component List'!O$2:P$30,2,FALSE)</f>
        <v>#N/A</v>
      </c>
      <c r="Y970" s="77" t="e">
        <f>VLOOKUP(J970,'Component List'!Q$2:R$30,2,FALSE)</f>
        <v>#N/A</v>
      </c>
      <c r="Z970" s="77" t="e">
        <f>VLOOKUP(K970,'Component List'!S$2:T$30,2,FALSE)</f>
        <v>#N/A</v>
      </c>
      <c r="AA970" s="77" t="e">
        <f>VLOOKUP(L970,'Component List'!U$2:V$30,2,FALSE)</f>
        <v>#N/A</v>
      </c>
      <c r="AB970" s="77" t="e">
        <f>VLOOKUP(M970,'Component List'!AA$2:AB$30,2,FALSE)</f>
        <v>#N/A</v>
      </c>
      <c r="AC970" s="77" t="e">
        <f>VLOOKUP(N970,'Component List'!Y$2:Z$30,2,FALSE)</f>
        <v>#N/A</v>
      </c>
      <c r="AD970" s="77" t="e">
        <f>VLOOKUP(O970,'Component List'!W$3:X$30,2,FALSE)</f>
        <v>#N/A</v>
      </c>
    </row>
    <row r="971" spans="1:30" ht="30" customHeight="1" x14ac:dyDescent="0.3">
      <c r="A971" s="76"/>
      <c r="B971" s="78"/>
      <c r="C971" s="78"/>
      <c r="D971" s="78"/>
      <c r="E971" s="79"/>
      <c r="F971" s="78"/>
      <c r="G971" s="78"/>
      <c r="H971" s="78"/>
      <c r="I971" s="78"/>
      <c r="J971" s="78"/>
      <c r="K971" s="110"/>
      <c r="L971" s="110"/>
      <c r="M971" s="78"/>
      <c r="N971" s="78"/>
      <c r="O971" s="117"/>
      <c r="P971" s="114" t="e">
        <f t="shared" si="13"/>
        <v>#N/A</v>
      </c>
      <c r="Q971" s="77" t="e">
        <f>VLOOKUP($B971,'Component List'!$A$2:$B$30,2,FALSE)</f>
        <v>#N/A</v>
      </c>
      <c r="R971" s="77" t="e">
        <f>VLOOKUP($C971,'Component List'!C$2:D$28,2,FALSE)</f>
        <v>#N/A</v>
      </c>
      <c r="S971" s="77" t="e">
        <f>VLOOKUP($D971,'Component List'!E$2:F$30,2,FALSE)</f>
        <v>#N/A</v>
      </c>
      <c r="T971" s="77" t="e">
        <f>VLOOKUP($E971,'Component List'!G$2:H$30,2,FALSE)</f>
        <v>#N/A</v>
      </c>
      <c r="U971" s="77" t="e">
        <f>VLOOKUP($F971,'Component List'!I$2:J$30,2,FALSE)</f>
        <v>#N/A</v>
      </c>
      <c r="V971" s="77" t="e">
        <f>VLOOKUP(G971,'Component List'!K$2:L$30,2,FALSE)</f>
        <v>#N/A</v>
      </c>
      <c r="W971" s="77" t="e">
        <f>VLOOKUP(H971,'Component List'!M$2:N$31,2,FALSE)</f>
        <v>#N/A</v>
      </c>
      <c r="X971" s="77" t="e">
        <f>VLOOKUP(I971,'Component List'!O$2:P$30,2,FALSE)</f>
        <v>#N/A</v>
      </c>
      <c r="Y971" s="77" t="e">
        <f>VLOOKUP(J971,'Component List'!Q$2:R$30,2,FALSE)</f>
        <v>#N/A</v>
      </c>
      <c r="Z971" s="77" t="e">
        <f>VLOOKUP(K971,'Component List'!S$2:T$30,2,FALSE)</f>
        <v>#N/A</v>
      </c>
      <c r="AA971" s="77" t="e">
        <f>VLOOKUP(L971,'Component List'!U$2:V$30,2,FALSE)</f>
        <v>#N/A</v>
      </c>
      <c r="AB971" s="77" t="e">
        <f>VLOOKUP(M971,'Component List'!AA$2:AB$30,2,FALSE)</f>
        <v>#N/A</v>
      </c>
      <c r="AC971" s="77" t="e">
        <f>VLOOKUP(N971,'Component List'!Y$2:Z$30,2,FALSE)</f>
        <v>#N/A</v>
      </c>
      <c r="AD971" s="77" t="e">
        <f>VLOOKUP(O971,'Component List'!W$3:X$30,2,FALSE)</f>
        <v>#N/A</v>
      </c>
    </row>
    <row r="972" spans="1:30" ht="30" customHeight="1" x14ac:dyDescent="0.3">
      <c r="A972" s="76"/>
      <c r="B972" s="78"/>
      <c r="C972" s="78"/>
      <c r="D972" s="78"/>
      <c r="E972" s="79"/>
      <c r="F972" s="78"/>
      <c r="G972" s="78"/>
      <c r="H972" s="78"/>
      <c r="I972" s="78"/>
      <c r="J972" s="78"/>
      <c r="K972" s="110"/>
      <c r="L972" s="110"/>
      <c r="M972" s="78"/>
      <c r="N972" s="78"/>
      <c r="O972" s="117"/>
      <c r="P972" s="114" t="e">
        <f t="shared" si="13"/>
        <v>#N/A</v>
      </c>
      <c r="Q972" s="77" t="e">
        <f>VLOOKUP($B972,'Component List'!$A$2:$B$30,2,FALSE)</f>
        <v>#N/A</v>
      </c>
      <c r="R972" s="77" t="e">
        <f>VLOOKUP($C972,'Component List'!C$2:D$28,2,FALSE)</f>
        <v>#N/A</v>
      </c>
      <c r="S972" s="77" t="e">
        <f>VLOOKUP($D972,'Component List'!E$2:F$30,2,FALSE)</f>
        <v>#N/A</v>
      </c>
      <c r="T972" s="77" t="e">
        <f>VLOOKUP($E972,'Component List'!G$2:H$30,2,FALSE)</f>
        <v>#N/A</v>
      </c>
      <c r="U972" s="77" t="e">
        <f>VLOOKUP($F972,'Component List'!I$2:J$30,2,FALSE)</f>
        <v>#N/A</v>
      </c>
      <c r="V972" s="77" t="e">
        <f>VLOOKUP(G972,'Component List'!K$2:L$30,2,FALSE)</f>
        <v>#N/A</v>
      </c>
      <c r="W972" s="77" t="e">
        <f>VLOOKUP(H972,'Component List'!M$2:N$31,2,FALSE)</f>
        <v>#N/A</v>
      </c>
      <c r="X972" s="77" t="e">
        <f>VLOOKUP(I972,'Component List'!O$2:P$30,2,FALSE)</f>
        <v>#N/A</v>
      </c>
      <c r="Y972" s="77" t="e">
        <f>VLOOKUP(J972,'Component List'!Q$2:R$30,2,FALSE)</f>
        <v>#N/A</v>
      </c>
      <c r="Z972" s="77" t="e">
        <f>VLOOKUP(K972,'Component List'!S$2:T$30,2,FALSE)</f>
        <v>#N/A</v>
      </c>
      <c r="AA972" s="77" t="e">
        <f>VLOOKUP(L972,'Component List'!U$2:V$30,2,FALSE)</f>
        <v>#N/A</v>
      </c>
      <c r="AB972" s="77" t="e">
        <f>VLOOKUP(M972,'Component List'!AA$2:AB$30,2,FALSE)</f>
        <v>#N/A</v>
      </c>
      <c r="AC972" s="77" t="e">
        <f>VLOOKUP(N972,'Component List'!Y$2:Z$30,2,FALSE)</f>
        <v>#N/A</v>
      </c>
      <c r="AD972" s="77" t="e">
        <f>VLOOKUP(O972,'Component List'!W$3:X$30,2,FALSE)</f>
        <v>#N/A</v>
      </c>
    </row>
    <row r="973" spans="1:30" ht="30" customHeight="1" x14ac:dyDescent="0.3">
      <c r="A973" s="76"/>
      <c r="B973" s="78"/>
      <c r="C973" s="78"/>
      <c r="D973" s="78"/>
      <c r="E973" s="79"/>
      <c r="F973" s="78"/>
      <c r="G973" s="78"/>
      <c r="H973" s="78"/>
      <c r="I973" s="78"/>
      <c r="J973" s="78"/>
      <c r="K973" s="110"/>
      <c r="L973" s="110"/>
      <c r="M973" s="78"/>
      <c r="N973" s="78"/>
      <c r="O973" s="117"/>
      <c r="P973" s="114" t="e">
        <f t="shared" ref="P973:P1036" si="14">Q973&amp;R973&amp;S973&amp;T973&amp;U973&amp;V973&amp;W973&amp;X973&amp;Y973&amp;Z973&amp;AA973&amp;AD973&amp;AC973&amp;AB973</f>
        <v>#N/A</v>
      </c>
      <c r="Q973" s="77" t="e">
        <f>VLOOKUP($B973,'Component List'!$A$2:$B$30,2,FALSE)</f>
        <v>#N/A</v>
      </c>
      <c r="R973" s="77" t="e">
        <f>VLOOKUP($C973,'Component List'!C$2:D$28,2,FALSE)</f>
        <v>#N/A</v>
      </c>
      <c r="S973" s="77" t="e">
        <f>VLOOKUP($D973,'Component List'!E$2:F$30,2,FALSE)</f>
        <v>#N/A</v>
      </c>
      <c r="T973" s="77" t="e">
        <f>VLOOKUP($E973,'Component List'!G$2:H$30,2,FALSE)</f>
        <v>#N/A</v>
      </c>
      <c r="U973" s="77" t="e">
        <f>VLOOKUP($F973,'Component List'!I$2:J$30,2,FALSE)</f>
        <v>#N/A</v>
      </c>
      <c r="V973" s="77" t="e">
        <f>VLOOKUP(G973,'Component List'!K$2:L$30,2,FALSE)</f>
        <v>#N/A</v>
      </c>
      <c r="W973" s="77" t="e">
        <f>VLOOKUP(H973,'Component List'!M$2:N$31,2,FALSE)</f>
        <v>#N/A</v>
      </c>
      <c r="X973" s="77" t="e">
        <f>VLOOKUP(I973,'Component List'!O$2:P$30,2,FALSE)</f>
        <v>#N/A</v>
      </c>
      <c r="Y973" s="77" t="e">
        <f>VLOOKUP(J973,'Component List'!Q$2:R$30,2,FALSE)</f>
        <v>#N/A</v>
      </c>
      <c r="Z973" s="77" t="e">
        <f>VLOOKUP(K973,'Component List'!S$2:T$30,2,FALSE)</f>
        <v>#N/A</v>
      </c>
      <c r="AA973" s="77" t="e">
        <f>VLOOKUP(L973,'Component List'!U$2:V$30,2,FALSE)</f>
        <v>#N/A</v>
      </c>
      <c r="AB973" s="77" t="e">
        <f>VLOOKUP(M973,'Component List'!AA$2:AB$30,2,FALSE)</f>
        <v>#N/A</v>
      </c>
      <c r="AC973" s="77" t="e">
        <f>VLOOKUP(N973,'Component List'!Y$2:Z$30,2,FALSE)</f>
        <v>#N/A</v>
      </c>
      <c r="AD973" s="77" t="e">
        <f>VLOOKUP(O973,'Component List'!W$3:X$30,2,FALSE)</f>
        <v>#N/A</v>
      </c>
    </row>
    <row r="974" spans="1:30" ht="30" customHeight="1" x14ac:dyDescent="0.3">
      <c r="A974" s="76"/>
      <c r="B974" s="78"/>
      <c r="C974" s="78"/>
      <c r="D974" s="78"/>
      <c r="E974" s="79"/>
      <c r="F974" s="78"/>
      <c r="G974" s="78"/>
      <c r="H974" s="78"/>
      <c r="I974" s="78"/>
      <c r="J974" s="78"/>
      <c r="K974" s="110"/>
      <c r="L974" s="110"/>
      <c r="M974" s="78"/>
      <c r="N974" s="78"/>
      <c r="O974" s="117"/>
      <c r="P974" s="114" t="e">
        <f t="shared" si="14"/>
        <v>#N/A</v>
      </c>
      <c r="Q974" s="77" t="e">
        <f>VLOOKUP($B974,'Component List'!$A$2:$B$30,2,FALSE)</f>
        <v>#N/A</v>
      </c>
      <c r="R974" s="77" t="e">
        <f>VLOOKUP($C974,'Component List'!C$2:D$28,2,FALSE)</f>
        <v>#N/A</v>
      </c>
      <c r="S974" s="77" t="e">
        <f>VLOOKUP($D974,'Component List'!E$2:F$30,2,FALSE)</f>
        <v>#N/A</v>
      </c>
      <c r="T974" s="77" t="e">
        <f>VLOOKUP($E974,'Component List'!G$2:H$30,2,FALSE)</f>
        <v>#N/A</v>
      </c>
      <c r="U974" s="77" t="e">
        <f>VLOOKUP($F974,'Component List'!I$2:J$30,2,FALSE)</f>
        <v>#N/A</v>
      </c>
      <c r="V974" s="77" t="e">
        <f>VLOOKUP(G974,'Component List'!K$2:L$30,2,FALSE)</f>
        <v>#N/A</v>
      </c>
      <c r="W974" s="77" t="e">
        <f>VLOOKUP(H974,'Component List'!M$2:N$31,2,FALSE)</f>
        <v>#N/A</v>
      </c>
      <c r="X974" s="77" t="e">
        <f>VLOOKUP(I974,'Component List'!O$2:P$30,2,FALSE)</f>
        <v>#N/A</v>
      </c>
      <c r="Y974" s="77" t="e">
        <f>VLOOKUP(J974,'Component List'!Q$2:R$30,2,FALSE)</f>
        <v>#N/A</v>
      </c>
      <c r="Z974" s="77" t="e">
        <f>VLOOKUP(K974,'Component List'!S$2:T$30,2,FALSE)</f>
        <v>#N/A</v>
      </c>
      <c r="AA974" s="77" t="e">
        <f>VLOOKUP(L974,'Component List'!U$2:V$30,2,FALSE)</f>
        <v>#N/A</v>
      </c>
      <c r="AB974" s="77" t="e">
        <f>VLOOKUP(M974,'Component List'!AA$2:AB$30,2,FALSE)</f>
        <v>#N/A</v>
      </c>
      <c r="AC974" s="77" t="e">
        <f>VLOOKUP(N974,'Component List'!Y$2:Z$30,2,FALSE)</f>
        <v>#N/A</v>
      </c>
      <c r="AD974" s="77" t="e">
        <f>VLOOKUP(O974,'Component List'!W$3:X$30,2,FALSE)</f>
        <v>#N/A</v>
      </c>
    </row>
    <row r="975" spans="1:30" ht="30" customHeight="1" x14ac:dyDescent="0.3">
      <c r="A975" s="76"/>
      <c r="B975" s="78"/>
      <c r="C975" s="78"/>
      <c r="D975" s="78"/>
      <c r="E975" s="79"/>
      <c r="F975" s="78"/>
      <c r="G975" s="78"/>
      <c r="H975" s="78"/>
      <c r="I975" s="78"/>
      <c r="J975" s="78"/>
      <c r="K975" s="110"/>
      <c r="L975" s="110"/>
      <c r="M975" s="78"/>
      <c r="N975" s="78"/>
      <c r="O975" s="117"/>
      <c r="P975" s="114" t="e">
        <f t="shared" si="14"/>
        <v>#N/A</v>
      </c>
      <c r="Q975" s="77" t="e">
        <f>VLOOKUP($B975,'Component List'!$A$2:$B$30,2,FALSE)</f>
        <v>#N/A</v>
      </c>
      <c r="R975" s="77" t="e">
        <f>VLOOKUP($C975,'Component List'!C$2:D$28,2,FALSE)</f>
        <v>#N/A</v>
      </c>
      <c r="S975" s="77" t="e">
        <f>VLOOKUP($D975,'Component List'!E$2:F$30,2,FALSE)</f>
        <v>#N/A</v>
      </c>
      <c r="T975" s="77" t="e">
        <f>VLOOKUP($E975,'Component List'!G$2:H$30,2,FALSE)</f>
        <v>#N/A</v>
      </c>
      <c r="U975" s="77" t="e">
        <f>VLOOKUP($F975,'Component List'!I$2:J$30,2,FALSE)</f>
        <v>#N/A</v>
      </c>
      <c r="V975" s="77" t="e">
        <f>VLOOKUP(G975,'Component List'!K$2:L$30,2,FALSE)</f>
        <v>#N/A</v>
      </c>
      <c r="W975" s="77" t="e">
        <f>VLOOKUP(H975,'Component List'!M$2:N$31,2,FALSE)</f>
        <v>#N/A</v>
      </c>
      <c r="X975" s="77" t="e">
        <f>VLOOKUP(I975,'Component List'!O$2:P$30,2,FALSE)</f>
        <v>#N/A</v>
      </c>
      <c r="Y975" s="77" t="e">
        <f>VLOOKUP(J975,'Component List'!Q$2:R$30,2,FALSE)</f>
        <v>#N/A</v>
      </c>
      <c r="Z975" s="77" t="e">
        <f>VLOOKUP(K975,'Component List'!S$2:T$30,2,FALSE)</f>
        <v>#N/A</v>
      </c>
      <c r="AA975" s="77" t="e">
        <f>VLOOKUP(L975,'Component List'!U$2:V$30,2,FALSE)</f>
        <v>#N/A</v>
      </c>
      <c r="AB975" s="77" t="e">
        <f>VLOOKUP(M975,'Component List'!AA$2:AB$30,2,FALSE)</f>
        <v>#N/A</v>
      </c>
      <c r="AC975" s="77" t="e">
        <f>VLOOKUP(N975,'Component List'!Y$2:Z$30,2,FALSE)</f>
        <v>#N/A</v>
      </c>
      <c r="AD975" s="77" t="e">
        <f>VLOOKUP(O975,'Component List'!W$3:X$30,2,FALSE)</f>
        <v>#N/A</v>
      </c>
    </row>
    <row r="976" spans="1:30" ht="30" customHeight="1" x14ac:dyDescent="0.3">
      <c r="A976" s="76"/>
      <c r="B976" s="78"/>
      <c r="C976" s="78"/>
      <c r="D976" s="78"/>
      <c r="E976" s="79"/>
      <c r="F976" s="78"/>
      <c r="G976" s="78"/>
      <c r="H976" s="78"/>
      <c r="I976" s="78"/>
      <c r="J976" s="78"/>
      <c r="K976" s="110"/>
      <c r="L976" s="110"/>
      <c r="M976" s="78"/>
      <c r="N976" s="78"/>
      <c r="O976" s="117"/>
      <c r="P976" s="114" t="e">
        <f t="shared" si="14"/>
        <v>#N/A</v>
      </c>
      <c r="Q976" s="77" t="e">
        <f>VLOOKUP($B976,'Component List'!$A$2:$B$30,2,FALSE)</f>
        <v>#N/A</v>
      </c>
      <c r="R976" s="77" t="e">
        <f>VLOOKUP($C976,'Component List'!C$2:D$28,2,FALSE)</f>
        <v>#N/A</v>
      </c>
      <c r="S976" s="77" t="e">
        <f>VLOOKUP($D976,'Component List'!E$2:F$30,2,FALSE)</f>
        <v>#N/A</v>
      </c>
      <c r="T976" s="77" t="e">
        <f>VLOOKUP($E976,'Component List'!G$2:H$30,2,FALSE)</f>
        <v>#N/A</v>
      </c>
      <c r="U976" s="77" t="e">
        <f>VLOOKUP($F976,'Component List'!I$2:J$30,2,FALSE)</f>
        <v>#N/A</v>
      </c>
      <c r="V976" s="77" t="e">
        <f>VLOOKUP(G976,'Component List'!K$2:L$30,2,FALSE)</f>
        <v>#N/A</v>
      </c>
      <c r="W976" s="77" t="e">
        <f>VLOOKUP(H976,'Component List'!M$2:N$31,2,FALSE)</f>
        <v>#N/A</v>
      </c>
      <c r="X976" s="77" t="e">
        <f>VLOOKUP(I976,'Component List'!O$2:P$30,2,FALSE)</f>
        <v>#N/A</v>
      </c>
      <c r="Y976" s="77" t="e">
        <f>VLOOKUP(J976,'Component List'!Q$2:R$30,2,FALSE)</f>
        <v>#N/A</v>
      </c>
      <c r="Z976" s="77" t="e">
        <f>VLOOKUP(K976,'Component List'!S$2:T$30,2,FALSE)</f>
        <v>#N/A</v>
      </c>
      <c r="AA976" s="77" t="e">
        <f>VLOOKUP(L976,'Component List'!U$2:V$30,2,FALSE)</f>
        <v>#N/A</v>
      </c>
      <c r="AB976" s="77" t="e">
        <f>VLOOKUP(M976,'Component List'!AA$2:AB$30,2,FALSE)</f>
        <v>#N/A</v>
      </c>
      <c r="AC976" s="77" t="e">
        <f>VLOOKUP(N976,'Component List'!Y$2:Z$30,2,FALSE)</f>
        <v>#N/A</v>
      </c>
      <c r="AD976" s="77" t="e">
        <f>VLOOKUP(O976,'Component List'!W$3:X$30,2,FALSE)</f>
        <v>#N/A</v>
      </c>
    </row>
    <row r="977" spans="1:30" ht="30" customHeight="1" x14ac:dyDescent="0.3">
      <c r="A977" s="76"/>
      <c r="B977" s="78"/>
      <c r="C977" s="78"/>
      <c r="D977" s="78"/>
      <c r="E977" s="79"/>
      <c r="F977" s="78"/>
      <c r="G977" s="78"/>
      <c r="H977" s="78"/>
      <c r="I977" s="78"/>
      <c r="J977" s="78"/>
      <c r="K977" s="110"/>
      <c r="L977" s="110"/>
      <c r="M977" s="78"/>
      <c r="N977" s="78"/>
      <c r="O977" s="117"/>
      <c r="P977" s="114" t="e">
        <f t="shared" si="14"/>
        <v>#N/A</v>
      </c>
      <c r="Q977" s="77" t="e">
        <f>VLOOKUP($B977,'Component List'!$A$2:$B$30,2,FALSE)</f>
        <v>#N/A</v>
      </c>
      <c r="R977" s="77" t="e">
        <f>VLOOKUP($C977,'Component List'!C$2:D$28,2,FALSE)</f>
        <v>#N/A</v>
      </c>
      <c r="S977" s="77" t="e">
        <f>VLOOKUP($D977,'Component List'!E$2:F$30,2,FALSE)</f>
        <v>#N/A</v>
      </c>
      <c r="T977" s="77" t="e">
        <f>VLOOKUP($E977,'Component List'!G$2:H$30,2,FALSE)</f>
        <v>#N/A</v>
      </c>
      <c r="U977" s="77" t="e">
        <f>VLOOKUP($F977,'Component List'!I$2:J$30,2,FALSE)</f>
        <v>#N/A</v>
      </c>
      <c r="V977" s="77" t="e">
        <f>VLOOKUP(G977,'Component List'!K$2:L$30,2,FALSE)</f>
        <v>#N/A</v>
      </c>
      <c r="W977" s="77" t="e">
        <f>VLOOKUP(H977,'Component List'!M$2:N$31,2,FALSE)</f>
        <v>#N/A</v>
      </c>
      <c r="X977" s="77" t="e">
        <f>VLOOKUP(I977,'Component List'!O$2:P$30,2,FALSE)</f>
        <v>#N/A</v>
      </c>
      <c r="Y977" s="77" t="e">
        <f>VLOOKUP(J977,'Component List'!Q$2:R$30,2,FALSE)</f>
        <v>#N/A</v>
      </c>
      <c r="Z977" s="77" t="e">
        <f>VLOOKUP(K977,'Component List'!S$2:T$30,2,FALSE)</f>
        <v>#N/A</v>
      </c>
      <c r="AA977" s="77" t="e">
        <f>VLOOKUP(L977,'Component List'!U$2:V$30,2,FALSE)</f>
        <v>#N/A</v>
      </c>
      <c r="AB977" s="77" t="e">
        <f>VLOOKUP(M977,'Component List'!AA$2:AB$30,2,FALSE)</f>
        <v>#N/A</v>
      </c>
      <c r="AC977" s="77" t="e">
        <f>VLOOKUP(N977,'Component List'!Y$2:Z$30,2,FALSE)</f>
        <v>#N/A</v>
      </c>
      <c r="AD977" s="77" t="e">
        <f>VLOOKUP(O977,'Component List'!W$3:X$30,2,FALSE)</f>
        <v>#N/A</v>
      </c>
    </row>
    <row r="978" spans="1:30" ht="30" customHeight="1" x14ac:dyDescent="0.3">
      <c r="A978" s="76"/>
      <c r="B978" s="78"/>
      <c r="C978" s="78"/>
      <c r="D978" s="78"/>
      <c r="E978" s="79"/>
      <c r="F978" s="78"/>
      <c r="G978" s="78"/>
      <c r="H978" s="78"/>
      <c r="I978" s="78"/>
      <c r="J978" s="78"/>
      <c r="K978" s="110"/>
      <c r="L978" s="110"/>
      <c r="M978" s="78"/>
      <c r="N978" s="78"/>
      <c r="O978" s="117"/>
      <c r="P978" s="114" t="e">
        <f t="shared" si="14"/>
        <v>#N/A</v>
      </c>
      <c r="Q978" s="77" t="e">
        <f>VLOOKUP($B978,'Component List'!$A$2:$B$30,2,FALSE)</f>
        <v>#N/A</v>
      </c>
      <c r="R978" s="77" t="e">
        <f>VLOOKUP($C978,'Component List'!C$2:D$28,2,FALSE)</f>
        <v>#N/A</v>
      </c>
      <c r="S978" s="77" t="e">
        <f>VLOOKUP($D978,'Component List'!E$2:F$30,2,FALSE)</f>
        <v>#N/A</v>
      </c>
      <c r="T978" s="77" t="e">
        <f>VLOOKUP($E978,'Component List'!G$2:H$30,2,FALSE)</f>
        <v>#N/A</v>
      </c>
      <c r="U978" s="77" t="e">
        <f>VLOOKUP($F978,'Component List'!I$2:J$30,2,FALSE)</f>
        <v>#N/A</v>
      </c>
      <c r="V978" s="77" t="e">
        <f>VLOOKUP(G978,'Component List'!K$2:L$30,2,FALSE)</f>
        <v>#N/A</v>
      </c>
      <c r="W978" s="77" t="e">
        <f>VLOOKUP(H978,'Component List'!M$2:N$31,2,FALSE)</f>
        <v>#N/A</v>
      </c>
      <c r="X978" s="77" t="e">
        <f>VLOOKUP(I978,'Component List'!O$2:P$30,2,FALSE)</f>
        <v>#N/A</v>
      </c>
      <c r="Y978" s="77" t="e">
        <f>VLOOKUP(J978,'Component List'!Q$2:R$30,2,FALSE)</f>
        <v>#N/A</v>
      </c>
      <c r="Z978" s="77" t="e">
        <f>VLOOKUP(K978,'Component List'!S$2:T$30,2,FALSE)</f>
        <v>#N/A</v>
      </c>
      <c r="AA978" s="77" t="e">
        <f>VLOOKUP(L978,'Component List'!U$2:V$30,2,FALSE)</f>
        <v>#N/A</v>
      </c>
      <c r="AB978" s="77" t="e">
        <f>VLOOKUP(M978,'Component List'!AA$2:AB$30,2,FALSE)</f>
        <v>#N/A</v>
      </c>
      <c r="AC978" s="77" t="e">
        <f>VLOOKUP(N978,'Component List'!Y$2:Z$30,2,FALSE)</f>
        <v>#N/A</v>
      </c>
      <c r="AD978" s="77" t="e">
        <f>VLOOKUP(O978,'Component List'!W$3:X$30,2,FALSE)</f>
        <v>#N/A</v>
      </c>
    </row>
    <row r="979" spans="1:30" ht="30" customHeight="1" x14ac:dyDescent="0.3">
      <c r="A979" s="76"/>
      <c r="B979" s="78"/>
      <c r="C979" s="78"/>
      <c r="D979" s="78"/>
      <c r="E979" s="79"/>
      <c r="F979" s="78"/>
      <c r="G979" s="78"/>
      <c r="H979" s="78"/>
      <c r="I979" s="78"/>
      <c r="J979" s="78"/>
      <c r="K979" s="110"/>
      <c r="L979" s="110"/>
      <c r="M979" s="78"/>
      <c r="N979" s="78"/>
      <c r="O979" s="117"/>
      <c r="P979" s="114" t="e">
        <f t="shared" si="14"/>
        <v>#N/A</v>
      </c>
      <c r="Q979" s="77" t="e">
        <f>VLOOKUP($B979,'Component List'!$A$2:$B$30,2,FALSE)</f>
        <v>#N/A</v>
      </c>
      <c r="R979" s="77" t="e">
        <f>VLOOKUP($C979,'Component List'!C$2:D$28,2,FALSE)</f>
        <v>#N/A</v>
      </c>
      <c r="S979" s="77" t="e">
        <f>VLOOKUP($D979,'Component List'!E$2:F$30,2,FALSE)</f>
        <v>#N/A</v>
      </c>
      <c r="T979" s="77" t="e">
        <f>VLOOKUP($E979,'Component List'!G$2:H$30,2,FALSE)</f>
        <v>#N/A</v>
      </c>
      <c r="U979" s="77" t="e">
        <f>VLOOKUP($F979,'Component List'!I$2:J$30,2,FALSE)</f>
        <v>#N/A</v>
      </c>
      <c r="V979" s="77" t="e">
        <f>VLOOKUP(G979,'Component List'!K$2:L$30,2,FALSE)</f>
        <v>#N/A</v>
      </c>
      <c r="W979" s="77" t="e">
        <f>VLOOKUP(H979,'Component List'!M$2:N$31,2,FALSE)</f>
        <v>#N/A</v>
      </c>
      <c r="X979" s="77" t="e">
        <f>VLOOKUP(I979,'Component List'!O$2:P$30,2,FALSE)</f>
        <v>#N/A</v>
      </c>
      <c r="Y979" s="77" t="e">
        <f>VLOOKUP(J979,'Component List'!Q$2:R$30,2,FALSE)</f>
        <v>#N/A</v>
      </c>
      <c r="Z979" s="77" t="e">
        <f>VLOOKUP(K979,'Component List'!S$2:T$30,2,FALSE)</f>
        <v>#N/A</v>
      </c>
      <c r="AA979" s="77" t="e">
        <f>VLOOKUP(L979,'Component List'!U$2:V$30,2,FALSE)</f>
        <v>#N/A</v>
      </c>
      <c r="AB979" s="77" t="e">
        <f>VLOOKUP(M979,'Component List'!AA$2:AB$30,2,FALSE)</f>
        <v>#N/A</v>
      </c>
      <c r="AC979" s="77" t="e">
        <f>VLOOKUP(N979,'Component List'!Y$2:Z$30,2,FALSE)</f>
        <v>#N/A</v>
      </c>
      <c r="AD979" s="77" t="e">
        <f>VLOOKUP(O979,'Component List'!W$3:X$30,2,FALSE)</f>
        <v>#N/A</v>
      </c>
    </row>
    <row r="980" spans="1:30" ht="30" customHeight="1" x14ac:dyDescent="0.3">
      <c r="A980" s="76"/>
      <c r="B980" s="78"/>
      <c r="C980" s="78"/>
      <c r="D980" s="78"/>
      <c r="E980" s="79"/>
      <c r="F980" s="78"/>
      <c r="G980" s="78"/>
      <c r="H980" s="78"/>
      <c r="I980" s="78"/>
      <c r="J980" s="78"/>
      <c r="K980" s="110"/>
      <c r="L980" s="110"/>
      <c r="M980" s="78"/>
      <c r="N980" s="78"/>
      <c r="O980" s="117"/>
      <c r="P980" s="114" t="e">
        <f t="shared" si="14"/>
        <v>#N/A</v>
      </c>
      <c r="Q980" s="77" t="e">
        <f>VLOOKUP($B980,'Component List'!$A$2:$B$30,2,FALSE)</f>
        <v>#N/A</v>
      </c>
      <c r="R980" s="77" t="e">
        <f>VLOOKUP($C980,'Component List'!C$2:D$28,2,FALSE)</f>
        <v>#N/A</v>
      </c>
      <c r="S980" s="77" t="e">
        <f>VLOOKUP($D980,'Component List'!E$2:F$30,2,FALSE)</f>
        <v>#N/A</v>
      </c>
      <c r="T980" s="77" t="e">
        <f>VLOOKUP($E980,'Component List'!G$2:H$30,2,FALSE)</f>
        <v>#N/A</v>
      </c>
      <c r="U980" s="77" t="e">
        <f>VLOOKUP($F980,'Component List'!I$2:J$30,2,FALSE)</f>
        <v>#N/A</v>
      </c>
      <c r="V980" s="77" t="e">
        <f>VLOOKUP(G980,'Component List'!K$2:L$30,2,FALSE)</f>
        <v>#N/A</v>
      </c>
      <c r="W980" s="77" t="e">
        <f>VLOOKUP(H980,'Component List'!M$2:N$31,2,FALSE)</f>
        <v>#N/A</v>
      </c>
      <c r="X980" s="77" t="e">
        <f>VLOOKUP(I980,'Component List'!O$2:P$30,2,FALSE)</f>
        <v>#N/A</v>
      </c>
      <c r="Y980" s="77" t="e">
        <f>VLOOKUP(J980,'Component List'!Q$2:R$30,2,FALSE)</f>
        <v>#N/A</v>
      </c>
      <c r="Z980" s="77" t="e">
        <f>VLOOKUP(K980,'Component List'!S$2:T$30,2,FALSE)</f>
        <v>#N/A</v>
      </c>
      <c r="AA980" s="77" t="e">
        <f>VLOOKUP(L980,'Component List'!U$2:V$30,2,FALSE)</f>
        <v>#N/A</v>
      </c>
      <c r="AB980" s="77" t="e">
        <f>VLOOKUP(M980,'Component List'!AA$2:AB$30,2,FALSE)</f>
        <v>#N/A</v>
      </c>
      <c r="AC980" s="77" t="e">
        <f>VLOOKUP(N980,'Component List'!Y$2:Z$30,2,FALSE)</f>
        <v>#N/A</v>
      </c>
      <c r="AD980" s="77" t="e">
        <f>VLOOKUP(O980,'Component List'!W$3:X$30,2,FALSE)</f>
        <v>#N/A</v>
      </c>
    </row>
    <row r="981" spans="1:30" ht="30" customHeight="1" x14ac:dyDescent="0.3">
      <c r="A981" s="76"/>
      <c r="B981" s="78"/>
      <c r="C981" s="78"/>
      <c r="D981" s="78"/>
      <c r="E981" s="79"/>
      <c r="F981" s="78"/>
      <c r="G981" s="78"/>
      <c r="H981" s="78"/>
      <c r="I981" s="78"/>
      <c r="J981" s="78"/>
      <c r="K981" s="110"/>
      <c r="L981" s="110"/>
      <c r="M981" s="78"/>
      <c r="N981" s="78"/>
      <c r="O981" s="117"/>
      <c r="P981" s="114" t="e">
        <f t="shared" si="14"/>
        <v>#N/A</v>
      </c>
      <c r="Q981" s="77" t="e">
        <f>VLOOKUP($B981,'Component List'!$A$2:$B$30,2,FALSE)</f>
        <v>#N/A</v>
      </c>
      <c r="R981" s="77" t="e">
        <f>VLOOKUP($C981,'Component List'!C$2:D$28,2,FALSE)</f>
        <v>#N/A</v>
      </c>
      <c r="S981" s="77" t="e">
        <f>VLOOKUP($D981,'Component List'!E$2:F$30,2,FALSE)</f>
        <v>#N/A</v>
      </c>
      <c r="T981" s="77" t="e">
        <f>VLOOKUP($E981,'Component List'!G$2:H$30,2,FALSE)</f>
        <v>#N/A</v>
      </c>
      <c r="U981" s="77" t="e">
        <f>VLOOKUP($F981,'Component List'!I$2:J$30,2,FALSE)</f>
        <v>#N/A</v>
      </c>
      <c r="V981" s="77" t="e">
        <f>VLOOKUP(G981,'Component List'!K$2:L$30,2,FALSE)</f>
        <v>#N/A</v>
      </c>
      <c r="W981" s="77" t="e">
        <f>VLOOKUP(H981,'Component List'!M$2:N$31,2,FALSE)</f>
        <v>#N/A</v>
      </c>
      <c r="X981" s="77" t="e">
        <f>VLOOKUP(I981,'Component List'!O$2:P$30,2,FALSE)</f>
        <v>#N/A</v>
      </c>
      <c r="Y981" s="77" t="e">
        <f>VLOOKUP(J981,'Component List'!Q$2:R$30,2,FALSE)</f>
        <v>#N/A</v>
      </c>
      <c r="Z981" s="77" t="e">
        <f>VLOOKUP(K981,'Component List'!S$2:T$30,2,FALSE)</f>
        <v>#N/A</v>
      </c>
      <c r="AA981" s="77" t="e">
        <f>VLOOKUP(L981,'Component List'!U$2:V$30,2,FALSE)</f>
        <v>#N/A</v>
      </c>
      <c r="AB981" s="77" t="e">
        <f>VLOOKUP(M981,'Component List'!AA$2:AB$30,2,FALSE)</f>
        <v>#N/A</v>
      </c>
      <c r="AC981" s="77" t="e">
        <f>VLOOKUP(N981,'Component List'!Y$2:Z$30,2,FALSE)</f>
        <v>#N/A</v>
      </c>
      <c r="AD981" s="77" t="e">
        <f>VLOOKUP(O981,'Component List'!W$3:X$30,2,FALSE)</f>
        <v>#N/A</v>
      </c>
    </row>
    <row r="982" spans="1:30" ht="30" customHeight="1" x14ac:dyDescent="0.3">
      <c r="A982" s="76"/>
      <c r="B982" s="78"/>
      <c r="C982" s="78"/>
      <c r="D982" s="78"/>
      <c r="E982" s="79"/>
      <c r="F982" s="78"/>
      <c r="G982" s="78"/>
      <c r="H982" s="78"/>
      <c r="I982" s="78"/>
      <c r="J982" s="78"/>
      <c r="K982" s="110"/>
      <c r="L982" s="110"/>
      <c r="M982" s="78"/>
      <c r="N982" s="78"/>
      <c r="O982" s="117"/>
      <c r="P982" s="114" t="e">
        <f t="shared" si="14"/>
        <v>#N/A</v>
      </c>
      <c r="Q982" s="77" t="e">
        <f>VLOOKUP($B982,'Component List'!$A$2:$B$30,2,FALSE)</f>
        <v>#N/A</v>
      </c>
      <c r="R982" s="77" t="e">
        <f>VLOOKUP($C982,'Component List'!C$2:D$28,2,FALSE)</f>
        <v>#N/A</v>
      </c>
      <c r="S982" s="77" t="e">
        <f>VLOOKUP($D982,'Component List'!E$2:F$30,2,FALSE)</f>
        <v>#N/A</v>
      </c>
      <c r="T982" s="77" t="e">
        <f>VLOOKUP($E982,'Component List'!G$2:H$30,2,FALSE)</f>
        <v>#N/A</v>
      </c>
      <c r="U982" s="77" t="e">
        <f>VLOOKUP($F982,'Component List'!I$2:J$30,2,FALSE)</f>
        <v>#N/A</v>
      </c>
      <c r="V982" s="77" t="e">
        <f>VLOOKUP(G982,'Component List'!K$2:L$30,2,FALSE)</f>
        <v>#N/A</v>
      </c>
      <c r="W982" s="77" t="e">
        <f>VLOOKUP(H982,'Component List'!M$2:N$31,2,FALSE)</f>
        <v>#N/A</v>
      </c>
      <c r="X982" s="77" t="e">
        <f>VLOOKUP(I982,'Component List'!O$2:P$30,2,FALSE)</f>
        <v>#N/A</v>
      </c>
      <c r="Y982" s="77" t="e">
        <f>VLOOKUP(J982,'Component List'!Q$2:R$30,2,FALSE)</f>
        <v>#N/A</v>
      </c>
      <c r="Z982" s="77" t="e">
        <f>VLOOKUP(K982,'Component List'!S$2:T$30,2,FALSE)</f>
        <v>#N/A</v>
      </c>
      <c r="AA982" s="77" t="e">
        <f>VLOOKUP(L982,'Component List'!U$2:V$30,2,FALSE)</f>
        <v>#N/A</v>
      </c>
      <c r="AB982" s="77" t="e">
        <f>VLOOKUP(M982,'Component List'!AA$2:AB$30,2,FALSE)</f>
        <v>#N/A</v>
      </c>
      <c r="AC982" s="77" t="e">
        <f>VLOOKUP(N982,'Component List'!Y$2:Z$30,2,FALSE)</f>
        <v>#N/A</v>
      </c>
      <c r="AD982" s="77" t="e">
        <f>VLOOKUP(O982,'Component List'!W$3:X$30,2,FALSE)</f>
        <v>#N/A</v>
      </c>
    </row>
    <row r="983" spans="1:30" ht="30" customHeight="1" x14ac:dyDescent="0.3">
      <c r="A983" s="76"/>
      <c r="B983" s="78"/>
      <c r="C983" s="78"/>
      <c r="D983" s="78"/>
      <c r="E983" s="79"/>
      <c r="F983" s="78"/>
      <c r="G983" s="78"/>
      <c r="H983" s="78"/>
      <c r="I983" s="78"/>
      <c r="J983" s="78"/>
      <c r="K983" s="110"/>
      <c r="L983" s="110"/>
      <c r="M983" s="78"/>
      <c r="N983" s="78"/>
      <c r="O983" s="117"/>
      <c r="P983" s="114" t="e">
        <f t="shared" si="14"/>
        <v>#N/A</v>
      </c>
      <c r="Q983" s="77" t="e">
        <f>VLOOKUP($B983,'Component List'!$A$2:$B$30,2,FALSE)</f>
        <v>#N/A</v>
      </c>
      <c r="R983" s="77" t="e">
        <f>VLOOKUP($C983,'Component List'!C$2:D$28,2,FALSE)</f>
        <v>#N/A</v>
      </c>
      <c r="S983" s="77" t="e">
        <f>VLOOKUP($D983,'Component List'!E$2:F$30,2,FALSE)</f>
        <v>#N/A</v>
      </c>
      <c r="T983" s="77" t="e">
        <f>VLOOKUP($E983,'Component List'!G$2:H$30,2,FALSE)</f>
        <v>#N/A</v>
      </c>
      <c r="U983" s="77" t="e">
        <f>VLOOKUP($F983,'Component List'!I$2:J$30,2,FALSE)</f>
        <v>#N/A</v>
      </c>
      <c r="V983" s="77" t="e">
        <f>VLOOKUP(G983,'Component List'!K$2:L$30,2,FALSE)</f>
        <v>#N/A</v>
      </c>
      <c r="W983" s="77" t="e">
        <f>VLOOKUP(H983,'Component List'!M$2:N$31,2,FALSE)</f>
        <v>#N/A</v>
      </c>
      <c r="X983" s="77" t="e">
        <f>VLOOKUP(I983,'Component List'!O$2:P$30,2,FALSE)</f>
        <v>#N/A</v>
      </c>
      <c r="Y983" s="77" t="e">
        <f>VLOOKUP(J983,'Component List'!Q$2:R$30,2,FALSE)</f>
        <v>#N/A</v>
      </c>
      <c r="Z983" s="77" t="e">
        <f>VLOOKUP(K983,'Component List'!S$2:T$30,2,FALSE)</f>
        <v>#N/A</v>
      </c>
      <c r="AA983" s="77" t="e">
        <f>VLOOKUP(L983,'Component List'!U$2:V$30,2,FALSE)</f>
        <v>#N/A</v>
      </c>
      <c r="AB983" s="77" t="e">
        <f>VLOOKUP(M983,'Component List'!AA$2:AB$30,2,FALSE)</f>
        <v>#N/A</v>
      </c>
      <c r="AC983" s="77" t="e">
        <f>VLOOKUP(N983,'Component List'!Y$2:Z$30,2,FALSE)</f>
        <v>#N/A</v>
      </c>
      <c r="AD983" s="77" t="e">
        <f>VLOOKUP(O983,'Component List'!W$3:X$30,2,FALSE)</f>
        <v>#N/A</v>
      </c>
    </row>
    <row r="984" spans="1:30" ht="30" customHeight="1" x14ac:dyDescent="0.3">
      <c r="A984" s="76"/>
      <c r="B984" s="78"/>
      <c r="C984" s="78"/>
      <c r="D984" s="78"/>
      <c r="E984" s="79"/>
      <c r="F984" s="78"/>
      <c r="G984" s="78"/>
      <c r="H984" s="78"/>
      <c r="I984" s="78"/>
      <c r="J984" s="78"/>
      <c r="K984" s="110"/>
      <c r="L984" s="110"/>
      <c r="M984" s="78"/>
      <c r="N984" s="78"/>
      <c r="O984" s="117"/>
      <c r="P984" s="114" t="e">
        <f t="shared" si="14"/>
        <v>#N/A</v>
      </c>
      <c r="Q984" s="77" t="e">
        <f>VLOOKUP($B984,'Component List'!$A$2:$B$30,2,FALSE)</f>
        <v>#N/A</v>
      </c>
      <c r="R984" s="77" t="e">
        <f>VLOOKUP($C984,'Component List'!C$2:D$28,2,FALSE)</f>
        <v>#N/A</v>
      </c>
      <c r="S984" s="77" t="e">
        <f>VLOOKUP($D984,'Component List'!E$2:F$30,2,FALSE)</f>
        <v>#N/A</v>
      </c>
      <c r="T984" s="77" t="e">
        <f>VLOOKUP($E984,'Component List'!G$2:H$30,2,FALSE)</f>
        <v>#N/A</v>
      </c>
      <c r="U984" s="77" t="e">
        <f>VLOOKUP($F984,'Component List'!I$2:J$30,2,FALSE)</f>
        <v>#N/A</v>
      </c>
      <c r="V984" s="77" t="e">
        <f>VLOOKUP(G984,'Component List'!K$2:L$30,2,FALSE)</f>
        <v>#N/A</v>
      </c>
      <c r="W984" s="77" t="e">
        <f>VLOOKUP(H984,'Component List'!M$2:N$31,2,FALSE)</f>
        <v>#N/A</v>
      </c>
      <c r="X984" s="77" t="e">
        <f>VLOOKUP(I984,'Component List'!O$2:P$30,2,FALSE)</f>
        <v>#N/A</v>
      </c>
      <c r="Y984" s="77" t="e">
        <f>VLOOKUP(J984,'Component List'!Q$2:R$30,2,FALSE)</f>
        <v>#N/A</v>
      </c>
      <c r="Z984" s="77" t="e">
        <f>VLOOKUP(K984,'Component List'!S$2:T$30,2,FALSE)</f>
        <v>#N/A</v>
      </c>
      <c r="AA984" s="77" t="e">
        <f>VLOOKUP(L984,'Component List'!U$2:V$30,2,FALSE)</f>
        <v>#N/A</v>
      </c>
      <c r="AB984" s="77" t="e">
        <f>VLOOKUP(M984,'Component List'!AA$2:AB$30,2,FALSE)</f>
        <v>#N/A</v>
      </c>
      <c r="AC984" s="77" t="e">
        <f>VLOOKUP(N984,'Component List'!Y$2:Z$30,2,FALSE)</f>
        <v>#N/A</v>
      </c>
      <c r="AD984" s="77" t="e">
        <f>VLOOKUP(O984,'Component List'!W$3:X$30,2,FALSE)</f>
        <v>#N/A</v>
      </c>
    </row>
    <row r="985" spans="1:30" ht="30" customHeight="1" x14ac:dyDescent="0.3">
      <c r="A985" s="76"/>
      <c r="B985" s="78"/>
      <c r="C985" s="78"/>
      <c r="D985" s="78"/>
      <c r="E985" s="79"/>
      <c r="F985" s="78"/>
      <c r="G985" s="78"/>
      <c r="H985" s="78"/>
      <c r="I985" s="78"/>
      <c r="J985" s="78"/>
      <c r="K985" s="110"/>
      <c r="L985" s="110"/>
      <c r="M985" s="78"/>
      <c r="N985" s="78"/>
      <c r="O985" s="117"/>
      <c r="P985" s="114" t="e">
        <f t="shared" si="14"/>
        <v>#N/A</v>
      </c>
      <c r="Q985" s="77" t="e">
        <f>VLOOKUP($B985,'Component List'!$A$2:$B$30,2,FALSE)</f>
        <v>#N/A</v>
      </c>
      <c r="R985" s="77" t="e">
        <f>VLOOKUP($C985,'Component List'!C$2:D$28,2,FALSE)</f>
        <v>#N/A</v>
      </c>
      <c r="S985" s="77" t="e">
        <f>VLOOKUP($D985,'Component List'!E$2:F$30,2,FALSE)</f>
        <v>#N/A</v>
      </c>
      <c r="T985" s="77" t="e">
        <f>VLOOKUP($E985,'Component List'!G$2:H$30,2,FALSE)</f>
        <v>#N/A</v>
      </c>
      <c r="U985" s="77" t="e">
        <f>VLOOKUP($F985,'Component List'!I$2:J$30,2,FALSE)</f>
        <v>#N/A</v>
      </c>
      <c r="V985" s="77" t="e">
        <f>VLOOKUP(G985,'Component List'!K$2:L$30,2,FALSE)</f>
        <v>#N/A</v>
      </c>
      <c r="W985" s="77" t="e">
        <f>VLOOKUP(H985,'Component List'!M$2:N$31,2,FALSE)</f>
        <v>#N/A</v>
      </c>
      <c r="X985" s="77" t="e">
        <f>VLOOKUP(I985,'Component List'!O$2:P$30,2,FALSE)</f>
        <v>#N/A</v>
      </c>
      <c r="Y985" s="77" t="e">
        <f>VLOOKUP(J985,'Component List'!Q$2:R$30,2,FALSE)</f>
        <v>#N/A</v>
      </c>
      <c r="Z985" s="77" t="e">
        <f>VLOOKUP(K985,'Component List'!S$2:T$30,2,FALSE)</f>
        <v>#N/A</v>
      </c>
      <c r="AA985" s="77" t="e">
        <f>VLOOKUP(L985,'Component List'!U$2:V$30,2,FALSE)</f>
        <v>#N/A</v>
      </c>
      <c r="AB985" s="77" t="e">
        <f>VLOOKUP(M985,'Component List'!AA$2:AB$30,2,FALSE)</f>
        <v>#N/A</v>
      </c>
      <c r="AC985" s="77" t="e">
        <f>VLOOKUP(N985,'Component List'!Y$2:Z$30,2,FALSE)</f>
        <v>#N/A</v>
      </c>
      <c r="AD985" s="77" t="e">
        <f>VLOOKUP(O985,'Component List'!W$3:X$30,2,FALSE)</f>
        <v>#N/A</v>
      </c>
    </row>
    <row r="986" spans="1:30" ht="30" customHeight="1" x14ac:dyDescent="0.3">
      <c r="A986" s="76"/>
      <c r="B986" s="78"/>
      <c r="C986" s="78"/>
      <c r="D986" s="78"/>
      <c r="E986" s="79"/>
      <c r="F986" s="78"/>
      <c r="G986" s="78"/>
      <c r="H986" s="78"/>
      <c r="I986" s="78"/>
      <c r="J986" s="78"/>
      <c r="K986" s="110"/>
      <c r="L986" s="110"/>
      <c r="M986" s="78"/>
      <c r="N986" s="78"/>
      <c r="O986" s="117"/>
      <c r="P986" s="114" t="e">
        <f t="shared" si="14"/>
        <v>#N/A</v>
      </c>
      <c r="Q986" s="77" t="e">
        <f>VLOOKUP($B986,'Component List'!$A$2:$B$30,2,FALSE)</f>
        <v>#N/A</v>
      </c>
      <c r="R986" s="77" t="e">
        <f>VLOOKUP($C986,'Component List'!C$2:D$28,2,FALSE)</f>
        <v>#N/A</v>
      </c>
      <c r="S986" s="77" t="e">
        <f>VLOOKUP($D986,'Component List'!E$2:F$30,2,FALSE)</f>
        <v>#N/A</v>
      </c>
      <c r="T986" s="77" t="e">
        <f>VLOOKUP($E986,'Component List'!G$2:H$30,2,FALSE)</f>
        <v>#N/A</v>
      </c>
      <c r="U986" s="77" t="e">
        <f>VLOOKUP($F986,'Component List'!I$2:J$30,2,FALSE)</f>
        <v>#N/A</v>
      </c>
      <c r="V986" s="77" t="e">
        <f>VLOOKUP(G986,'Component List'!K$2:L$30,2,FALSE)</f>
        <v>#N/A</v>
      </c>
      <c r="W986" s="77" t="e">
        <f>VLOOKUP(H986,'Component List'!M$2:N$31,2,FALSE)</f>
        <v>#N/A</v>
      </c>
      <c r="X986" s="77" t="e">
        <f>VLOOKUP(I986,'Component List'!O$2:P$30,2,FALSE)</f>
        <v>#N/A</v>
      </c>
      <c r="Y986" s="77" t="e">
        <f>VLOOKUP(J986,'Component List'!Q$2:R$30,2,FALSE)</f>
        <v>#N/A</v>
      </c>
      <c r="Z986" s="77" t="e">
        <f>VLOOKUP(K986,'Component List'!S$2:T$30,2,FALSE)</f>
        <v>#N/A</v>
      </c>
      <c r="AA986" s="77" t="e">
        <f>VLOOKUP(L986,'Component List'!U$2:V$30,2,FALSE)</f>
        <v>#N/A</v>
      </c>
      <c r="AB986" s="77" t="e">
        <f>VLOOKUP(M986,'Component List'!AA$2:AB$30,2,FALSE)</f>
        <v>#N/A</v>
      </c>
      <c r="AC986" s="77" t="e">
        <f>VLOOKUP(N986,'Component List'!Y$2:Z$30,2,FALSE)</f>
        <v>#N/A</v>
      </c>
      <c r="AD986" s="77" t="e">
        <f>VLOOKUP(O986,'Component List'!W$3:X$30,2,FALSE)</f>
        <v>#N/A</v>
      </c>
    </row>
    <row r="987" spans="1:30" ht="30" customHeight="1" x14ac:dyDescent="0.3">
      <c r="A987" s="76"/>
      <c r="B987" s="78"/>
      <c r="C987" s="78"/>
      <c r="D987" s="78"/>
      <c r="E987" s="79"/>
      <c r="F987" s="78"/>
      <c r="G987" s="78"/>
      <c r="H987" s="78"/>
      <c r="I987" s="78"/>
      <c r="J987" s="78"/>
      <c r="K987" s="110"/>
      <c r="L987" s="110"/>
      <c r="M987" s="78"/>
      <c r="N987" s="78"/>
      <c r="O987" s="117"/>
      <c r="P987" s="114" t="e">
        <f t="shared" si="14"/>
        <v>#N/A</v>
      </c>
      <c r="Q987" s="77" t="e">
        <f>VLOOKUP($B987,'Component List'!$A$2:$B$30,2,FALSE)</f>
        <v>#N/A</v>
      </c>
      <c r="R987" s="77" t="e">
        <f>VLOOKUP($C987,'Component List'!C$2:D$28,2,FALSE)</f>
        <v>#N/A</v>
      </c>
      <c r="S987" s="77" t="e">
        <f>VLOOKUP($D987,'Component List'!E$2:F$30,2,FALSE)</f>
        <v>#N/A</v>
      </c>
      <c r="T987" s="77" t="e">
        <f>VLOOKUP($E987,'Component List'!G$2:H$30,2,FALSE)</f>
        <v>#N/A</v>
      </c>
      <c r="U987" s="77" t="e">
        <f>VLOOKUP($F987,'Component List'!I$2:J$30,2,FALSE)</f>
        <v>#N/A</v>
      </c>
      <c r="V987" s="77" t="e">
        <f>VLOOKUP(G987,'Component List'!K$2:L$30,2,FALSE)</f>
        <v>#N/A</v>
      </c>
      <c r="W987" s="77" t="e">
        <f>VLOOKUP(H987,'Component List'!M$2:N$31,2,FALSE)</f>
        <v>#N/A</v>
      </c>
      <c r="X987" s="77" t="e">
        <f>VLOOKUP(I987,'Component List'!O$2:P$30,2,FALSE)</f>
        <v>#N/A</v>
      </c>
      <c r="Y987" s="77" t="e">
        <f>VLOOKUP(J987,'Component List'!Q$2:R$30,2,FALSE)</f>
        <v>#N/A</v>
      </c>
      <c r="Z987" s="77" t="e">
        <f>VLOOKUP(K987,'Component List'!S$2:T$30,2,FALSE)</f>
        <v>#N/A</v>
      </c>
      <c r="AA987" s="77" t="e">
        <f>VLOOKUP(L987,'Component List'!U$2:V$30,2,FALSE)</f>
        <v>#N/A</v>
      </c>
      <c r="AB987" s="77" t="e">
        <f>VLOOKUP(M987,'Component List'!AA$2:AB$30,2,FALSE)</f>
        <v>#N/A</v>
      </c>
      <c r="AC987" s="77" t="e">
        <f>VLOOKUP(N987,'Component List'!Y$2:Z$30,2,FALSE)</f>
        <v>#N/A</v>
      </c>
      <c r="AD987" s="77" t="e">
        <f>VLOOKUP(O987,'Component List'!W$3:X$30,2,FALSE)</f>
        <v>#N/A</v>
      </c>
    </row>
    <row r="988" spans="1:30" ht="30" customHeight="1" x14ac:dyDescent="0.3">
      <c r="A988" s="76"/>
      <c r="B988" s="78"/>
      <c r="C988" s="78"/>
      <c r="D988" s="78"/>
      <c r="E988" s="79"/>
      <c r="F988" s="78"/>
      <c r="G988" s="78"/>
      <c r="H988" s="78"/>
      <c r="I988" s="78"/>
      <c r="J988" s="78"/>
      <c r="K988" s="110"/>
      <c r="L988" s="110"/>
      <c r="M988" s="78"/>
      <c r="N988" s="78"/>
      <c r="O988" s="117"/>
      <c r="P988" s="114" t="e">
        <f t="shared" si="14"/>
        <v>#N/A</v>
      </c>
      <c r="Q988" s="77" t="e">
        <f>VLOOKUP($B988,'Component List'!$A$2:$B$30,2,FALSE)</f>
        <v>#N/A</v>
      </c>
      <c r="R988" s="77" t="e">
        <f>VLOOKUP($C988,'Component List'!C$2:D$28,2,FALSE)</f>
        <v>#N/A</v>
      </c>
      <c r="S988" s="77" t="e">
        <f>VLOOKUP($D988,'Component List'!E$2:F$30,2,FALSE)</f>
        <v>#N/A</v>
      </c>
      <c r="T988" s="77" t="e">
        <f>VLOOKUP($E988,'Component List'!G$2:H$30,2,FALSE)</f>
        <v>#N/A</v>
      </c>
      <c r="U988" s="77" t="e">
        <f>VLOOKUP($F988,'Component List'!I$2:J$30,2,FALSE)</f>
        <v>#N/A</v>
      </c>
      <c r="V988" s="77" t="e">
        <f>VLOOKUP(G988,'Component List'!K$2:L$30,2,FALSE)</f>
        <v>#N/A</v>
      </c>
      <c r="W988" s="77" t="e">
        <f>VLOOKUP(H988,'Component List'!M$2:N$31,2,FALSE)</f>
        <v>#N/A</v>
      </c>
      <c r="X988" s="77" t="e">
        <f>VLOOKUP(I988,'Component List'!O$2:P$30,2,FALSE)</f>
        <v>#N/A</v>
      </c>
      <c r="Y988" s="77" t="e">
        <f>VLOOKUP(J988,'Component List'!Q$2:R$30,2,FALSE)</f>
        <v>#N/A</v>
      </c>
      <c r="Z988" s="77" t="e">
        <f>VLOOKUP(K988,'Component List'!S$2:T$30,2,FALSE)</f>
        <v>#N/A</v>
      </c>
      <c r="AA988" s="77" t="e">
        <f>VLOOKUP(L988,'Component List'!U$2:V$30,2,FALSE)</f>
        <v>#N/A</v>
      </c>
      <c r="AB988" s="77" t="e">
        <f>VLOOKUP(M988,'Component List'!AA$2:AB$30,2,FALSE)</f>
        <v>#N/A</v>
      </c>
      <c r="AC988" s="77" t="e">
        <f>VLOOKUP(N988,'Component List'!Y$2:Z$30,2,FALSE)</f>
        <v>#N/A</v>
      </c>
      <c r="AD988" s="77" t="e">
        <f>VLOOKUP(O988,'Component List'!W$3:X$30,2,FALSE)</f>
        <v>#N/A</v>
      </c>
    </row>
    <row r="989" spans="1:30" ht="30" customHeight="1" x14ac:dyDescent="0.3">
      <c r="A989" s="76"/>
      <c r="B989" s="78"/>
      <c r="C989" s="78"/>
      <c r="D989" s="78"/>
      <c r="E989" s="79"/>
      <c r="F989" s="78"/>
      <c r="G989" s="78"/>
      <c r="H989" s="78"/>
      <c r="I989" s="78"/>
      <c r="J989" s="78"/>
      <c r="K989" s="110"/>
      <c r="L989" s="110"/>
      <c r="M989" s="78"/>
      <c r="N989" s="78"/>
      <c r="O989" s="117"/>
      <c r="P989" s="114" t="e">
        <f t="shared" si="14"/>
        <v>#N/A</v>
      </c>
      <c r="Q989" s="77" t="e">
        <f>VLOOKUP($B989,'Component List'!$A$2:$B$30,2,FALSE)</f>
        <v>#N/A</v>
      </c>
      <c r="R989" s="77" t="e">
        <f>VLOOKUP($C989,'Component List'!C$2:D$28,2,FALSE)</f>
        <v>#N/A</v>
      </c>
      <c r="S989" s="77" t="e">
        <f>VLOOKUP($D989,'Component List'!E$2:F$30,2,FALSE)</f>
        <v>#N/A</v>
      </c>
      <c r="T989" s="77" t="e">
        <f>VLOOKUP($E989,'Component List'!G$2:H$30,2,FALSE)</f>
        <v>#N/A</v>
      </c>
      <c r="U989" s="77" t="e">
        <f>VLOOKUP($F989,'Component List'!I$2:J$30,2,FALSE)</f>
        <v>#N/A</v>
      </c>
      <c r="V989" s="77" t="e">
        <f>VLOOKUP(G989,'Component List'!K$2:L$30,2,FALSE)</f>
        <v>#N/A</v>
      </c>
      <c r="W989" s="77" t="e">
        <f>VLOOKUP(H989,'Component List'!M$2:N$31,2,FALSE)</f>
        <v>#N/A</v>
      </c>
      <c r="X989" s="77" t="e">
        <f>VLOOKUP(I989,'Component List'!O$2:P$30,2,FALSE)</f>
        <v>#N/A</v>
      </c>
      <c r="Y989" s="77" t="e">
        <f>VLOOKUP(J989,'Component List'!Q$2:R$30,2,FALSE)</f>
        <v>#N/A</v>
      </c>
      <c r="Z989" s="77" t="e">
        <f>VLOOKUP(K989,'Component List'!S$2:T$30,2,FALSE)</f>
        <v>#N/A</v>
      </c>
      <c r="AA989" s="77" t="e">
        <f>VLOOKUP(L989,'Component List'!U$2:V$30,2,FALSE)</f>
        <v>#N/A</v>
      </c>
      <c r="AB989" s="77" t="e">
        <f>VLOOKUP(M989,'Component List'!AA$2:AB$30,2,FALSE)</f>
        <v>#N/A</v>
      </c>
      <c r="AC989" s="77" t="e">
        <f>VLOOKUP(N989,'Component List'!Y$2:Z$30,2,FALSE)</f>
        <v>#N/A</v>
      </c>
      <c r="AD989" s="77" t="e">
        <f>VLOOKUP(O989,'Component List'!W$3:X$30,2,FALSE)</f>
        <v>#N/A</v>
      </c>
    </row>
    <row r="990" spans="1:30" ht="30" customHeight="1" x14ac:dyDescent="0.3">
      <c r="A990" s="76"/>
      <c r="B990" s="78"/>
      <c r="C990" s="78"/>
      <c r="D990" s="78"/>
      <c r="E990" s="79"/>
      <c r="F990" s="78"/>
      <c r="G990" s="78"/>
      <c r="H990" s="78"/>
      <c r="I990" s="78"/>
      <c r="J990" s="78"/>
      <c r="K990" s="110"/>
      <c r="L990" s="110"/>
      <c r="M990" s="78"/>
      <c r="N990" s="78"/>
      <c r="O990" s="117"/>
      <c r="P990" s="114" t="e">
        <f t="shared" si="14"/>
        <v>#N/A</v>
      </c>
      <c r="Q990" s="77" t="e">
        <f>VLOOKUP($B990,'Component List'!$A$2:$B$30,2,FALSE)</f>
        <v>#N/A</v>
      </c>
      <c r="R990" s="77" t="e">
        <f>VLOOKUP($C990,'Component List'!C$2:D$28,2,FALSE)</f>
        <v>#N/A</v>
      </c>
      <c r="S990" s="77" t="e">
        <f>VLOOKUP($D990,'Component List'!E$2:F$30,2,FALSE)</f>
        <v>#N/A</v>
      </c>
      <c r="T990" s="77" t="e">
        <f>VLOOKUP($E990,'Component List'!G$2:H$30,2,FALSE)</f>
        <v>#N/A</v>
      </c>
      <c r="U990" s="77" t="e">
        <f>VLOOKUP($F990,'Component List'!I$2:J$30,2,FALSE)</f>
        <v>#N/A</v>
      </c>
      <c r="V990" s="77" t="e">
        <f>VLOOKUP(G990,'Component List'!K$2:L$30,2,FALSE)</f>
        <v>#N/A</v>
      </c>
      <c r="W990" s="77" t="e">
        <f>VLOOKUP(H990,'Component List'!M$2:N$31,2,FALSE)</f>
        <v>#N/A</v>
      </c>
      <c r="X990" s="77" t="e">
        <f>VLOOKUP(I990,'Component List'!O$2:P$30,2,FALSE)</f>
        <v>#N/A</v>
      </c>
      <c r="Y990" s="77" t="e">
        <f>VLOOKUP(J990,'Component List'!Q$2:R$30,2,FALSE)</f>
        <v>#N/A</v>
      </c>
      <c r="Z990" s="77" t="e">
        <f>VLOOKUP(K990,'Component List'!S$2:T$30,2,FALSE)</f>
        <v>#N/A</v>
      </c>
      <c r="AA990" s="77" t="e">
        <f>VLOOKUP(L990,'Component List'!U$2:V$30,2,FALSE)</f>
        <v>#N/A</v>
      </c>
      <c r="AB990" s="77" t="e">
        <f>VLOOKUP(M990,'Component List'!AA$2:AB$30,2,FALSE)</f>
        <v>#N/A</v>
      </c>
      <c r="AC990" s="77" t="e">
        <f>VLOOKUP(N990,'Component List'!Y$2:Z$30,2,FALSE)</f>
        <v>#N/A</v>
      </c>
      <c r="AD990" s="77" t="e">
        <f>VLOOKUP(O990,'Component List'!W$3:X$30,2,FALSE)</f>
        <v>#N/A</v>
      </c>
    </row>
    <row r="991" spans="1:30" ht="30" customHeight="1" x14ac:dyDescent="0.3">
      <c r="A991" s="76"/>
      <c r="B991" s="78"/>
      <c r="C991" s="78"/>
      <c r="D991" s="78"/>
      <c r="E991" s="79"/>
      <c r="F991" s="78"/>
      <c r="G991" s="78"/>
      <c r="H991" s="78"/>
      <c r="I991" s="78"/>
      <c r="J991" s="78"/>
      <c r="K991" s="110"/>
      <c r="L991" s="110"/>
      <c r="M991" s="78"/>
      <c r="N991" s="78"/>
      <c r="O991" s="117"/>
      <c r="P991" s="114" t="e">
        <f t="shared" si="14"/>
        <v>#N/A</v>
      </c>
      <c r="Q991" s="77" t="e">
        <f>VLOOKUP($B991,'Component List'!$A$2:$B$30,2,FALSE)</f>
        <v>#N/A</v>
      </c>
      <c r="R991" s="77" t="e">
        <f>VLOOKUP($C991,'Component List'!C$2:D$28,2,FALSE)</f>
        <v>#N/A</v>
      </c>
      <c r="S991" s="77" t="e">
        <f>VLOOKUP($D991,'Component List'!E$2:F$30,2,FALSE)</f>
        <v>#N/A</v>
      </c>
      <c r="T991" s="77" t="e">
        <f>VLOOKUP($E991,'Component List'!G$2:H$30,2,FALSE)</f>
        <v>#N/A</v>
      </c>
      <c r="U991" s="77" t="e">
        <f>VLOOKUP($F991,'Component List'!I$2:J$30,2,FALSE)</f>
        <v>#N/A</v>
      </c>
      <c r="V991" s="77" t="e">
        <f>VLOOKUP(G991,'Component List'!K$2:L$30,2,FALSE)</f>
        <v>#N/A</v>
      </c>
      <c r="W991" s="77" t="e">
        <f>VLOOKUP(H991,'Component List'!M$2:N$31,2,FALSE)</f>
        <v>#N/A</v>
      </c>
      <c r="X991" s="77" t="e">
        <f>VLOOKUP(I991,'Component List'!O$2:P$30,2,FALSE)</f>
        <v>#N/A</v>
      </c>
      <c r="Y991" s="77" t="e">
        <f>VLOOKUP(J991,'Component List'!Q$2:R$30,2,FALSE)</f>
        <v>#N/A</v>
      </c>
      <c r="Z991" s="77" t="e">
        <f>VLOOKUP(K991,'Component List'!S$2:T$30,2,FALSE)</f>
        <v>#N/A</v>
      </c>
      <c r="AA991" s="77" t="e">
        <f>VLOOKUP(L991,'Component List'!U$2:V$30,2,FALSE)</f>
        <v>#N/A</v>
      </c>
      <c r="AB991" s="77" t="e">
        <f>VLOOKUP(M991,'Component List'!AA$2:AB$30,2,FALSE)</f>
        <v>#N/A</v>
      </c>
      <c r="AC991" s="77" t="e">
        <f>VLOOKUP(N991,'Component List'!Y$2:Z$30,2,FALSE)</f>
        <v>#N/A</v>
      </c>
      <c r="AD991" s="77" t="e">
        <f>VLOOKUP(O991,'Component List'!W$3:X$30,2,FALSE)</f>
        <v>#N/A</v>
      </c>
    </row>
    <row r="992" spans="1:30" ht="30" customHeight="1" x14ac:dyDescent="0.3">
      <c r="A992" s="76"/>
      <c r="B992" s="78"/>
      <c r="C992" s="78"/>
      <c r="D992" s="78"/>
      <c r="E992" s="79"/>
      <c r="F992" s="78"/>
      <c r="G992" s="78"/>
      <c r="H992" s="78"/>
      <c r="I992" s="78"/>
      <c r="J992" s="78"/>
      <c r="K992" s="110"/>
      <c r="L992" s="110"/>
      <c r="M992" s="78"/>
      <c r="N992" s="78"/>
      <c r="O992" s="117"/>
      <c r="P992" s="114" t="e">
        <f t="shared" si="14"/>
        <v>#N/A</v>
      </c>
      <c r="Q992" s="77" t="e">
        <f>VLOOKUP($B992,'Component List'!$A$2:$B$30,2,FALSE)</f>
        <v>#N/A</v>
      </c>
      <c r="R992" s="77" t="e">
        <f>VLOOKUP($C992,'Component List'!C$2:D$28,2,FALSE)</f>
        <v>#N/A</v>
      </c>
      <c r="S992" s="77" t="e">
        <f>VLOOKUP($D992,'Component List'!E$2:F$30,2,FALSE)</f>
        <v>#N/A</v>
      </c>
      <c r="T992" s="77" t="e">
        <f>VLOOKUP($E992,'Component List'!G$2:H$30,2,FALSE)</f>
        <v>#N/A</v>
      </c>
      <c r="U992" s="77" t="e">
        <f>VLOOKUP($F992,'Component List'!I$2:J$30,2,FALSE)</f>
        <v>#N/A</v>
      </c>
      <c r="V992" s="77" t="e">
        <f>VLOOKUP(G992,'Component List'!K$2:L$30,2,FALSE)</f>
        <v>#N/A</v>
      </c>
      <c r="W992" s="77" t="e">
        <f>VLOOKUP(H992,'Component List'!M$2:N$31,2,FALSE)</f>
        <v>#N/A</v>
      </c>
      <c r="X992" s="77" t="e">
        <f>VLOOKUP(I992,'Component List'!O$2:P$30,2,FALSE)</f>
        <v>#N/A</v>
      </c>
      <c r="Y992" s="77" t="e">
        <f>VLOOKUP(J992,'Component List'!Q$2:R$30,2,FALSE)</f>
        <v>#N/A</v>
      </c>
      <c r="Z992" s="77" t="e">
        <f>VLOOKUP(K992,'Component List'!S$2:T$30,2,FALSE)</f>
        <v>#N/A</v>
      </c>
      <c r="AA992" s="77" t="e">
        <f>VLOOKUP(L992,'Component List'!U$2:V$30,2,FALSE)</f>
        <v>#N/A</v>
      </c>
      <c r="AB992" s="77" t="e">
        <f>VLOOKUP(M992,'Component List'!AA$2:AB$30,2,FALSE)</f>
        <v>#N/A</v>
      </c>
      <c r="AC992" s="77" t="e">
        <f>VLOOKUP(N992,'Component List'!Y$2:Z$30,2,FALSE)</f>
        <v>#N/A</v>
      </c>
      <c r="AD992" s="77" t="e">
        <f>VLOOKUP(O992,'Component List'!W$3:X$30,2,FALSE)</f>
        <v>#N/A</v>
      </c>
    </row>
    <row r="993" spans="1:30" ht="30" customHeight="1" x14ac:dyDescent="0.3">
      <c r="A993" s="76"/>
      <c r="B993" s="78"/>
      <c r="C993" s="78"/>
      <c r="D993" s="78"/>
      <c r="E993" s="79"/>
      <c r="F993" s="78"/>
      <c r="G993" s="78"/>
      <c r="H993" s="78"/>
      <c r="I993" s="78"/>
      <c r="J993" s="78"/>
      <c r="K993" s="110"/>
      <c r="L993" s="110"/>
      <c r="M993" s="78"/>
      <c r="N993" s="78"/>
      <c r="O993" s="117"/>
      <c r="P993" s="114" t="e">
        <f t="shared" si="14"/>
        <v>#N/A</v>
      </c>
      <c r="Q993" s="77" t="e">
        <f>VLOOKUP($B993,'Component List'!$A$2:$B$30,2,FALSE)</f>
        <v>#N/A</v>
      </c>
      <c r="R993" s="77" t="e">
        <f>VLOOKUP($C993,'Component List'!C$2:D$28,2,FALSE)</f>
        <v>#N/A</v>
      </c>
      <c r="S993" s="77" t="e">
        <f>VLOOKUP($D993,'Component List'!E$2:F$30,2,FALSE)</f>
        <v>#N/A</v>
      </c>
      <c r="T993" s="77" t="e">
        <f>VLOOKUP($E993,'Component List'!G$2:H$30,2,FALSE)</f>
        <v>#N/A</v>
      </c>
      <c r="U993" s="77" t="e">
        <f>VLOOKUP($F993,'Component List'!I$2:J$30,2,FALSE)</f>
        <v>#N/A</v>
      </c>
      <c r="V993" s="77" t="e">
        <f>VLOOKUP(G993,'Component List'!K$2:L$30,2,FALSE)</f>
        <v>#N/A</v>
      </c>
      <c r="W993" s="77" t="e">
        <f>VLOOKUP(H993,'Component List'!M$2:N$31,2,FALSE)</f>
        <v>#N/A</v>
      </c>
      <c r="X993" s="77" t="e">
        <f>VLOOKUP(I993,'Component List'!O$2:P$30,2,FALSE)</f>
        <v>#N/A</v>
      </c>
      <c r="Y993" s="77" t="e">
        <f>VLOOKUP(J993,'Component List'!Q$2:R$30,2,FALSE)</f>
        <v>#N/A</v>
      </c>
      <c r="Z993" s="77" t="e">
        <f>VLOOKUP(K993,'Component List'!S$2:T$30,2,FALSE)</f>
        <v>#N/A</v>
      </c>
      <c r="AA993" s="77" t="e">
        <f>VLOOKUP(L993,'Component List'!U$2:V$30,2,FALSE)</f>
        <v>#N/A</v>
      </c>
      <c r="AB993" s="77" t="e">
        <f>VLOOKUP(M993,'Component List'!AA$2:AB$30,2,FALSE)</f>
        <v>#N/A</v>
      </c>
      <c r="AC993" s="77" t="e">
        <f>VLOOKUP(N993,'Component List'!Y$2:Z$30,2,FALSE)</f>
        <v>#N/A</v>
      </c>
      <c r="AD993" s="77" t="e">
        <f>VLOOKUP(O993,'Component List'!W$3:X$30,2,FALSE)</f>
        <v>#N/A</v>
      </c>
    </row>
    <row r="994" spans="1:30" ht="30" customHeight="1" x14ac:dyDescent="0.3">
      <c r="A994" s="76"/>
      <c r="B994" s="78"/>
      <c r="C994" s="78"/>
      <c r="D994" s="78"/>
      <c r="E994" s="79"/>
      <c r="F994" s="78"/>
      <c r="G994" s="78"/>
      <c r="H994" s="78"/>
      <c r="I994" s="78"/>
      <c r="J994" s="78"/>
      <c r="K994" s="110"/>
      <c r="L994" s="110"/>
      <c r="M994" s="78"/>
      <c r="N994" s="78"/>
      <c r="O994" s="117"/>
      <c r="P994" s="114" t="e">
        <f t="shared" si="14"/>
        <v>#N/A</v>
      </c>
      <c r="Q994" s="77" t="e">
        <f>VLOOKUP($B994,'Component List'!$A$2:$B$30,2,FALSE)</f>
        <v>#N/A</v>
      </c>
      <c r="R994" s="77" t="e">
        <f>VLOOKUP($C994,'Component List'!C$2:D$28,2,FALSE)</f>
        <v>#N/A</v>
      </c>
      <c r="S994" s="77" t="e">
        <f>VLOOKUP($D994,'Component List'!E$2:F$30,2,FALSE)</f>
        <v>#N/A</v>
      </c>
      <c r="T994" s="77" t="e">
        <f>VLOOKUP($E994,'Component List'!G$2:H$30,2,FALSE)</f>
        <v>#N/A</v>
      </c>
      <c r="U994" s="77" t="e">
        <f>VLOOKUP($F994,'Component List'!I$2:J$30,2,FALSE)</f>
        <v>#N/A</v>
      </c>
      <c r="V994" s="77" t="e">
        <f>VLOOKUP(G994,'Component List'!K$2:L$30,2,FALSE)</f>
        <v>#N/A</v>
      </c>
      <c r="W994" s="77" t="e">
        <f>VLOOKUP(H994,'Component List'!M$2:N$31,2,FALSE)</f>
        <v>#N/A</v>
      </c>
      <c r="X994" s="77" t="e">
        <f>VLOOKUP(I994,'Component List'!O$2:P$30,2,FALSE)</f>
        <v>#N/A</v>
      </c>
      <c r="Y994" s="77" t="e">
        <f>VLOOKUP(J994,'Component List'!Q$2:R$30,2,FALSE)</f>
        <v>#N/A</v>
      </c>
      <c r="Z994" s="77" t="e">
        <f>VLOOKUP(K994,'Component List'!S$2:T$30,2,FALSE)</f>
        <v>#N/A</v>
      </c>
      <c r="AA994" s="77" t="e">
        <f>VLOOKUP(L994,'Component List'!U$2:V$30,2,FALSE)</f>
        <v>#N/A</v>
      </c>
      <c r="AB994" s="77" t="e">
        <f>VLOOKUP(M994,'Component List'!AA$2:AB$30,2,FALSE)</f>
        <v>#N/A</v>
      </c>
      <c r="AC994" s="77" t="e">
        <f>VLOOKUP(N994,'Component List'!Y$2:Z$30,2,FALSE)</f>
        <v>#N/A</v>
      </c>
      <c r="AD994" s="77" t="e">
        <f>VLOOKUP(O994,'Component List'!W$3:X$30,2,FALSE)</f>
        <v>#N/A</v>
      </c>
    </row>
    <row r="995" spans="1:30" ht="30" customHeight="1" x14ac:dyDescent="0.3">
      <c r="A995" s="76"/>
      <c r="B995" s="78"/>
      <c r="C995" s="78"/>
      <c r="D995" s="78"/>
      <c r="E995" s="79"/>
      <c r="F995" s="78"/>
      <c r="G995" s="78"/>
      <c r="H995" s="78"/>
      <c r="I995" s="78"/>
      <c r="J995" s="78"/>
      <c r="K995" s="110"/>
      <c r="L995" s="110"/>
      <c r="M995" s="78"/>
      <c r="N995" s="78"/>
      <c r="O995" s="117"/>
      <c r="P995" s="114" t="e">
        <f t="shared" si="14"/>
        <v>#N/A</v>
      </c>
      <c r="Q995" s="77" t="e">
        <f>VLOOKUP($B995,'Component List'!$A$2:$B$30,2,FALSE)</f>
        <v>#N/A</v>
      </c>
      <c r="R995" s="77" t="e">
        <f>VLOOKUP($C995,'Component List'!C$2:D$28,2,FALSE)</f>
        <v>#N/A</v>
      </c>
      <c r="S995" s="77" t="e">
        <f>VLOOKUP($D995,'Component List'!E$2:F$30,2,FALSE)</f>
        <v>#N/A</v>
      </c>
      <c r="T995" s="77" t="e">
        <f>VLOOKUP($E995,'Component List'!G$2:H$30,2,FALSE)</f>
        <v>#N/A</v>
      </c>
      <c r="U995" s="77" t="e">
        <f>VLOOKUP($F995,'Component List'!I$2:J$30,2,FALSE)</f>
        <v>#N/A</v>
      </c>
      <c r="V995" s="77" t="e">
        <f>VLOOKUP(G995,'Component List'!K$2:L$30,2,FALSE)</f>
        <v>#N/A</v>
      </c>
      <c r="W995" s="77" t="e">
        <f>VLOOKUP(H995,'Component List'!M$2:N$31,2,FALSE)</f>
        <v>#N/A</v>
      </c>
      <c r="X995" s="77" t="e">
        <f>VLOOKUP(I995,'Component List'!O$2:P$30,2,FALSE)</f>
        <v>#N/A</v>
      </c>
      <c r="Y995" s="77" t="e">
        <f>VLOOKUP(J995,'Component List'!Q$2:R$30,2,FALSE)</f>
        <v>#N/A</v>
      </c>
      <c r="Z995" s="77" t="e">
        <f>VLOOKUP(K995,'Component List'!S$2:T$30,2,FALSE)</f>
        <v>#N/A</v>
      </c>
      <c r="AA995" s="77" t="e">
        <f>VLOOKUP(L995,'Component List'!U$2:V$30,2,FALSE)</f>
        <v>#N/A</v>
      </c>
      <c r="AB995" s="77" t="e">
        <f>VLOOKUP(M995,'Component List'!AA$2:AB$30,2,FALSE)</f>
        <v>#N/A</v>
      </c>
      <c r="AC995" s="77" t="e">
        <f>VLOOKUP(N995,'Component List'!Y$2:Z$30,2,FALSE)</f>
        <v>#N/A</v>
      </c>
      <c r="AD995" s="77" t="e">
        <f>VLOOKUP(O995,'Component List'!W$3:X$30,2,FALSE)</f>
        <v>#N/A</v>
      </c>
    </row>
    <row r="996" spans="1:30" ht="30" customHeight="1" x14ac:dyDescent="0.3">
      <c r="A996" s="76"/>
      <c r="B996" s="78"/>
      <c r="C996" s="78"/>
      <c r="D996" s="78"/>
      <c r="E996" s="79"/>
      <c r="F996" s="78"/>
      <c r="G996" s="78"/>
      <c r="H996" s="78"/>
      <c r="I996" s="78"/>
      <c r="J996" s="78"/>
      <c r="K996" s="110"/>
      <c r="L996" s="110"/>
      <c r="M996" s="78"/>
      <c r="N996" s="78"/>
      <c r="O996" s="117"/>
      <c r="P996" s="114" t="e">
        <f t="shared" si="14"/>
        <v>#N/A</v>
      </c>
      <c r="Q996" s="77" t="e">
        <f>VLOOKUP($B996,'Component List'!$A$2:$B$30,2,FALSE)</f>
        <v>#N/A</v>
      </c>
      <c r="R996" s="77" t="e">
        <f>VLOOKUP($C996,'Component List'!C$2:D$28,2,FALSE)</f>
        <v>#N/A</v>
      </c>
      <c r="S996" s="77" t="e">
        <f>VLOOKUP($D996,'Component List'!E$2:F$30,2,FALSE)</f>
        <v>#N/A</v>
      </c>
      <c r="T996" s="77" t="e">
        <f>VLOOKUP($E996,'Component List'!G$2:H$30,2,FALSE)</f>
        <v>#N/A</v>
      </c>
      <c r="U996" s="77" t="e">
        <f>VLOOKUP($F996,'Component List'!I$2:J$30,2,FALSE)</f>
        <v>#N/A</v>
      </c>
      <c r="V996" s="77" t="e">
        <f>VLOOKUP(G996,'Component List'!K$2:L$30,2,FALSE)</f>
        <v>#N/A</v>
      </c>
      <c r="W996" s="77" t="e">
        <f>VLOOKUP(H996,'Component List'!M$2:N$31,2,FALSE)</f>
        <v>#N/A</v>
      </c>
      <c r="X996" s="77" t="e">
        <f>VLOOKUP(I996,'Component List'!O$2:P$30,2,FALSE)</f>
        <v>#N/A</v>
      </c>
      <c r="Y996" s="77" t="e">
        <f>VLOOKUP(J996,'Component List'!Q$2:R$30,2,FALSE)</f>
        <v>#N/A</v>
      </c>
      <c r="Z996" s="77" t="e">
        <f>VLOOKUP(K996,'Component List'!S$2:T$30,2,FALSE)</f>
        <v>#N/A</v>
      </c>
      <c r="AA996" s="77" t="e">
        <f>VLOOKUP(L996,'Component List'!U$2:V$30,2,FALSE)</f>
        <v>#N/A</v>
      </c>
      <c r="AB996" s="77" t="e">
        <f>VLOOKUP(M996,'Component List'!AA$2:AB$30,2,FALSE)</f>
        <v>#N/A</v>
      </c>
      <c r="AC996" s="77" t="e">
        <f>VLOOKUP(N996,'Component List'!Y$2:Z$30,2,FALSE)</f>
        <v>#N/A</v>
      </c>
      <c r="AD996" s="77" t="e">
        <f>VLOOKUP(O996,'Component List'!W$3:X$30,2,FALSE)</f>
        <v>#N/A</v>
      </c>
    </row>
    <row r="997" spans="1:30" ht="30" customHeight="1" x14ac:dyDescent="0.3">
      <c r="A997" s="76"/>
      <c r="B997" s="78"/>
      <c r="C997" s="78"/>
      <c r="D997" s="78"/>
      <c r="E997" s="79"/>
      <c r="F997" s="78"/>
      <c r="G997" s="78"/>
      <c r="H997" s="78"/>
      <c r="I997" s="78"/>
      <c r="J997" s="78"/>
      <c r="K997" s="110"/>
      <c r="L997" s="110"/>
      <c r="M997" s="78"/>
      <c r="N997" s="78"/>
      <c r="O997" s="117"/>
      <c r="P997" s="114" t="e">
        <f t="shared" si="14"/>
        <v>#N/A</v>
      </c>
      <c r="Q997" s="77" t="e">
        <f>VLOOKUP($B997,'Component List'!$A$2:$B$30,2,FALSE)</f>
        <v>#N/A</v>
      </c>
      <c r="R997" s="77" t="e">
        <f>VLOOKUP($C997,'Component List'!C$2:D$28,2,FALSE)</f>
        <v>#N/A</v>
      </c>
      <c r="S997" s="77" t="e">
        <f>VLOOKUP($D997,'Component List'!E$2:F$30,2,FALSE)</f>
        <v>#N/A</v>
      </c>
      <c r="T997" s="77" t="e">
        <f>VLOOKUP($E997,'Component List'!G$2:H$30,2,FALSE)</f>
        <v>#N/A</v>
      </c>
      <c r="U997" s="77" t="e">
        <f>VLOOKUP($F997,'Component List'!I$2:J$30,2,FALSE)</f>
        <v>#N/A</v>
      </c>
      <c r="V997" s="77" t="e">
        <f>VLOOKUP(G997,'Component List'!K$2:L$30,2,FALSE)</f>
        <v>#N/A</v>
      </c>
      <c r="W997" s="77" t="e">
        <f>VLOOKUP(H997,'Component List'!M$2:N$31,2,FALSE)</f>
        <v>#N/A</v>
      </c>
      <c r="X997" s="77" t="e">
        <f>VLOOKUP(I997,'Component List'!O$2:P$30,2,FALSE)</f>
        <v>#N/A</v>
      </c>
      <c r="Y997" s="77" t="e">
        <f>VLOOKUP(J997,'Component List'!Q$2:R$30,2,FALSE)</f>
        <v>#N/A</v>
      </c>
      <c r="Z997" s="77" t="e">
        <f>VLOOKUP(K997,'Component List'!S$2:T$30,2,FALSE)</f>
        <v>#N/A</v>
      </c>
      <c r="AA997" s="77" t="e">
        <f>VLOOKUP(L997,'Component List'!U$2:V$30,2,FALSE)</f>
        <v>#N/A</v>
      </c>
      <c r="AB997" s="77" t="e">
        <f>VLOOKUP(M997,'Component List'!AA$2:AB$30,2,FALSE)</f>
        <v>#N/A</v>
      </c>
      <c r="AC997" s="77" t="e">
        <f>VLOOKUP(N997,'Component List'!Y$2:Z$30,2,FALSE)</f>
        <v>#N/A</v>
      </c>
      <c r="AD997" s="77" t="e">
        <f>VLOOKUP(O997,'Component List'!W$3:X$30,2,FALSE)</f>
        <v>#N/A</v>
      </c>
    </row>
    <row r="998" spans="1:30" ht="30" customHeight="1" x14ac:dyDescent="0.3">
      <c r="A998" s="76"/>
      <c r="B998" s="78"/>
      <c r="C998" s="78"/>
      <c r="D998" s="78"/>
      <c r="E998" s="79"/>
      <c r="F998" s="78"/>
      <c r="G998" s="78"/>
      <c r="H998" s="78"/>
      <c r="I998" s="78"/>
      <c r="J998" s="78"/>
      <c r="K998" s="110"/>
      <c r="L998" s="110"/>
      <c r="M998" s="78"/>
      <c r="N998" s="78"/>
      <c r="O998" s="117"/>
      <c r="P998" s="114" t="e">
        <f t="shared" si="14"/>
        <v>#N/A</v>
      </c>
      <c r="Q998" s="77" t="e">
        <f>VLOOKUP($B998,'Component List'!$A$2:$B$30,2,FALSE)</f>
        <v>#N/A</v>
      </c>
      <c r="R998" s="77" t="e">
        <f>VLOOKUP($C998,'Component List'!C$2:D$28,2,FALSE)</f>
        <v>#N/A</v>
      </c>
      <c r="S998" s="77" t="e">
        <f>VLOOKUP($D998,'Component List'!E$2:F$30,2,FALSE)</f>
        <v>#N/A</v>
      </c>
      <c r="T998" s="77" t="e">
        <f>VLOOKUP($E998,'Component List'!G$2:H$30,2,FALSE)</f>
        <v>#N/A</v>
      </c>
      <c r="U998" s="77" t="e">
        <f>VLOOKUP($F998,'Component List'!I$2:J$30,2,FALSE)</f>
        <v>#N/A</v>
      </c>
      <c r="V998" s="77" t="e">
        <f>VLOOKUP(G998,'Component List'!K$2:L$30,2,FALSE)</f>
        <v>#N/A</v>
      </c>
      <c r="W998" s="77" t="e">
        <f>VLOOKUP(H998,'Component List'!M$2:N$31,2,FALSE)</f>
        <v>#N/A</v>
      </c>
      <c r="X998" s="77" t="e">
        <f>VLOOKUP(I998,'Component List'!O$2:P$30,2,FALSE)</f>
        <v>#N/A</v>
      </c>
      <c r="Y998" s="77" t="e">
        <f>VLOOKUP(J998,'Component List'!Q$2:R$30,2,FALSE)</f>
        <v>#N/A</v>
      </c>
      <c r="Z998" s="77" t="e">
        <f>VLOOKUP(K998,'Component List'!S$2:T$30,2,FALSE)</f>
        <v>#N/A</v>
      </c>
      <c r="AA998" s="77" t="e">
        <f>VLOOKUP(L998,'Component List'!U$2:V$30,2,FALSE)</f>
        <v>#N/A</v>
      </c>
      <c r="AB998" s="77" t="e">
        <f>VLOOKUP(M998,'Component List'!AA$2:AB$30,2,FALSE)</f>
        <v>#N/A</v>
      </c>
      <c r="AC998" s="77" t="e">
        <f>VLOOKUP(N998,'Component List'!Y$2:Z$30,2,FALSE)</f>
        <v>#N/A</v>
      </c>
      <c r="AD998" s="77" t="e">
        <f>VLOOKUP(O998,'Component List'!W$3:X$30,2,FALSE)</f>
        <v>#N/A</v>
      </c>
    </row>
    <row r="999" spans="1:30" ht="30" customHeight="1" x14ac:dyDescent="0.3">
      <c r="A999" s="76"/>
      <c r="B999" s="78"/>
      <c r="C999" s="78"/>
      <c r="D999" s="78"/>
      <c r="E999" s="79"/>
      <c r="F999" s="78"/>
      <c r="G999" s="78"/>
      <c r="H999" s="78"/>
      <c r="I999" s="78"/>
      <c r="J999" s="78"/>
      <c r="K999" s="110"/>
      <c r="L999" s="110"/>
      <c r="M999" s="78"/>
      <c r="N999" s="78"/>
      <c r="O999" s="117"/>
      <c r="P999" s="114" t="e">
        <f t="shared" si="14"/>
        <v>#N/A</v>
      </c>
      <c r="Q999" s="77" t="e">
        <f>VLOOKUP($B999,'Component List'!$A$2:$B$30,2,FALSE)</f>
        <v>#N/A</v>
      </c>
      <c r="R999" s="77" t="e">
        <f>VLOOKUP($C999,'Component List'!C$2:D$28,2,FALSE)</f>
        <v>#N/A</v>
      </c>
      <c r="S999" s="77" t="e">
        <f>VLOOKUP($D999,'Component List'!E$2:F$30,2,FALSE)</f>
        <v>#N/A</v>
      </c>
      <c r="T999" s="77" t="e">
        <f>VLOOKUP($E999,'Component List'!G$2:H$30,2,FALSE)</f>
        <v>#N/A</v>
      </c>
      <c r="U999" s="77" t="e">
        <f>VLOOKUP($F999,'Component List'!I$2:J$30,2,FALSE)</f>
        <v>#N/A</v>
      </c>
      <c r="V999" s="77" t="e">
        <f>VLOOKUP(G999,'Component List'!K$2:L$30,2,FALSE)</f>
        <v>#N/A</v>
      </c>
      <c r="W999" s="77" t="e">
        <f>VLOOKUP(H999,'Component List'!M$2:N$31,2,FALSE)</f>
        <v>#N/A</v>
      </c>
      <c r="X999" s="77" t="e">
        <f>VLOOKUP(I999,'Component List'!O$2:P$30,2,FALSE)</f>
        <v>#N/A</v>
      </c>
      <c r="Y999" s="77" t="e">
        <f>VLOOKUP(J999,'Component List'!Q$2:R$30,2,FALSE)</f>
        <v>#N/A</v>
      </c>
      <c r="Z999" s="77" t="e">
        <f>VLOOKUP(K999,'Component List'!S$2:T$30,2,FALSE)</f>
        <v>#N/A</v>
      </c>
      <c r="AA999" s="77" t="e">
        <f>VLOOKUP(L999,'Component List'!U$2:V$30,2,FALSE)</f>
        <v>#N/A</v>
      </c>
      <c r="AB999" s="77" t="e">
        <f>VLOOKUP(M999,'Component List'!AA$2:AB$30,2,FALSE)</f>
        <v>#N/A</v>
      </c>
      <c r="AC999" s="77" t="e">
        <f>VLOOKUP(N999,'Component List'!Y$2:Z$30,2,FALSE)</f>
        <v>#N/A</v>
      </c>
      <c r="AD999" s="77" t="e">
        <f>VLOOKUP(O999,'Component List'!W$3:X$30,2,FALSE)</f>
        <v>#N/A</v>
      </c>
    </row>
    <row r="1000" spans="1:30" ht="30" customHeight="1" x14ac:dyDescent="0.3">
      <c r="A1000" s="76"/>
      <c r="B1000" s="78"/>
      <c r="C1000" s="78"/>
      <c r="D1000" s="78"/>
      <c r="E1000" s="79"/>
      <c r="F1000" s="78"/>
      <c r="G1000" s="78"/>
      <c r="H1000" s="78"/>
      <c r="I1000" s="78"/>
      <c r="J1000" s="78"/>
      <c r="K1000" s="110"/>
      <c r="L1000" s="110"/>
      <c r="M1000" s="78"/>
      <c r="N1000" s="78"/>
      <c r="O1000" s="117"/>
      <c r="P1000" s="114" t="e">
        <f t="shared" si="14"/>
        <v>#N/A</v>
      </c>
      <c r="Q1000" s="77" t="e">
        <f>VLOOKUP($B1000,'Component List'!$A$2:$B$30,2,FALSE)</f>
        <v>#N/A</v>
      </c>
      <c r="R1000" s="77" t="e">
        <f>VLOOKUP($C1000,'Component List'!C$2:D$28,2,FALSE)</f>
        <v>#N/A</v>
      </c>
      <c r="S1000" s="77" t="e">
        <f>VLOOKUP($D1000,'Component List'!E$2:F$30,2,FALSE)</f>
        <v>#N/A</v>
      </c>
      <c r="T1000" s="77" t="e">
        <f>VLOOKUP($E1000,'Component List'!G$2:H$30,2,FALSE)</f>
        <v>#N/A</v>
      </c>
      <c r="U1000" s="77" t="e">
        <f>VLOOKUP($F1000,'Component List'!I$2:J$30,2,FALSE)</f>
        <v>#N/A</v>
      </c>
      <c r="V1000" s="77" t="e">
        <f>VLOOKUP(G1000,'Component List'!K$2:L$30,2,FALSE)</f>
        <v>#N/A</v>
      </c>
      <c r="W1000" s="77" t="e">
        <f>VLOOKUP(H1000,'Component List'!M$2:N$31,2,FALSE)</f>
        <v>#N/A</v>
      </c>
      <c r="X1000" s="77" t="e">
        <f>VLOOKUP(I1000,'Component List'!O$2:P$30,2,FALSE)</f>
        <v>#N/A</v>
      </c>
      <c r="Y1000" s="77" t="e">
        <f>VLOOKUP(J1000,'Component List'!Q$2:R$30,2,FALSE)</f>
        <v>#N/A</v>
      </c>
      <c r="Z1000" s="77" t="e">
        <f>VLOOKUP(K1000,'Component List'!S$2:T$30,2,FALSE)</f>
        <v>#N/A</v>
      </c>
      <c r="AA1000" s="77" t="e">
        <f>VLOOKUP(L1000,'Component List'!U$2:V$30,2,FALSE)</f>
        <v>#N/A</v>
      </c>
      <c r="AB1000" s="77" t="e">
        <f>VLOOKUP(M1000,'Component List'!AA$2:AB$30,2,FALSE)</f>
        <v>#N/A</v>
      </c>
      <c r="AC1000" s="77" t="e">
        <f>VLOOKUP(N1000,'Component List'!Y$2:Z$30,2,FALSE)</f>
        <v>#N/A</v>
      </c>
      <c r="AD1000" s="77" t="e">
        <f>VLOOKUP(O1000,'Component List'!W$3:X$30,2,FALSE)</f>
        <v>#N/A</v>
      </c>
    </row>
    <row r="1001" spans="1:30" ht="30" customHeight="1" x14ac:dyDescent="0.3">
      <c r="A1001" s="76"/>
      <c r="B1001" s="78"/>
      <c r="C1001" s="78"/>
      <c r="D1001" s="78"/>
      <c r="E1001" s="79"/>
      <c r="F1001" s="78"/>
      <c r="G1001" s="78"/>
      <c r="H1001" s="78"/>
      <c r="I1001" s="78"/>
      <c r="J1001" s="78"/>
      <c r="K1001" s="110"/>
      <c r="L1001" s="110"/>
      <c r="M1001" s="78"/>
      <c r="N1001" s="78"/>
      <c r="O1001" s="117"/>
      <c r="P1001" s="114" t="e">
        <f t="shared" si="14"/>
        <v>#N/A</v>
      </c>
      <c r="Q1001" s="77" t="e">
        <f>VLOOKUP($B1001,'Component List'!$A$2:$B$30,2,FALSE)</f>
        <v>#N/A</v>
      </c>
      <c r="R1001" s="77" t="e">
        <f>VLOOKUP($C1001,'Component List'!C$2:D$28,2,FALSE)</f>
        <v>#N/A</v>
      </c>
      <c r="S1001" s="77" t="e">
        <f>VLOOKUP($D1001,'Component List'!E$2:F$30,2,FALSE)</f>
        <v>#N/A</v>
      </c>
      <c r="T1001" s="77" t="e">
        <f>VLOOKUP($E1001,'Component List'!G$2:H$30,2,FALSE)</f>
        <v>#N/A</v>
      </c>
      <c r="U1001" s="77" t="e">
        <f>VLOOKUP($F1001,'Component List'!I$2:J$30,2,FALSE)</f>
        <v>#N/A</v>
      </c>
      <c r="V1001" s="77" t="e">
        <f>VLOOKUP(G1001,'Component List'!K$2:L$30,2,FALSE)</f>
        <v>#N/A</v>
      </c>
      <c r="W1001" s="77" t="e">
        <f>VLOOKUP(H1001,'Component List'!M$2:N$31,2,FALSE)</f>
        <v>#N/A</v>
      </c>
      <c r="X1001" s="77" t="e">
        <f>VLOOKUP(I1001,'Component List'!O$2:P$30,2,FALSE)</f>
        <v>#N/A</v>
      </c>
      <c r="Y1001" s="77" t="e">
        <f>VLOOKUP(J1001,'Component List'!Q$2:R$30,2,FALSE)</f>
        <v>#N/A</v>
      </c>
      <c r="Z1001" s="77" t="e">
        <f>VLOOKUP(K1001,'Component List'!S$2:T$30,2,FALSE)</f>
        <v>#N/A</v>
      </c>
      <c r="AA1001" s="77" t="e">
        <f>VLOOKUP(L1001,'Component List'!U$2:V$30,2,FALSE)</f>
        <v>#N/A</v>
      </c>
      <c r="AB1001" s="77" t="e">
        <f>VLOOKUP(M1001,'Component List'!AA$2:AB$30,2,FALSE)</f>
        <v>#N/A</v>
      </c>
      <c r="AC1001" s="77" t="e">
        <f>VLOOKUP(N1001,'Component List'!Y$2:Z$30,2,FALSE)</f>
        <v>#N/A</v>
      </c>
      <c r="AD1001" s="77" t="e">
        <f>VLOOKUP(O1001,'Component List'!W$3:X$30,2,FALSE)</f>
        <v>#N/A</v>
      </c>
    </row>
    <row r="1002" spans="1:30" ht="30" customHeight="1" x14ac:dyDescent="0.3">
      <c r="A1002" s="76"/>
      <c r="B1002" s="78"/>
      <c r="C1002" s="78"/>
      <c r="D1002" s="78"/>
      <c r="E1002" s="79"/>
      <c r="F1002" s="78"/>
      <c r="G1002" s="78"/>
      <c r="H1002" s="78"/>
      <c r="I1002" s="78"/>
      <c r="J1002" s="78"/>
      <c r="K1002" s="110"/>
      <c r="L1002" s="110"/>
      <c r="M1002" s="78"/>
      <c r="N1002" s="78"/>
      <c r="O1002" s="117"/>
      <c r="P1002" s="114" t="e">
        <f t="shared" si="14"/>
        <v>#N/A</v>
      </c>
      <c r="Q1002" s="77" t="e">
        <f>VLOOKUP($B1002,'Component List'!$A$2:$B$30,2,FALSE)</f>
        <v>#N/A</v>
      </c>
      <c r="R1002" s="77" t="e">
        <f>VLOOKUP($C1002,'Component List'!C$2:D$28,2,FALSE)</f>
        <v>#N/A</v>
      </c>
      <c r="S1002" s="77" t="e">
        <f>VLOOKUP($D1002,'Component List'!E$2:F$30,2,FALSE)</f>
        <v>#N/A</v>
      </c>
      <c r="T1002" s="77" t="e">
        <f>VLOOKUP($E1002,'Component List'!G$2:H$30,2,FALSE)</f>
        <v>#N/A</v>
      </c>
      <c r="U1002" s="77" t="e">
        <f>VLOOKUP($F1002,'Component List'!I$2:J$30,2,FALSE)</f>
        <v>#N/A</v>
      </c>
      <c r="V1002" s="77" t="e">
        <f>VLOOKUP(G1002,'Component List'!K$2:L$30,2,FALSE)</f>
        <v>#N/A</v>
      </c>
      <c r="W1002" s="77" t="e">
        <f>VLOOKUP(H1002,'Component List'!M$2:N$31,2,FALSE)</f>
        <v>#N/A</v>
      </c>
      <c r="X1002" s="77" t="e">
        <f>VLOOKUP(I1002,'Component List'!O$2:P$30,2,FALSE)</f>
        <v>#N/A</v>
      </c>
      <c r="Y1002" s="77" t="e">
        <f>VLOOKUP(J1002,'Component List'!Q$2:R$30,2,FALSE)</f>
        <v>#N/A</v>
      </c>
      <c r="Z1002" s="77" t="e">
        <f>VLOOKUP(K1002,'Component List'!S$2:T$30,2,FALSE)</f>
        <v>#N/A</v>
      </c>
      <c r="AA1002" s="77" t="e">
        <f>VLOOKUP(L1002,'Component List'!U$2:V$30,2,FALSE)</f>
        <v>#N/A</v>
      </c>
      <c r="AB1002" s="77" t="e">
        <f>VLOOKUP(M1002,'Component List'!AA$2:AB$30,2,FALSE)</f>
        <v>#N/A</v>
      </c>
      <c r="AC1002" s="77" t="e">
        <f>VLOOKUP(N1002,'Component List'!Y$2:Z$30,2,FALSE)</f>
        <v>#N/A</v>
      </c>
      <c r="AD1002" s="77" t="e">
        <f>VLOOKUP(O1002,'Component List'!W$3:X$30,2,FALSE)</f>
        <v>#N/A</v>
      </c>
    </row>
    <row r="1003" spans="1:30" ht="30" customHeight="1" x14ac:dyDescent="0.3">
      <c r="A1003" s="76"/>
      <c r="B1003" s="78"/>
      <c r="C1003" s="78"/>
      <c r="D1003" s="78"/>
      <c r="E1003" s="79"/>
      <c r="F1003" s="78"/>
      <c r="G1003" s="78"/>
      <c r="H1003" s="78"/>
      <c r="I1003" s="78"/>
      <c r="J1003" s="78"/>
      <c r="K1003" s="110"/>
      <c r="L1003" s="110"/>
      <c r="M1003" s="78"/>
      <c r="N1003" s="78"/>
      <c r="O1003" s="117"/>
      <c r="P1003" s="114" t="e">
        <f t="shared" si="14"/>
        <v>#N/A</v>
      </c>
      <c r="Q1003" s="77" t="e">
        <f>VLOOKUP($B1003,'Component List'!$A$2:$B$30,2,FALSE)</f>
        <v>#N/A</v>
      </c>
      <c r="R1003" s="77" t="e">
        <f>VLOOKUP($C1003,'Component List'!C$2:D$28,2,FALSE)</f>
        <v>#N/A</v>
      </c>
      <c r="S1003" s="77" t="e">
        <f>VLOOKUP($D1003,'Component List'!E$2:F$30,2,FALSE)</f>
        <v>#N/A</v>
      </c>
      <c r="T1003" s="77" t="e">
        <f>VLOOKUP($E1003,'Component List'!G$2:H$30,2,FALSE)</f>
        <v>#N/A</v>
      </c>
      <c r="U1003" s="77" t="e">
        <f>VLOOKUP($F1003,'Component List'!I$2:J$30,2,FALSE)</f>
        <v>#N/A</v>
      </c>
      <c r="V1003" s="77" t="e">
        <f>VLOOKUP(G1003,'Component List'!K$2:L$30,2,FALSE)</f>
        <v>#N/A</v>
      </c>
      <c r="W1003" s="77" t="e">
        <f>VLOOKUP(H1003,'Component List'!M$2:N$31,2,FALSE)</f>
        <v>#N/A</v>
      </c>
      <c r="X1003" s="77" t="e">
        <f>VLOOKUP(I1003,'Component List'!O$2:P$30,2,FALSE)</f>
        <v>#N/A</v>
      </c>
      <c r="Y1003" s="77" t="e">
        <f>VLOOKUP(J1003,'Component List'!Q$2:R$30,2,FALSE)</f>
        <v>#N/A</v>
      </c>
      <c r="Z1003" s="77" t="e">
        <f>VLOOKUP(K1003,'Component List'!S$2:T$30,2,FALSE)</f>
        <v>#N/A</v>
      </c>
      <c r="AA1003" s="77" t="e">
        <f>VLOOKUP(L1003,'Component List'!U$2:V$30,2,FALSE)</f>
        <v>#N/A</v>
      </c>
      <c r="AB1003" s="77" t="e">
        <f>VLOOKUP(M1003,'Component List'!AA$2:AB$30,2,FALSE)</f>
        <v>#N/A</v>
      </c>
      <c r="AC1003" s="77" t="e">
        <f>VLOOKUP(N1003,'Component List'!Y$2:Z$30,2,FALSE)</f>
        <v>#N/A</v>
      </c>
      <c r="AD1003" s="77" t="e">
        <f>VLOOKUP(O1003,'Component List'!W$3:X$30,2,FALSE)</f>
        <v>#N/A</v>
      </c>
    </row>
    <row r="1004" spans="1:30" ht="30" customHeight="1" x14ac:dyDescent="0.3">
      <c r="A1004" s="76"/>
      <c r="B1004" s="78"/>
      <c r="C1004" s="78"/>
      <c r="D1004" s="78"/>
      <c r="E1004" s="79"/>
      <c r="F1004" s="78"/>
      <c r="G1004" s="78"/>
      <c r="H1004" s="78"/>
      <c r="I1004" s="78"/>
      <c r="J1004" s="78"/>
      <c r="K1004" s="110"/>
      <c r="L1004" s="110"/>
      <c r="M1004" s="78"/>
      <c r="N1004" s="78"/>
      <c r="O1004" s="117"/>
      <c r="P1004" s="114" t="e">
        <f t="shared" si="14"/>
        <v>#N/A</v>
      </c>
      <c r="Q1004" s="77" t="e">
        <f>VLOOKUP($B1004,'Component List'!$A$2:$B$30,2,FALSE)</f>
        <v>#N/A</v>
      </c>
      <c r="R1004" s="77" t="e">
        <f>VLOOKUP($C1004,'Component List'!C$2:D$28,2,FALSE)</f>
        <v>#N/A</v>
      </c>
      <c r="S1004" s="77" t="e">
        <f>VLOOKUP($D1004,'Component List'!E$2:F$30,2,FALSE)</f>
        <v>#N/A</v>
      </c>
      <c r="T1004" s="77" t="e">
        <f>VLOOKUP($E1004,'Component List'!G$2:H$30,2,FALSE)</f>
        <v>#N/A</v>
      </c>
      <c r="U1004" s="77" t="e">
        <f>VLOOKUP($F1004,'Component List'!I$2:J$30,2,FALSE)</f>
        <v>#N/A</v>
      </c>
      <c r="V1004" s="77" t="e">
        <f>VLOOKUP(G1004,'Component List'!K$2:L$30,2,FALSE)</f>
        <v>#N/A</v>
      </c>
      <c r="W1004" s="77" t="e">
        <f>VLOOKUP(H1004,'Component List'!M$2:N$31,2,FALSE)</f>
        <v>#N/A</v>
      </c>
      <c r="X1004" s="77" t="e">
        <f>VLOOKUP(I1004,'Component List'!O$2:P$30,2,FALSE)</f>
        <v>#N/A</v>
      </c>
      <c r="Y1004" s="77" t="e">
        <f>VLOOKUP(J1004,'Component List'!Q$2:R$30,2,FALSE)</f>
        <v>#N/A</v>
      </c>
      <c r="Z1004" s="77" t="e">
        <f>VLOOKUP(K1004,'Component List'!S$2:T$30,2,FALSE)</f>
        <v>#N/A</v>
      </c>
      <c r="AA1004" s="77" t="e">
        <f>VLOOKUP(L1004,'Component List'!U$2:V$30,2,FALSE)</f>
        <v>#N/A</v>
      </c>
      <c r="AB1004" s="77" t="e">
        <f>VLOOKUP(M1004,'Component List'!AA$2:AB$30,2,FALSE)</f>
        <v>#N/A</v>
      </c>
      <c r="AC1004" s="77" t="e">
        <f>VLOOKUP(N1004,'Component List'!Y$2:Z$30,2,FALSE)</f>
        <v>#N/A</v>
      </c>
      <c r="AD1004" s="77" t="e">
        <f>VLOOKUP(O1004,'Component List'!W$3:X$30,2,FALSE)</f>
        <v>#N/A</v>
      </c>
    </row>
    <row r="1005" spans="1:30" ht="30" customHeight="1" x14ac:dyDescent="0.3">
      <c r="A1005" s="76"/>
      <c r="B1005" s="78"/>
      <c r="C1005" s="78"/>
      <c r="D1005" s="78"/>
      <c r="E1005" s="79"/>
      <c r="F1005" s="78"/>
      <c r="G1005" s="78"/>
      <c r="H1005" s="78"/>
      <c r="I1005" s="78"/>
      <c r="J1005" s="78"/>
      <c r="K1005" s="110"/>
      <c r="L1005" s="110"/>
      <c r="M1005" s="78"/>
      <c r="N1005" s="78"/>
      <c r="O1005" s="117"/>
      <c r="P1005" s="114" t="e">
        <f t="shared" si="14"/>
        <v>#N/A</v>
      </c>
      <c r="Q1005" s="77" t="e">
        <f>VLOOKUP($B1005,'Component List'!$A$2:$B$30,2,FALSE)</f>
        <v>#N/A</v>
      </c>
      <c r="R1005" s="77" t="e">
        <f>VLOOKUP($C1005,'Component List'!C$2:D$28,2,FALSE)</f>
        <v>#N/A</v>
      </c>
      <c r="S1005" s="77" t="e">
        <f>VLOOKUP($D1005,'Component List'!E$2:F$30,2,FALSE)</f>
        <v>#N/A</v>
      </c>
      <c r="T1005" s="77" t="e">
        <f>VLOOKUP($E1005,'Component List'!G$2:H$30,2,FALSE)</f>
        <v>#N/A</v>
      </c>
      <c r="U1005" s="77" t="e">
        <f>VLOOKUP($F1005,'Component List'!I$2:J$30,2,FALSE)</f>
        <v>#N/A</v>
      </c>
      <c r="V1005" s="77" t="e">
        <f>VLOOKUP(G1005,'Component List'!K$2:L$30,2,FALSE)</f>
        <v>#N/A</v>
      </c>
      <c r="W1005" s="77" t="e">
        <f>VLOOKUP(H1005,'Component List'!M$2:N$31,2,FALSE)</f>
        <v>#N/A</v>
      </c>
      <c r="X1005" s="77" t="e">
        <f>VLOOKUP(I1005,'Component List'!O$2:P$30,2,FALSE)</f>
        <v>#N/A</v>
      </c>
      <c r="Y1005" s="77" t="e">
        <f>VLOOKUP(J1005,'Component List'!Q$2:R$30,2,FALSE)</f>
        <v>#N/A</v>
      </c>
      <c r="Z1005" s="77" t="e">
        <f>VLOOKUP(K1005,'Component List'!S$2:T$30,2,FALSE)</f>
        <v>#N/A</v>
      </c>
      <c r="AA1005" s="77" t="e">
        <f>VLOOKUP(L1005,'Component List'!U$2:V$30,2,FALSE)</f>
        <v>#N/A</v>
      </c>
      <c r="AB1005" s="77" t="e">
        <f>VLOOKUP(M1005,'Component List'!AA$2:AB$30,2,FALSE)</f>
        <v>#N/A</v>
      </c>
      <c r="AC1005" s="77" t="e">
        <f>VLOOKUP(N1005,'Component List'!Y$2:Z$30,2,FALSE)</f>
        <v>#N/A</v>
      </c>
      <c r="AD1005" s="77" t="e">
        <f>VLOOKUP(O1005,'Component List'!W$3:X$30,2,FALSE)</f>
        <v>#N/A</v>
      </c>
    </row>
    <row r="1006" spans="1:30" ht="30" customHeight="1" x14ac:dyDescent="0.3">
      <c r="A1006" s="76"/>
      <c r="B1006" s="78"/>
      <c r="C1006" s="78"/>
      <c r="D1006" s="78"/>
      <c r="E1006" s="79"/>
      <c r="F1006" s="78"/>
      <c r="G1006" s="78"/>
      <c r="H1006" s="78"/>
      <c r="I1006" s="78"/>
      <c r="J1006" s="78"/>
      <c r="K1006" s="110"/>
      <c r="L1006" s="110"/>
      <c r="M1006" s="78"/>
      <c r="N1006" s="78"/>
      <c r="O1006" s="117"/>
      <c r="P1006" s="114" t="e">
        <f t="shared" si="14"/>
        <v>#N/A</v>
      </c>
      <c r="Q1006" s="77" t="e">
        <f>VLOOKUP($B1006,'Component List'!$A$2:$B$30,2,FALSE)</f>
        <v>#N/A</v>
      </c>
      <c r="R1006" s="77" t="e">
        <f>VLOOKUP($C1006,'Component List'!C$2:D$28,2,FALSE)</f>
        <v>#N/A</v>
      </c>
      <c r="S1006" s="77" t="e">
        <f>VLOOKUP($D1006,'Component List'!E$2:F$30,2,FALSE)</f>
        <v>#N/A</v>
      </c>
      <c r="T1006" s="77" t="e">
        <f>VLOOKUP($E1006,'Component List'!G$2:H$30,2,FALSE)</f>
        <v>#N/A</v>
      </c>
      <c r="U1006" s="77" t="e">
        <f>VLOOKUP($F1006,'Component List'!I$2:J$30,2,FALSE)</f>
        <v>#N/A</v>
      </c>
      <c r="V1006" s="77" t="e">
        <f>VLOOKUP(G1006,'Component List'!K$2:L$30,2,FALSE)</f>
        <v>#N/A</v>
      </c>
      <c r="W1006" s="77" t="e">
        <f>VLOOKUP(H1006,'Component List'!M$2:N$31,2,FALSE)</f>
        <v>#N/A</v>
      </c>
      <c r="X1006" s="77" t="e">
        <f>VLOOKUP(I1006,'Component List'!O$2:P$30,2,FALSE)</f>
        <v>#N/A</v>
      </c>
      <c r="Y1006" s="77" t="e">
        <f>VLOOKUP(J1006,'Component List'!Q$2:R$30,2,FALSE)</f>
        <v>#N/A</v>
      </c>
      <c r="Z1006" s="77" t="e">
        <f>VLOOKUP(K1006,'Component List'!S$2:T$30,2,FALSE)</f>
        <v>#N/A</v>
      </c>
      <c r="AA1006" s="77" t="e">
        <f>VLOOKUP(L1006,'Component List'!U$2:V$30,2,FALSE)</f>
        <v>#N/A</v>
      </c>
      <c r="AB1006" s="77" t="e">
        <f>VLOOKUP(M1006,'Component List'!AA$2:AB$30,2,FALSE)</f>
        <v>#N/A</v>
      </c>
      <c r="AC1006" s="77" t="e">
        <f>VLOOKUP(N1006,'Component List'!Y$2:Z$30,2,FALSE)</f>
        <v>#N/A</v>
      </c>
      <c r="AD1006" s="77" t="e">
        <f>VLOOKUP(O1006,'Component List'!W$3:X$30,2,FALSE)</f>
        <v>#N/A</v>
      </c>
    </row>
    <row r="1007" spans="1:30" ht="30" customHeight="1" x14ac:dyDescent="0.3">
      <c r="A1007" s="76"/>
      <c r="B1007" s="78"/>
      <c r="C1007" s="78"/>
      <c r="D1007" s="78"/>
      <c r="E1007" s="79"/>
      <c r="F1007" s="78"/>
      <c r="G1007" s="78"/>
      <c r="H1007" s="78"/>
      <c r="I1007" s="78"/>
      <c r="J1007" s="78"/>
      <c r="K1007" s="110"/>
      <c r="L1007" s="110"/>
      <c r="M1007" s="78"/>
      <c r="N1007" s="78"/>
      <c r="O1007" s="117"/>
      <c r="P1007" s="114" t="e">
        <f t="shared" si="14"/>
        <v>#N/A</v>
      </c>
      <c r="Q1007" s="77" t="e">
        <f>VLOOKUP($B1007,'Component List'!$A$2:$B$30,2,FALSE)</f>
        <v>#N/A</v>
      </c>
      <c r="R1007" s="77" t="e">
        <f>VLOOKUP($C1007,'Component List'!C$2:D$28,2,FALSE)</f>
        <v>#N/A</v>
      </c>
      <c r="S1007" s="77" t="e">
        <f>VLOOKUP($D1007,'Component List'!E$2:F$30,2,FALSE)</f>
        <v>#N/A</v>
      </c>
      <c r="T1007" s="77" t="e">
        <f>VLOOKUP($E1007,'Component List'!G$2:H$30,2,FALSE)</f>
        <v>#N/A</v>
      </c>
      <c r="U1007" s="77" t="e">
        <f>VLOOKUP($F1007,'Component List'!I$2:J$30,2,FALSE)</f>
        <v>#N/A</v>
      </c>
      <c r="V1007" s="77" t="e">
        <f>VLOOKUP(G1007,'Component List'!K$2:L$30,2,FALSE)</f>
        <v>#N/A</v>
      </c>
      <c r="W1007" s="77" t="e">
        <f>VLOOKUP(H1007,'Component List'!M$2:N$31,2,FALSE)</f>
        <v>#N/A</v>
      </c>
      <c r="X1007" s="77" t="e">
        <f>VLOOKUP(I1007,'Component List'!O$2:P$30,2,FALSE)</f>
        <v>#N/A</v>
      </c>
      <c r="Y1007" s="77" t="e">
        <f>VLOOKUP(J1007,'Component List'!Q$2:R$30,2,FALSE)</f>
        <v>#N/A</v>
      </c>
      <c r="Z1007" s="77" t="e">
        <f>VLOOKUP(K1007,'Component List'!S$2:T$30,2,FALSE)</f>
        <v>#N/A</v>
      </c>
      <c r="AA1007" s="77" t="e">
        <f>VLOOKUP(L1007,'Component List'!U$2:V$30,2,FALSE)</f>
        <v>#N/A</v>
      </c>
      <c r="AB1007" s="77" t="e">
        <f>VLOOKUP(M1007,'Component List'!AA$2:AB$30,2,FALSE)</f>
        <v>#N/A</v>
      </c>
      <c r="AC1007" s="77" t="e">
        <f>VLOOKUP(N1007,'Component List'!Y$2:Z$30,2,FALSE)</f>
        <v>#N/A</v>
      </c>
      <c r="AD1007" s="77" t="e">
        <f>VLOOKUP(O1007,'Component List'!W$3:X$30,2,FALSE)</f>
        <v>#N/A</v>
      </c>
    </row>
    <row r="1008" spans="1:30" ht="30" customHeight="1" x14ac:dyDescent="0.3">
      <c r="A1008" s="76"/>
      <c r="B1008" s="78"/>
      <c r="C1008" s="78"/>
      <c r="D1008" s="78"/>
      <c r="E1008" s="79"/>
      <c r="F1008" s="78"/>
      <c r="G1008" s="78"/>
      <c r="H1008" s="78"/>
      <c r="I1008" s="78"/>
      <c r="J1008" s="78"/>
      <c r="K1008" s="110"/>
      <c r="L1008" s="110"/>
      <c r="M1008" s="78"/>
      <c r="N1008" s="78"/>
      <c r="O1008" s="117"/>
      <c r="P1008" s="114" t="e">
        <f t="shared" si="14"/>
        <v>#N/A</v>
      </c>
      <c r="Q1008" s="77" t="e">
        <f>VLOOKUP($B1008,'Component List'!$A$2:$B$30,2,FALSE)</f>
        <v>#N/A</v>
      </c>
      <c r="R1008" s="77" t="e">
        <f>VLOOKUP($C1008,'Component List'!C$2:D$28,2,FALSE)</f>
        <v>#N/A</v>
      </c>
      <c r="S1008" s="77" t="e">
        <f>VLOOKUP($D1008,'Component List'!E$2:F$30,2,FALSE)</f>
        <v>#N/A</v>
      </c>
      <c r="T1008" s="77" t="e">
        <f>VLOOKUP($E1008,'Component List'!G$2:H$30,2,FALSE)</f>
        <v>#N/A</v>
      </c>
      <c r="U1008" s="77" t="e">
        <f>VLOOKUP($F1008,'Component List'!I$2:J$30,2,FALSE)</f>
        <v>#N/A</v>
      </c>
      <c r="V1008" s="77" t="e">
        <f>VLOOKUP(G1008,'Component List'!K$2:L$30,2,FALSE)</f>
        <v>#N/A</v>
      </c>
      <c r="W1008" s="77" t="e">
        <f>VLOOKUP(H1008,'Component List'!M$2:N$31,2,FALSE)</f>
        <v>#N/A</v>
      </c>
      <c r="X1008" s="77" t="e">
        <f>VLOOKUP(I1008,'Component List'!O$2:P$30,2,FALSE)</f>
        <v>#N/A</v>
      </c>
      <c r="Y1008" s="77" t="e">
        <f>VLOOKUP(J1008,'Component List'!Q$2:R$30,2,FALSE)</f>
        <v>#N/A</v>
      </c>
      <c r="Z1008" s="77" t="e">
        <f>VLOOKUP(K1008,'Component List'!S$2:T$30,2,FALSE)</f>
        <v>#N/A</v>
      </c>
      <c r="AA1008" s="77" t="e">
        <f>VLOOKUP(L1008,'Component List'!U$2:V$30,2,FALSE)</f>
        <v>#N/A</v>
      </c>
      <c r="AB1008" s="77" t="e">
        <f>VLOOKUP(M1008,'Component List'!AA$2:AB$30,2,FALSE)</f>
        <v>#N/A</v>
      </c>
      <c r="AC1008" s="77" t="e">
        <f>VLOOKUP(N1008,'Component List'!Y$2:Z$30,2,FALSE)</f>
        <v>#N/A</v>
      </c>
      <c r="AD1008" s="77" t="e">
        <f>VLOOKUP(O1008,'Component List'!W$3:X$30,2,FALSE)</f>
        <v>#N/A</v>
      </c>
    </row>
    <row r="1009" spans="1:30" ht="30" customHeight="1" x14ac:dyDescent="0.3">
      <c r="A1009" s="76"/>
      <c r="B1009" s="78"/>
      <c r="C1009" s="78"/>
      <c r="D1009" s="78"/>
      <c r="E1009" s="79"/>
      <c r="F1009" s="78"/>
      <c r="G1009" s="78"/>
      <c r="H1009" s="78"/>
      <c r="I1009" s="78"/>
      <c r="J1009" s="78"/>
      <c r="K1009" s="110"/>
      <c r="L1009" s="110"/>
      <c r="M1009" s="78"/>
      <c r="N1009" s="78"/>
      <c r="O1009" s="117"/>
      <c r="P1009" s="114" t="e">
        <f t="shared" si="14"/>
        <v>#N/A</v>
      </c>
      <c r="Q1009" s="77" t="e">
        <f>VLOOKUP($B1009,'Component List'!$A$2:$B$30,2,FALSE)</f>
        <v>#N/A</v>
      </c>
      <c r="R1009" s="77" t="e">
        <f>VLOOKUP($C1009,'Component List'!C$2:D$28,2,FALSE)</f>
        <v>#N/A</v>
      </c>
      <c r="S1009" s="77" t="e">
        <f>VLOOKUP($D1009,'Component List'!E$2:F$30,2,FALSE)</f>
        <v>#N/A</v>
      </c>
      <c r="T1009" s="77" t="e">
        <f>VLOOKUP($E1009,'Component List'!G$2:H$30,2,FALSE)</f>
        <v>#N/A</v>
      </c>
      <c r="U1009" s="77" t="e">
        <f>VLOOKUP($F1009,'Component List'!I$2:J$30,2,FALSE)</f>
        <v>#N/A</v>
      </c>
      <c r="V1009" s="77" t="e">
        <f>VLOOKUP(G1009,'Component List'!K$2:L$30,2,FALSE)</f>
        <v>#N/A</v>
      </c>
      <c r="W1009" s="77" t="e">
        <f>VLOOKUP(H1009,'Component List'!M$2:N$31,2,FALSE)</f>
        <v>#N/A</v>
      </c>
      <c r="X1009" s="77" t="e">
        <f>VLOOKUP(I1009,'Component List'!O$2:P$30,2,FALSE)</f>
        <v>#N/A</v>
      </c>
      <c r="Y1009" s="77" t="e">
        <f>VLOOKUP(J1009,'Component List'!Q$2:R$30,2,FALSE)</f>
        <v>#N/A</v>
      </c>
      <c r="Z1009" s="77" t="e">
        <f>VLOOKUP(K1009,'Component List'!S$2:T$30,2,FALSE)</f>
        <v>#N/A</v>
      </c>
      <c r="AA1009" s="77" t="e">
        <f>VLOOKUP(L1009,'Component List'!U$2:V$30,2,FALSE)</f>
        <v>#N/A</v>
      </c>
      <c r="AB1009" s="77" t="e">
        <f>VLOOKUP(M1009,'Component List'!AA$2:AB$30,2,FALSE)</f>
        <v>#N/A</v>
      </c>
      <c r="AC1009" s="77" t="e">
        <f>VLOOKUP(N1009,'Component List'!Y$2:Z$30,2,FALSE)</f>
        <v>#N/A</v>
      </c>
      <c r="AD1009" s="77" t="e">
        <f>VLOOKUP(O1009,'Component List'!W$3:X$30,2,FALSE)</f>
        <v>#N/A</v>
      </c>
    </row>
    <row r="1010" spans="1:30" ht="30" customHeight="1" x14ac:dyDescent="0.3">
      <c r="A1010" s="76"/>
      <c r="B1010" s="78"/>
      <c r="C1010" s="78"/>
      <c r="D1010" s="78"/>
      <c r="E1010" s="79"/>
      <c r="F1010" s="78"/>
      <c r="G1010" s="78"/>
      <c r="H1010" s="78"/>
      <c r="I1010" s="78"/>
      <c r="J1010" s="78"/>
      <c r="K1010" s="110"/>
      <c r="L1010" s="110"/>
      <c r="M1010" s="78"/>
      <c r="N1010" s="78"/>
      <c r="O1010" s="117"/>
      <c r="P1010" s="114" t="e">
        <f t="shared" si="14"/>
        <v>#N/A</v>
      </c>
      <c r="Q1010" s="77" t="e">
        <f>VLOOKUP($B1010,'Component List'!$A$2:$B$30,2,FALSE)</f>
        <v>#N/A</v>
      </c>
      <c r="R1010" s="77" t="e">
        <f>VLOOKUP($C1010,'Component List'!C$2:D$28,2,FALSE)</f>
        <v>#N/A</v>
      </c>
      <c r="S1010" s="77" t="e">
        <f>VLOOKUP($D1010,'Component List'!E$2:F$30,2,FALSE)</f>
        <v>#N/A</v>
      </c>
      <c r="T1010" s="77" t="e">
        <f>VLOOKUP($E1010,'Component List'!G$2:H$30,2,FALSE)</f>
        <v>#N/A</v>
      </c>
      <c r="U1010" s="77" t="e">
        <f>VLOOKUP($F1010,'Component List'!I$2:J$30,2,FALSE)</f>
        <v>#N/A</v>
      </c>
      <c r="V1010" s="77" t="e">
        <f>VLOOKUP(G1010,'Component List'!K$2:L$30,2,FALSE)</f>
        <v>#N/A</v>
      </c>
      <c r="W1010" s="77" t="e">
        <f>VLOOKUP(H1010,'Component List'!M$2:N$31,2,FALSE)</f>
        <v>#N/A</v>
      </c>
      <c r="X1010" s="77" t="e">
        <f>VLOOKUP(I1010,'Component List'!O$2:P$30,2,FALSE)</f>
        <v>#N/A</v>
      </c>
      <c r="Y1010" s="77" t="e">
        <f>VLOOKUP(J1010,'Component List'!Q$2:R$30,2,FALSE)</f>
        <v>#N/A</v>
      </c>
      <c r="Z1010" s="77" t="e">
        <f>VLOOKUP(K1010,'Component List'!S$2:T$30,2,FALSE)</f>
        <v>#N/A</v>
      </c>
      <c r="AA1010" s="77" t="e">
        <f>VLOOKUP(L1010,'Component List'!U$2:V$30,2,FALSE)</f>
        <v>#N/A</v>
      </c>
      <c r="AB1010" s="77" t="e">
        <f>VLOOKUP(M1010,'Component List'!AA$2:AB$30,2,FALSE)</f>
        <v>#N/A</v>
      </c>
      <c r="AC1010" s="77" t="e">
        <f>VLOOKUP(N1010,'Component List'!Y$2:Z$30,2,FALSE)</f>
        <v>#N/A</v>
      </c>
      <c r="AD1010" s="77" t="e">
        <f>VLOOKUP(O1010,'Component List'!W$3:X$30,2,FALSE)</f>
        <v>#N/A</v>
      </c>
    </row>
    <row r="1011" spans="1:30" ht="30" customHeight="1" x14ac:dyDescent="0.3">
      <c r="A1011" s="76"/>
      <c r="B1011" s="78"/>
      <c r="C1011" s="78"/>
      <c r="D1011" s="78"/>
      <c r="E1011" s="79"/>
      <c r="F1011" s="78"/>
      <c r="G1011" s="78"/>
      <c r="H1011" s="78"/>
      <c r="I1011" s="78"/>
      <c r="J1011" s="78"/>
      <c r="K1011" s="110"/>
      <c r="L1011" s="110"/>
      <c r="M1011" s="78"/>
      <c r="N1011" s="78"/>
      <c r="O1011" s="117"/>
      <c r="P1011" s="114" t="e">
        <f t="shared" si="14"/>
        <v>#N/A</v>
      </c>
      <c r="Q1011" s="77" t="e">
        <f>VLOOKUP($B1011,'Component List'!$A$2:$B$30,2,FALSE)</f>
        <v>#N/A</v>
      </c>
      <c r="R1011" s="77" t="e">
        <f>VLOOKUP($C1011,'Component List'!C$2:D$28,2,FALSE)</f>
        <v>#N/A</v>
      </c>
      <c r="S1011" s="77" t="e">
        <f>VLOOKUP($D1011,'Component List'!E$2:F$30,2,FALSE)</f>
        <v>#N/A</v>
      </c>
      <c r="T1011" s="77" t="e">
        <f>VLOOKUP($E1011,'Component List'!G$2:H$30,2,FALSE)</f>
        <v>#N/A</v>
      </c>
      <c r="U1011" s="77" t="e">
        <f>VLOOKUP($F1011,'Component List'!I$2:J$30,2,FALSE)</f>
        <v>#N/A</v>
      </c>
      <c r="V1011" s="77" t="e">
        <f>VLOOKUP(G1011,'Component List'!K$2:L$30,2,FALSE)</f>
        <v>#N/A</v>
      </c>
      <c r="W1011" s="77" t="e">
        <f>VLOOKUP(H1011,'Component List'!M$2:N$31,2,FALSE)</f>
        <v>#N/A</v>
      </c>
      <c r="X1011" s="77" t="e">
        <f>VLOOKUP(I1011,'Component List'!O$2:P$30,2,FALSE)</f>
        <v>#N/A</v>
      </c>
      <c r="Y1011" s="77" t="e">
        <f>VLOOKUP(J1011,'Component List'!Q$2:R$30,2,FALSE)</f>
        <v>#N/A</v>
      </c>
      <c r="Z1011" s="77" t="e">
        <f>VLOOKUP(K1011,'Component List'!S$2:T$30,2,FALSE)</f>
        <v>#N/A</v>
      </c>
      <c r="AA1011" s="77" t="e">
        <f>VLOOKUP(L1011,'Component List'!U$2:V$30,2,FALSE)</f>
        <v>#N/A</v>
      </c>
      <c r="AB1011" s="77" t="e">
        <f>VLOOKUP(M1011,'Component List'!AA$2:AB$30,2,FALSE)</f>
        <v>#N/A</v>
      </c>
      <c r="AC1011" s="77" t="e">
        <f>VLOOKUP(N1011,'Component List'!Y$2:Z$30,2,FALSE)</f>
        <v>#N/A</v>
      </c>
      <c r="AD1011" s="77" t="e">
        <f>VLOOKUP(O1011,'Component List'!W$3:X$30,2,FALSE)</f>
        <v>#N/A</v>
      </c>
    </row>
    <row r="1012" spans="1:30" ht="30" customHeight="1" x14ac:dyDescent="0.3">
      <c r="A1012" s="76"/>
      <c r="B1012" s="78"/>
      <c r="C1012" s="78"/>
      <c r="D1012" s="78"/>
      <c r="E1012" s="79"/>
      <c r="F1012" s="78"/>
      <c r="G1012" s="78"/>
      <c r="H1012" s="78"/>
      <c r="I1012" s="78"/>
      <c r="J1012" s="78"/>
      <c r="K1012" s="110"/>
      <c r="L1012" s="110"/>
      <c r="M1012" s="78"/>
      <c r="N1012" s="78"/>
      <c r="O1012" s="117"/>
      <c r="P1012" s="114" t="e">
        <f t="shared" si="14"/>
        <v>#N/A</v>
      </c>
      <c r="Q1012" s="77" t="e">
        <f>VLOOKUP($B1012,'Component List'!$A$2:$B$30,2,FALSE)</f>
        <v>#N/A</v>
      </c>
      <c r="R1012" s="77" t="e">
        <f>VLOOKUP($C1012,'Component List'!C$2:D$28,2,FALSE)</f>
        <v>#N/A</v>
      </c>
      <c r="S1012" s="77" t="e">
        <f>VLOOKUP($D1012,'Component List'!E$2:F$30,2,FALSE)</f>
        <v>#N/A</v>
      </c>
      <c r="T1012" s="77" t="e">
        <f>VLOOKUP($E1012,'Component List'!G$2:H$30,2,FALSE)</f>
        <v>#N/A</v>
      </c>
      <c r="U1012" s="77" t="e">
        <f>VLOOKUP($F1012,'Component List'!I$2:J$30,2,FALSE)</f>
        <v>#N/A</v>
      </c>
      <c r="V1012" s="77" t="e">
        <f>VLOOKUP(G1012,'Component List'!K$2:L$30,2,FALSE)</f>
        <v>#N/A</v>
      </c>
      <c r="W1012" s="77" t="e">
        <f>VLOOKUP(H1012,'Component List'!M$2:N$31,2,FALSE)</f>
        <v>#N/A</v>
      </c>
      <c r="X1012" s="77" t="e">
        <f>VLOOKUP(I1012,'Component List'!O$2:P$30,2,FALSE)</f>
        <v>#N/A</v>
      </c>
      <c r="Y1012" s="77" t="e">
        <f>VLOOKUP(J1012,'Component List'!Q$2:R$30,2,FALSE)</f>
        <v>#N/A</v>
      </c>
      <c r="Z1012" s="77" t="e">
        <f>VLOOKUP(K1012,'Component List'!S$2:T$30,2,FALSE)</f>
        <v>#N/A</v>
      </c>
      <c r="AA1012" s="77" t="e">
        <f>VLOOKUP(L1012,'Component List'!U$2:V$30,2,FALSE)</f>
        <v>#N/A</v>
      </c>
      <c r="AB1012" s="77" t="e">
        <f>VLOOKUP(M1012,'Component List'!AA$2:AB$30,2,FALSE)</f>
        <v>#N/A</v>
      </c>
      <c r="AC1012" s="77" t="e">
        <f>VLOOKUP(N1012,'Component List'!Y$2:Z$30,2,FALSE)</f>
        <v>#N/A</v>
      </c>
      <c r="AD1012" s="77" t="e">
        <f>VLOOKUP(O1012,'Component List'!W$3:X$30,2,FALSE)</f>
        <v>#N/A</v>
      </c>
    </row>
    <row r="1013" spans="1:30" ht="30" customHeight="1" x14ac:dyDescent="0.3">
      <c r="A1013" s="76"/>
      <c r="B1013" s="78"/>
      <c r="C1013" s="78"/>
      <c r="D1013" s="78"/>
      <c r="E1013" s="79"/>
      <c r="F1013" s="78"/>
      <c r="G1013" s="78"/>
      <c r="H1013" s="78"/>
      <c r="I1013" s="78"/>
      <c r="J1013" s="78"/>
      <c r="K1013" s="110"/>
      <c r="L1013" s="110"/>
      <c r="M1013" s="78"/>
      <c r="N1013" s="78"/>
      <c r="O1013" s="117"/>
      <c r="P1013" s="114" t="e">
        <f t="shared" si="14"/>
        <v>#N/A</v>
      </c>
      <c r="Q1013" s="77" t="e">
        <f>VLOOKUP($B1013,'Component List'!$A$2:$B$30,2,FALSE)</f>
        <v>#N/A</v>
      </c>
      <c r="R1013" s="77" t="e">
        <f>VLOOKUP($C1013,'Component List'!C$2:D$28,2,FALSE)</f>
        <v>#N/A</v>
      </c>
      <c r="S1013" s="77" t="e">
        <f>VLOOKUP($D1013,'Component List'!E$2:F$30,2,FALSE)</f>
        <v>#N/A</v>
      </c>
      <c r="T1013" s="77" t="e">
        <f>VLOOKUP($E1013,'Component List'!G$2:H$30,2,FALSE)</f>
        <v>#N/A</v>
      </c>
      <c r="U1013" s="77" t="e">
        <f>VLOOKUP($F1013,'Component List'!I$2:J$30,2,FALSE)</f>
        <v>#N/A</v>
      </c>
      <c r="V1013" s="77" t="e">
        <f>VLOOKUP(G1013,'Component List'!K$2:L$30,2,FALSE)</f>
        <v>#N/A</v>
      </c>
      <c r="W1013" s="77" t="e">
        <f>VLOOKUP(H1013,'Component List'!M$2:N$31,2,FALSE)</f>
        <v>#N/A</v>
      </c>
      <c r="X1013" s="77" t="e">
        <f>VLOOKUP(I1013,'Component List'!O$2:P$30,2,FALSE)</f>
        <v>#N/A</v>
      </c>
      <c r="Y1013" s="77" t="e">
        <f>VLOOKUP(J1013,'Component List'!Q$2:R$30,2,FALSE)</f>
        <v>#N/A</v>
      </c>
      <c r="Z1013" s="77" t="e">
        <f>VLOOKUP(K1013,'Component List'!S$2:T$30,2,FALSE)</f>
        <v>#N/A</v>
      </c>
      <c r="AA1013" s="77" t="e">
        <f>VLOOKUP(L1013,'Component List'!U$2:V$30,2,FALSE)</f>
        <v>#N/A</v>
      </c>
      <c r="AB1013" s="77" t="e">
        <f>VLOOKUP(M1013,'Component List'!AA$2:AB$30,2,FALSE)</f>
        <v>#N/A</v>
      </c>
      <c r="AC1013" s="77" t="e">
        <f>VLOOKUP(N1013,'Component List'!Y$2:Z$30,2,FALSE)</f>
        <v>#N/A</v>
      </c>
      <c r="AD1013" s="77" t="e">
        <f>VLOOKUP(O1013,'Component List'!W$3:X$30,2,FALSE)</f>
        <v>#N/A</v>
      </c>
    </row>
    <row r="1014" spans="1:30" ht="30" customHeight="1" x14ac:dyDescent="0.3">
      <c r="A1014" s="76"/>
      <c r="B1014" s="78"/>
      <c r="C1014" s="78"/>
      <c r="D1014" s="78"/>
      <c r="E1014" s="79"/>
      <c r="F1014" s="78"/>
      <c r="G1014" s="78"/>
      <c r="H1014" s="78"/>
      <c r="I1014" s="78"/>
      <c r="J1014" s="78"/>
      <c r="K1014" s="110"/>
      <c r="L1014" s="110"/>
      <c r="M1014" s="78"/>
      <c r="N1014" s="78"/>
      <c r="O1014" s="117"/>
      <c r="P1014" s="114" t="e">
        <f t="shared" si="14"/>
        <v>#N/A</v>
      </c>
      <c r="Q1014" s="77" t="e">
        <f>VLOOKUP($B1014,'Component List'!$A$2:$B$30,2,FALSE)</f>
        <v>#N/A</v>
      </c>
      <c r="R1014" s="77" t="e">
        <f>VLOOKUP($C1014,'Component List'!C$2:D$28,2,FALSE)</f>
        <v>#N/A</v>
      </c>
      <c r="S1014" s="77" t="e">
        <f>VLOOKUP($D1014,'Component List'!E$2:F$30,2,FALSE)</f>
        <v>#N/A</v>
      </c>
      <c r="T1014" s="77" t="e">
        <f>VLOOKUP($E1014,'Component List'!G$2:H$30,2,FALSE)</f>
        <v>#N/A</v>
      </c>
      <c r="U1014" s="77" t="e">
        <f>VLOOKUP($F1014,'Component List'!I$2:J$30,2,FALSE)</f>
        <v>#N/A</v>
      </c>
      <c r="V1014" s="77" t="e">
        <f>VLOOKUP(G1014,'Component List'!K$2:L$30,2,FALSE)</f>
        <v>#N/A</v>
      </c>
      <c r="W1014" s="77" t="e">
        <f>VLOOKUP(H1014,'Component List'!M$2:N$31,2,FALSE)</f>
        <v>#N/A</v>
      </c>
      <c r="X1014" s="77" t="e">
        <f>VLOOKUP(I1014,'Component List'!O$2:P$30,2,FALSE)</f>
        <v>#N/A</v>
      </c>
      <c r="Y1014" s="77" t="e">
        <f>VLOOKUP(J1014,'Component List'!Q$2:R$30,2,FALSE)</f>
        <v>#N/A</v>
      </c>
      <c r="Z1014" s="77" t="e">
        <f>VLOOKUP(K1014,'Component List'!S$2:T$30,2,FALSE)</f>
        <v>#N/A</v>
      </c>
      <c r="AA1014" s="77" t="e">
        <f>VLOOKUP(L1014,'Component List'!U$2:V$30,2,FALSE)</f>
        <v>#N/A</v>
      </c>
      <c r="AB1014" s="77" t="e">
        <f>VLOOKUP(M1014,'Component List'!AA$2:AB$30,2,FALSE)</f>
        <v>#N/A</v>
      </c>
      <c r="AC1014" s="77" t="e">
        <f>VLOOKUP(N1014,'Component List'!Y$2:Z$30,2,FALSE)</f>
        <v>#N/A</v>
      </c>
      <c r="AD1014" s="77" t="e">
        <f>VLOOKUP(O1014,'Component List'!W$3:X$30,2,FALSE)</f>
        <v>#N/A</v>
      </c>
    </row>
    <row r="1015" spans="1:30" ht="30" customHeight="1" x14ac:dyDescent="0.3">
      <c r="A1015" s="76"/>
      <c r="B1015" s="78"/>
      <c r="C1015" s="78"/>
      <c r="D1015" s="78"/>
      <c r="E1015" s="79"/>
      <c r="F1015" s="78"/>
      <c r="G1015" s="78"/>
      <c r="H1015" s="78"/>
      <c r="I1015" s="78"/>
      <c r="J1015" s="78"/>
      <c r="K1015" s="110"/>
      <c r="L1015" s="110"/>
      <c r="M1015" s="78"/>
      <c r="N1015" s="78"/>
      <c r="O1015" s="117"/>
      <c r="P1015" s="114" t="e">
        <f t="shared" si="14"/>
        <v>#N/A</v>
      </c>
      <c r="Q1015" s="77" t="e">
        <f>VLOOKUP($B1015,'Component List'!$A$2:$B$30,2,FALSE)</f>
        <v>#N/A</v>
      </c>
      <c r="R1015" s="77" t="e">
        <f>VLOOKUP($C1015,'Component List'!C$2:D$28,2,FALSE)</f>
        <v>#N/A</v>
      </c>
      <c r="S1015" s="77" t="e">
        <f>VLOOKUP($D1015,'Component List'!E$2:F$30,2,FALSE)</f>
        <v>#N/A</v>
      </c>
      <c r="T1015" s="77" t="e">
        <f>VLOOKUP($E1015,'Component List'!G$2:H$30,2,FALSE)</f>
        <v>#N/A</v>
      </c>
      <c r="U1015" s="77" t="e">
        <f>VLOOKUP($F1015,'Component List'!I$2:J$30,2,FALSE)</f>
        <v>#N/A</v>
      </c>
      <c r="V1015" s="77" t="e">
        <f>VLOOKUP(G1015,'Component List'!K$2:L$30,2,FALSE)</f>
        <v>#N/A</v>
      </c>
      <c r="W1015" s="77" t="e">
        <f>VLOOKUP(H1015,'Component List'!M$2:N$31,2,FALSE)</f>
        <v>#N/A</v>
      </c>
      <c r="X1015" s="77" t="e">
        <f>VLOOKUP(I1015,'Component List'!O$2:P$30,2,FALSE)</f>
        <v>#N/A</v>
      </c>
      <c r="Y1015" s="77" t="e">
        <f>VLOOKUP(J1015,'Component List'!Q$2:R$30,2,FALSE)</f>
        <v>#N/A</v>
      </c>
      <c r="Z1015" s="77" t="e">
        <f>VLOOKUP(K1015,'Component List'!S$2:T$30,2,FALSE)</f>
        <v>#N/A</v>
      </c>
      <c r="AA1015" s="77" t="e">
        <f>VLOOKUP(L1015,'Component List'!U$2:V$30,2,FALSE)</f>
        <v>#N/A</v>
      </c>
      <c r="AB1015" s="77" t="e">
        <f>VLOOKUP(M1015,'Component List'!AA$2:AB$30,2,FALSE)</f>
        <v>#N/A</v>
      </c>
      <c r="AC1015" s="77" t="e">
        <f>VLOOKUP(N1015,'Component List'!Y$2:Z$30,2,FALSE)</f>
        <v>#N/A</v>
      </c>
      <c r="AD1015" s="77" t="e">
        <f>VLOOKUP(O1015,'Component List'!W$3:X$30,2,FALSE)</f>
        <v>#N/A</v>
      </c>
    </row>
    <row r="1016" spans="1:30" ht="30" customHeight="1" x14ac:dyDescent="0.3">
      <c r="A1016" s="76"/>
      <c r="B1016" s="78"/>
      <c r="C1016" s="78"/>
      <c r="D1016" s="78"/>
      <c r="E1016" s="79"/>
      <c r="F1016" s="78"/>
      <c r="G1016" s="78"/>
      <c r="H1016" s="78"/>
      <c r="I1016" s="78"/>
      <c r="J1016" s="78"/>
      <c r="K1016" s="110"/>
      <c r="L1016" s="110"/>
      <c r="M1016" s="78"/>
      <c r="N1016" s="78"/>
      <c r="O1016" s="117"/>
      <c r="P1016" s="114" t="e">
        <f t="shared" si="14"/>
        <v>#N/A</v>
      </c>
      <c r="Q1016" s="77" t="e">
        <f>VLOOKUP($B1016,'Component List'!$A$2:$B$30,2,FALSE)</f>
        <v>#N/A</v>
      </c>
      <c r="R1016" s="77" t="e">
        <f>VLOOKUP($C1016,'Component List'!C$2:D$28,2,FALSE)</f>
        <v>#N/A</v>
      </c>
      <c r="S1016" s="77" t="e">
        <f>VLOOKUP($D1016,'Component List'!E$2:F$30,2,FALSE)</f>
        <v>#N/A</v>
      </c>
      <c r="T1016" s="77" t="e">
        <f>VLOOKUP($E1016,'Component List'!G$2:H$30,2,FALSE)</f>
        <v>#N/A</v>
      </c>
      <c r="U1016" s="77" t="e">
        <f>VLOOKUP($F1016,'Component List'!I$2:J$30,2,FALSE)</f>
        <v>#N/A</v>
      </c>
      <c r="V1016" s="77" t="e">
        <f>VLOOKUP(G1016,'Component List'!K$2:L$30,2,FALSE)</f>
        <v>#N/A</v>
      </c>
      <c r="W1016" s="77" t="e">
        <f>VLOOKUP(H1016,'Component List'!M$2:N$31,2,FALSE)</f>
        <v>#N/A</v>
      </c>
      <c r="X1016" s="77" t="e">
        <f>VLOOKUP(I1016,'Component List'!O$2:P$30,2,FALSE)</f>
        <v>#N/A</v>
      </c>
      <c r="Y1016" s="77" t="e">
        <f>VLOOKUP(J1016,'Component List'!Q$2:R$30,2,FALSE)</f>
        <v>#N/A</v>
      </c>
      <c r="Z1016" s="77" t="e">
        <f>VLOOKUP(K1016,'Component List'!S$2:T$30,2,FALSE)</f>
        <v>#N/A</v>
      </c>
      <c r="AA1016" s="77" t="e">
        <f>VLOOKUP(L1016,'Component List'!U$2:V$30,2,FALSE)</f>
        <v>#N/A</v>
      </c>
      <c r="AB1016" s="77" t="e">
        <f>VLOOKUP(M1016,'Component List'!AA$2:AB$30,2,FALSE)</f>
        <v>#N/A</v>
      </c>
      <c r="AC1016" s="77" t="e">
        <f>VLOOKUP(N1016,'Component List'!Y$2:Z$30,2,FALSE)</f>
        <v>#N/A</v>
      </c>
      <c r="AD1016" s="77" t="e">
        <f>VLOOKUP(O1016,'Component List'!W$3:X$30,2,FALSE)</f>
        <v>#N/A</v>
      </c>
    </row>
    <row r="1017" spans="1:30" ht="40.200000000000003" customHeight="1" x14ac:dyDescent="0.3">
      <c r="P1017" s="114" t="e">
        <f t="shared" si="14"/>
        <v>#N/A</v>
      </c>
      <c r="Q1017" s="77" t="e">
        <f>VLOOKUP($B1017,'Component List'!$A$2:$B$30,2,FALSE)</f>
        <v>#N/A</v>
      </c>
      <c r="R1017" s="77" t="e">
        <f>VLOOKUP($C1017,'Component List'!C$2:D$28,2,FALSE)</f>
        <v>#N/A</v>
      </c>
      <c r="S1017" s="77" t="e">
        <f>VLOOKUP($D1017,'Component List'!E$2:F$30,2,FALSE)</f>
        <v>#N/A</v>
      </c>
      <c r="T1017" s="77" t="e">
        <f>VLOOKUP($E1017,'Component List'!G$2:H$30,2,FALSE)</f>
        <v>#N/A</v>
      </c>
      <c r="U1017" s="77" t="e">
        <f>VLOOKUP($F1017,'Component List'!I$2:J$30,2,FALSE)</f>
        <v>#N/A</v>
      </c>
      <c r="V1017" s="77" t="e">
        <f>VLOOKUP(G1017,'Component List'!K$2:L$30,2,FALSE)</f>
        <v>#N/A</v>
      </c>
      <c r="W1017" s="77" t="e">
        <f>VLOOKUP(H1017,'Component List'!M$2:N$31,2,FALSE)</f>
        <v>#N/A</v>
      </c>
      <c r="X1017" s="77" t="e">
        <f>VLOOKUP(I1017,'Component List'!O$2:P$30,2,FALSE)</f>
        <v>#N/A</v>
      </c>
      <c r="Y1017" s="77" t="e">
        <f>VLOOKUP(J1017,'Component List'!Q$2:R$30,2,FALSE)</f>
        <v>#N/A</v>
      </c>
      <c r="Z1017" s="77" t="e">
        <f>VLOOKUP(K1017,'Component List'!S$2:T$30,2,FALSE)</f>
        <v>#N/A</v>
      </c>
      <c r="AA1017" s="77" t="e">
        <f>VLOOKUP(L1017,'Component List'!U$2:V$30,2,FALSE)</f>
        <v>#N/A</v>
      </c>
      <c r="AB1017" s="77" t="e">
        <f>VLOOKUP(M1017,'Component List'!AA$2:AB$30,2,FALSE)</f>
        <v>#N/A</v>
      </c>
      <c r="AC1017" s="77" t="e">
        <f>VLOOKUP(N1017,'Component List'!Y$2:Z$30,2,FALSE)</f>
        <v>#N/A</v>
      </c>
      <c r="AD1017" s="77" t="e">
        <f>VLOOKUP(O1017,'Component List'!W$3:X$30,2,FALSE)</f>
        <v>#N/A</v>
      </c>
    </row>
    <row r="1018" spans="1:30" ht="40.200000000000003" customHeight="1" x14ac:dyDescent="0.3">
      <c r="P1018" s="114" t="e">
        <f t="shared" si="14"/>
        <v>#N/A</v>
      </c>
      <c r="Q1018" s="77" t="e">
        <f>VLOOKUP($B1018,'Component List'!$A$2:$B$30,2,FALSE)</f>
        <v>#N/A</v>
      </c>
      <c r="R1018" s="77" t="e">
        <f>VLOOKUP($C1018,'Component List'!C$2:D$28,2,FALSE)</f>
        <v>#N/A</v>
      </c>
      <c r="S1018" s="77" t="e">
        <f>VLOOKUP($D1018,'Component List'!E$2:F$30,2,FALSE)</f>
        <v>#N/A</v>
      </c>
      <c r="T1018" s="77" t="e">
        <f>VLOOKUP($E1018,'Component List'!G$2:H$30,2,FALSE)</f>
        <v>#N/A</v>
      </c>
      <c r="U1018" s="77" t="e">
        <f>VLOOKUP($F1018,'Component List'!I$2:J$30,2,FALSE)</f>
        <v>#N/A</v>
      </c>
      <c r="V1018" s="77" t="e">
        <f>VLOOKUP(G1018,'Component List'!K$2:L$30,2,FALSE)</f>
        <v>#N/A</v>
      </c>
      <c r="W1018" s="77" t="e">
        <f>VLOOKUP(H1018,'Component List'!M$2:N$31,2,FALSE)</f>
        <v>#N/A</v>
      </c>
      <c r="X1018" s="77" t="e">
        <f>VLOOKUP(I1018,'Component List'!O$2:P$30,2,FALSE)</f>
        <v>#N/A</v>
      </c>
      <c r="Y1018" s="77" t="e">
        <f>VLOOKUP(J1018,'Component List'!Q$2:R$30,2,FALSE)</f>
        <v>#N/A</v>
      </c>
      <c r="Z1018" s="77" t="e">
        <f>VLOOKUP(K1018,'Component List'!S$2:T$30,2,FALSE)</f>
        <v>#N/A</v>
      </c>
      <c r="AA1018" s="77" t="e">
        <f>VLOOKUP(L1018,'Component List'!U$2:V$30,2,FALSE)</f>
        <v>#N/A</v>
      </c>
      <c r="AB1018" s="77" t="e">
        <f>VLOOKUP(M1018,'Component List'!AA$2:AB$30,2,FALSE)</f>
        <v>#N/A</v>
      </c>
      <c r="AC1018" s="77" t="e">
        <f>VLOOKUP(N1018,'Component List'!Y$2:Z$30,2,FALSE)</f>
        <v>#N/A</v>
      </c>
      <c r="AD1018" s="77" t="e">
        <f>VLOOKUP(O1018,'Component List'!W$3:X$30,2,FALSE)</f>
        <v>#N/A</v>
      </c>
    </row>
    <row r="1019" spans="1:30" ht="40.200000000000003" customHeight="1" x14ac:dyDescent="0.3">
      <c r="P1019" s="114" t="e">
        <f t="shared" si="14"/>
        <v>#N/A</v>
      </c>
      <c r="Q1019" s="77" t="e">
        <f>VLOOKUP($B1019,'Component List'!$A$2:$B$30,2,FALSE)</f>
        <v>#N/A</v>
      </c>
      <c r="R1019" s="77" t="e">
        <f>VLOOKUP($C1019,'Component List'!C$2:D$28,2,FALSE)</f>
        <v>#N/A</v>
      </c>
      <c r="S1019" s="77" t="e">
        <f>VLOOKUP($D1019,'Component List'!E$2:F$30,2,FALSE)</f>
        <v>#N/A</v>
      </c>
      <c r="T1019" s="77" t="e">
        <f>VLOOKUP($E1019,'Component List'!G$2:H$30,2,FALSE)</f>
        <v>#N/A</v>
      </c>
      <c r="U1019" s="77" t="e">
        <f>VLOOKUP($F1019,'Component List'!I$2:J$30,2,FALSE)</f>
        <v>#N/A</v>
      </c>
      <c r="V1019" s="77" t="e">
        <f>VLOOKUP(G1019,'Component List'!K$2:L$30,2,FALSE)</f>
        <v>#N/A</v>
      </c>
      <c r="W1019" s="77" t="e">
        <f>VLOOKUP(H1019,'Component List'!M$2:N$31,2,FALSE)</f>
        <v>#N/A</v>
      </c>
      <c r="X1019" s="77" t="e">
        <f>VLOOKUP(I1019,'Component List'!O$2:P$30,2,FALSE)</f>
        <v>#N/A</v>
      </c>
      <c r="Y1019" s="77" t="e">
        <f>VLOOKUP(J1019,'Component List'!Q$2:R$30,2,FALSE)</f>
        <v>#N/A</v>
      </c>
      <c r="Z1019" s="77" t="e">
        <f>VLOOKUP(K1019,'Component List'!S$2:T$30,2,FALSE)</f>
        <v>#N/A</v>
      </c>
      <c r="AA1019" s="77" t="e">
        <f>VLOOKUP(L1019,'Component List'!U$2:V$30,2,FALSE)</f>
        <v>#N/A</v>
      </c>
      <c r="AB1019" s="77" t="e">
        <f>VLOOKUP(M1019,'Component List'!AA$2:AB$30,2,FALSE)</f>
        <v>#N/A</v>
      </c>
      <c r="AC1019" s="77" t="e">
        <f>VLOOKUP(N1019,'Component List'!Y$2:Z$30,2,FALSE)</f>
        <v>#N/A</v>
      </c>
      <c r="AD1019" s="77" t="e">
        <f>VLOOKUP(O1019,'Component List'!W$3:X$30,2,FALSE)</f>
        <v>#N/A</v>
      </c>
    </row>
    <row r="1020" spans="1:30" ht="40.200000000000003" customHeight="1" x14ac:dyDescent="0.3">
      <c r="P1020" s="114" t="e">
        <f t="shared" si="14"/>
        <v>#N/A</v>
      </c>
      <c r="Q1020" s="77" t="e">
        <f>VLOOKUP($B1020,'Component List'!$A$2:$B$30,2,FALSE)</f>
        <v>#N/A</v>
      </c>
      <c r="R1020" s="77" t="e">
        <f>VLOOKUP($C1020,'Component List'!C$2:D$28,2,FALSE)</f>
        <v>#N/A</v>
      </c>
      <c r="S1020" s="77" t="e">
        <f>VLOOKUP($D1020,'Component List'!E$2:F$30,2,FALSE)</f>
        <v>#N/A</v>
      </c>
      <c r="T1020" s="77" t="e">
        <f>VLOOKUP($E1020,'Component List'!G$2:H$30,2,FALSE)</f>
        <v>#N/A</v>
      </c>
      <c r="U1020" s="77" t="e">
        <f>VLOOKUP($F1020,'Component List'!I$2:J$30,2,FALSE)</f>
        <v>#N/A</v>
      </c>
      <c r="V1020" s="77" t="e">
        <f>VLOOKUP(G1020,'Component List'!K$2:L$30,2,FALSE)</f>
        <v>#N/A</v>
      </c>
      <c r="W1020" s="77" t="e">
        <f>VLOOKUP(H1020,'Component List'!M$2:N$31,2,FALSE)</f>
        <v>#N/A</v>
      </c>
      <c r="X1020" s="77" t="e">
        <f>VLOOKUP(I1020,'Component List'!O$2:P$30,2,FALSE)</f>
        <v>#N/A</v>
      </c>
      <c r="Y1020" s="77" t="e">
        <f>VLOOKUP(J1020,'Component List'!Q$2:R$30,2,FALSE)</f>
        <v>#N/A</v>
      </c>
      <c r="Z1020" s="77" t="e">
        <f>VLOOKUP(K1020,'Component List'!S$2:T$30,2,FALSE)</f>
        <v>#N/A</v>
      </c>
      <c r="AA1020" s="77" t="e">
        <f>VLOOKUP(L1020,'Component List'!U$2:V$30,2,FALSE)</f>
        <v>#N/A</v>
      </c>
      <c r="AB1020" s="77" t="e">
        <f>VLOOKUP(M1020,'Component List'!AA$2:AB$30,2,FALSE)</f>
        <v>#N/A</v>
      </c>
      <c r="AC1020" s="77" t="e">
        <f>VLOOKUP(N1020,'Component List'!Y$2:Z$30,2,FALSE)</f>
        <v>#N/A</v>
      </c>
      <c r="AD1020" s="77" t="e">
        <f>VLOOKUP(O1020,'Component List'!W$3:X$30,2,FALSE)</f>
        <v>#N/A</v>
      </c>
    </row>
    <row r="1021" spans="1:30" ht="40.200000000000003" customHeight="1" x14ac:dyDescent="0.3">
      <c r="P1021" s="114" t="e">
        <f t="shared" si="14"/>
        <v>#N/A</v>
      </c>
      <c r="Q1021" s="77" t="e">
        <f>VLOOKUP($B1021,'Component List'!$A$2:$B$30,2,FALSE)</f>
        <v>#N/A</v>
      </c>
      <c r="R1021" s="77" t="e">
        <f>VLOOKUP($C1021,'Component List'!C$2:D$28,2,FALSE)</f>
        <v>#N/A</v>
      </c>
      <c r="S1021" s="77" t="e">
        <f>VLOOKUP($D1021,'Component List'!E$2:F$30,2,FALSE)</f>
        <v>#N/A</v>
      </c>
      <c r="T1021" s="77" t="e">
        <f>VLOOKUP($E1021,'Component List'!G$2:H$30,2,FALSE)</f>
        <v>#N/A</v>
      </c>
      <c r="U1021" s="77" t="e">
        <f>VLOOKUP($F1021,'Component List'!I$2:J$30,2,FALSE)</f>
        <v>#N/A</v>
      </c>
      <c r="V1021" s="77" t="e">
        <f>VLOOKUP(G1021,'Component List'!K$2:L$30,2,FALSE)</f>
        <v>#N/A</v>
      </c>
      <c r="W1021" s="77" t="e">
        <f>VLOOKUP(H1021,'Component List'!M$2:N$31,2,FALSE)</f>
        <v>#N/A</v>
      </c>
      <c r="X1021" s="77" t="e">
        <f>VLOOKUP(I1021,'Component List'!O$2:P$30,2,FALSE)</f>
        <v>#N/A</v>
      </c>
      <c r="Y1021" s="77" t="e">
        <f>VLOOKUP(J1021,'Component List'!Q$2:R$30,2,FALSE)</f>
        <v>#N/A</v>
      </c>
      <c r="Z1021" s="77" t="e">
        <f>VLOOKUP(K1021,'Component List'!S$2:T$30,2,FALSE)</f>
        <v>#N/A</v>
      </c>
      <c r="AA1021" s="77" t="e">
        <f>VLOOKUP(L1021,'Component List'!U$2:V$30,2,FALSE)</f>
        <v>#N/A</v>
      </c>
      <c r="AB1021" s="77" t="e">
        <f>VLOOKUP(M1021,'Component List'!AA$2:AB$30,2,FALSE)</f>
        <v>#N/A</v>
      </c>
      <c r="AC1021" s="77" t="e">
        <f>VLOOKUP(N1021,'Component List'!Y$2:Z$30,2,FALSE)</f>
        <v>#N/A</v>
      </c>
      <c r="AD1021" s="77" t="e">
        <f>VLOOKUP(O1021,'Component List'!W$3:X$30,2,FALSE)</f>
        <v>#N/A</v>
      </c>
    </row>
    <row r="1022" spans="1:30" ht="40.200000000000003" customHeight="1" x14ac:dyDescent="0.3">
      <c r="P1022" s="114" t="e">
        <f t="shared" si="14"/>
        <v>#N/A</v>
      </c>
      <c r="Q1022" s="77" t="e">
        <f>VLOOKUP($B1022,'Component List'!$A$2:$B$30,2,FALSE)</f>
        <v>#N/A</v>
      </c>
      <c r="R1022" s="77" t="e">
        <f>VLOOKUP($C1022,'Component List'!C$2:D$28,2,FALSE)</f>
        <v>#N/A</v>
      </c>
      <c r="S1022" s="77" t="e">
        <f>VLOOKUP($D1022,'Component List'!E$2:F$30,2,FALSE)</f>
        <v>#N/A</v>
      </c>
      <c r="T1022" s="77" t="e">
        <f>VLOOKUP($E1022,'Component List'!G$2:H$30,2,FALSE)</f>
        <v>#N/A</v>
      </c>
      <c r="U1022" s="77" t="e">
        <f>VLOOKUP($F1022,'Component List'!I$2:J$30,2,FALSE)</f>
        <v>#N/A</v>
      </c>
      <c r="V1022" s="77" t="e">
        <f>VLOOKUP(G1022,'Component List'!K$2:L$30,2,FALSE)</f>
        <v>#N/A</v>
      </c>
      <c r="W1022" s="77" t="e">
        <f>VLOOKUP(H1022,'Component List'!M$2:N$31,2,FALSE)</f>
        <v>#N/A</v>
      </c>
      <c r="X1022" s="77" t="e">
        <f>VLOOKUP(I1022,'Component List'!O$2:P$30,2,FALSE)</f>
        <v>#N/A</v>
      </c>
      <c r="Y1022" s="77" t="e">
        <f>VLOOKUP(J1022,'Component List'!Q$2:R$30,2,FALSE)</f>
        <v>#N/A</v>
      </c>
      <c r="Z1022" s="77" t="e">
        <f>VLOOKUP(K1022,'Component List'!S$2:T$30,2,FALSE)</f>
        <v>#N/A</v>
      </c>
      <c r="AA1022" s="77" t="e">
        <f>VLOOKUP(L1022,'Component List'!U$2:V$30,2,FALSE)</f>
        <v>#N/A</v>
      </c>
      <c r="AB1022" s="77" t="e">
        <f>VLOOKUP(M1022,'Component List'!AA$2:AB$30,2,FALSE)</f>
        <v>#N/A</v>
      </c>
      <c r="AC1022" s="77" t="e">
        <f>VLOOKUP(N1022,'Component List'!Y$2:Z$30,2,FALSE)</f>
        <v>#N/A</v>
      </c>
      <c r="AD1022" s="77" t="e">
        <f>VLOOKUP(O1022,'Component List'!W$3:X$30,2,FALSE)</f>
        <v>#N/A</v>
      </c>
    </row>
    <row r="1023" spans="1:30" ht="40.200000000000003" customHeight="1" x14ac:dyDescent="0.3">
      <c r="P1023" s="114" t="e">
        <f t="shared" si="14"/>
        <v>#N/A</v>
      </c>
      <c r="Q1023" s="77" t="e">
        <f>VLOOKUP($B1023,'Component List'!$A$2:$B$30,2,FALSE)</f>
        <v>#N/A</v>
      </c>
      <c r="R1023" s="77" t="e">
        <f>VLOOKUP($C1023,'Component List'!C$2:D$28,2,FALSE)</f>
        <v>#N/A</v>
      </c>
      <c r="S1023" s="77" t="e">
        <f>VLOOKUP($D1023,'Component List'!E$2:F$30,2,FALSE)</f>
        <v>#N/A</v>
      </c>
      <c r="T1023" s="77" t="e">
        <f>VLOOKUP($E1023,'Component List'!G$2:H$30,2,FALSE)</f>
        <v>#N/A</v>
      </c>
      <c r="U1023" s="77" t="e">
        <f>VLOOKUP($F1023,'Component List'!I$2:J$30,2,FALSE)</f>
        <v>#N/A</v>
      </c>
      <c r="V1023" s="77" t="e">
        <f>VLOOKUP(G1023,'Component List'!K$2:L$30,2,FALSE)</f>
        <v>#N/A</v>
      </c>
      <c r="W1023" s="77" t="e">
        <f>VLOOKUP(H1023,'Component List'!M$2:N$31,2,FALSE)</f>
        <v>#N/A</v>
      </c>
      <c r="X1023" s="77" t="e">
        <f>VLOOKUP(I1023,'Component List'!O$2:P$30,2,FALSE)</f>
        <v>#N/A</v>
      </c>
      <c r="Y1023" s="77" t="e">
        <f>VLOOKUP(J1023,'Component List'!Q$2:R$30,2,FALSE)</f>
        <v>#N/A</v>
      </c>
      <c r="Z1023" s="77" t="e">
        <f>VLOOKUP(K1023,'Component List'!S$2:T$30,2,FALSE)</f>
        <v>#N/A</v>
      </c>
      <c r="AA1023" s="77" t="e">
        <f>VLOOKUP(L1023,'Component List'!U$2:V$30,2,FALSE)</f>
        <v>#N/A</v>
      </c>
      <c r="AB1023" s="77" t="e">
        <f>VLOOKUP(M1023,'Component List'!AA$2:AB$30,2,FALSE)</f>
        <v>#N/A</v>
      </c>
      <c r="AC1023" s="77" t="e">
        <f>VLOOKUP(N1023,'Component List'!Y$2:Z$30,2,FALSE)</f>
        <v>#N/A</v>
      </c>
      <c r="AD1023" s="77" t="e">
        <f>VLOOKUP(O1023,'Component List'!W$3:X$30,2,FALSE)</f>
        <v>#N/A</v>
      </c>
    </row>
    <row r="1024" spans="1:30" ht="40.200000000000003" customHeight="1" x14ac:dyDescent="0.3">
      <c r="P1024" s="114" t="e">
        <f t="shared" si="14"/>
        <v>#N/A</v>
      </c>
      <c r="Q1024" s="77" t="e">
        <f>VLOOKUP($B1024,'Component List'!$A$2:$B$30,2,FALSE)</f>
        <v>#N/A</v>
      </c>
      <c r="R1024" s="77" t="e">
        <f>VLOOKUP($C1024,'Component List'!C$2:D$28,2,FALSE)</f>
        <v>#N/A</v>
      </c>
      <c r="S1024" s="77" t="e">
        <f>VLOOKUP($D1024,'Component List'!E$2:F$30,2,FALSE)</f>
        <v>#N/A</v>
      </c>
      <c r="T1024" s="77" t="e">
        <f>VLOOKUP($E1024,'Component List'!G$2:H$30,2,FALSE)</f>
        <v>#N/A</v>
      </c>
      <c r="U1024" s="77" t="e">
        <f>VLOOKUP($F1024,'Component List'!I$2:J$30,2,FALSE)</f>
        <v>#N/A</v>
      </c>
      <c r="V1024" s="77" t="e">
        <f>VLOOKUP(G1024,'Component List'!K$2:L$30,2,FALSE)</f>
        <v>#N/A</v>
      </c>
      <c r="W1024" s="77" t="e">
        <f>VLOOKUP(H1024,'Component List'!M$2:N$31,2,FALSE)</f>
        <v>#N/A</v>
      </c>
      <c r="X1024" s="77" t="e">
        <f>VLOOKUP(I1024,'Component List'!O$2:P$30,2,FALSE)</f>
        <v>#N/A</v>
      </c>
      <c r="Y1024" s="77" t="e">
        <f>VLOOKUP(J1024,'Component List'!Q$2:R$30,2,FALSE)</f>
        <v>#N/A</v>
      </c>
      <c r="Z1024" s="77" t="e">
        <f>VLOOKUP(K1024,'Component List'!S$2:T$30,2,FALSE)</f>
        <v>#N/A</v>
      </c>
      <c r="AA1024" s="77" t="e">
        <f>VLOOKUP(L1024,'Component List'!U$2:V$30,2,FALSE)</f>
        <v>#N/A</v>
      </c>
      <c r="AB1024" s="77" t="e">
        <f>VLOOKUP(M1024,'Component List'!AA$2:AB$30,2,FALSE)</f>
        <v>#N/A</v>
      </c>
      <c r="AC1024" s="77" t="e">
        <f>VLOOKUP(N1024,'Component List'!Y$2:Z$30,2,FALSE)</f>
        <v>#N/A</v>
      </c>
      <c r="AD1024" s="77" t="e">
        <f>VLOOKUP(O1024,'Component List'!W$3:X$30,2,FALSE)</f>
        <v>#N/A</v>
      </c>
    </row>
    <row r="1025" spans="16:30" ht="40.200000000000003" customHeight="1" x14ac:dyDescent="0.3">
      <c r="P1025" s="114" t="e">
        <f t="shared" si="14"/>
        <v>#N/A</v>
      </c>
      <c r="Q1025" s="77" t="e">
        <f>VLOOKUP($B1025,'Component List'!$A$2:$B$30,2,FALSE)</f>
        <v>#N/A</v>
      </c>
      <c r="R1025" s="77" t="e">
        <f>VLOOKUP($C1025,'Component List'!C$2:D$28,2,FALSE)</f>
        <v>#N/A</v>
      </c>
      <c r="S1025" s="77" t="e">
        <f>VLOOKUP($D1025,'Component List'!E$2:F$30,2,FALSE)</f>
        <v>#N/A</v>
      </c>
      <c r="T1025" s="77" t="e">
        <f>VLOOKUP($E1025,'Component List'!G$2:H$30,2,FALSE)</f>
        <v>#N/A</v>
      </c>
      <c r="U1025" s="77" t="e">
        <f>VLOOKUP($F1025,'Component List'!I$2:J$30,2,FALSE)</f>
        <v>#N/A</v>
      </c>
      <c r="V1025" s="77" t="e">
        <f>VLOOKUP(G1025,'Component List'!K$2:L$30,2,FALSE)</f>
        <v>#N/A</v>
      </c>
      <c r="W1025" s="77" t="e">
        <f>VLOOKUP(H1025,'Component List'!M$2:N$31,2,FALSE)</f>
        <v>#N/A</v>
      </c>
      <c r="X1025" s="77" t="e">
        <f>VLOOKUP(I1025,'Component List'!O$2:P$30,2,FALSE)</f>
        <v>#N/A</v>
      </c>
      <c r="Y1025" s="77" t="e">
        <f>VLOOKUP(J1025,'Component List'!Q$2:R$30,2,FALSE)</f>
        <v>#N/A</v>
      </c>
      <c r="Z1025" s="77" t="e">
        <f>VLOOKUP(K1025,'Component List'!S$2:T$30,2,FALSE)</f>
        <v>#N/A</v>
      </c>
      <c r="AA1025" s="77" t="e">
        <f>VLOOKUP(L1025,'Component List'!U$2:V$30,2,FALSE)</f>
        <v>#N/A</v>
      </c>
      <c r="AB1025" s="77" t="e">
        <f>VLOOKUP(M1025,'Component List'!AA$2:AB$30,2,FALSE)</f>
        <v>#N/A</v>
      </c>
      <c r="AC1025" s="77" t="e">
        <f>VLOOKUP(N1025,'Component List'!Y$2:Z$30,2,FALSE)</f>
        <v>#N/A</v>
      </c>
      <c r="AD1025" s="77" t="e">
        <f>VLOOKUP(O1025,'Component List'!W$3:X$30,2,FALSE)</f>
        <v>#N/A</v>
      </c>
    </row>
    <row r="1026" spans="16:30" ht="40.200000000000003" customHeight="1" x14ac:dyDescent="0.3">
      <c r="P1026" s="114" t="e">
        <f t="shared" si="14"/>
        <v>#N/A</v>
      </c>
      <c r="Q1026" s="77" t="e">
        <f>VLOOKUP($B1026,'Component List'!$A$2:$B$30,2,FALSE)</f>
        <v>#N/A</v>
      </c>
      <c r="R1026" s="77" t="e">
        <f>VLOOKUP($C1026,'Component List'!C$2:D$28,2,FALSE)</f>
        <v>#N/A</v>
      </c>
      <c r="S1026" s="77" t="e">
        <f>VLOOKUP($D1026,'Component List'!E$2:F$30,2,FALSE)</f>
        <v>#N/A</v>
      </c>
      <c r="T1026" s="77" t="e">
        <f>VLOOKUP($E1026,'Component List'!G$2:H$30,2,FALSE)</f>
        <v>#N/A</v>
      </c>
      <c r="U1026" s="77" t="e">
        <f>VLOOKUP($F1026,'Component List'!I$2:J$30,2,FALSE)</f>
        <v>#N/A</v>
      </c>
      <c r="V1026" s="77" t="e">
        <f>VLOOKUP(G1026,'Component List'!K$2:L$30,2,FALSE)</f>
        <v>#N/A</v>
      </c>
      <c r="W1026" s="77" t="e">
        <f>VLOOKUP(H1026,'Component List'!M$2:N$31,2,FALSE)</f>
        <v>#N/A</v>
      </c>
      <c r="X1026" s="77" t="e">
        <f>VLOOKUP(I1026,'Component List'!O$2:P$30,2,FALSE)</f>
        <v>#N/A</v>
      </c>
      <c r="Y1026" s="77" t="e">
        <f>VLOOKUP(J1026,'Component List'!Q$2:R$30,2,FALSE)</f>
        <v>#N/A</v>
      </c>
      <c r="Z1026" s="77" t="e">
        <f>VLOOKUP(K1026,'Component List'!S$2:T$30,2,FALSE)</f>
        <v>#N/A</v>
      </c>
      <c r="AA1026" s="77" t="e">
        <f>VLOOKUP(L1026,'Component List'!U$2:V$30,2,FALSE)</f>
        <v>#N/A</v>
      </c>
      <c r="AB1026" s="77" t="e">
        <f>VLOOKUP(M1026,'Component List'!AA$2:AB$30,2,FALSE)</f>
        <v>#N/A</v>
      </c>
      <c r="AC1026" s="77" t="e">
        <f>VLOOKUP(N1026,'Component List'!Y$2:Z$30,2,FALSE)</f>
        <v>#N/A</v>
      </c>
      <c r="AD1026" s="77" t="e">
        <f>VLOOKUP(O1026,'Component List'!W$3:X$30,2,FALSE)</f>
        <v>#N/A</v>
      </c>
    </row>
    <row r="1027" spans="16:30" ht="40.200000000000003" customHeight="1" x14ac:dyDescent="0.3">
      <c r="P1027" s="114" t="e">
        <f t="shared" si="14"/>
        <v>#N/A</v>
      </c>
      <c r="Q1027" s="77" t="e">
        <f>VLOOKUP($B1027,'Component List'!$A$2:$B$30,2,FALSE)</f>
        <v>#N/A</v>
      </c>
      <c r="R1027" s="77" t="e">
        <f>VLOOKUP($C1027,'Component List'!C$2:D$28,2,FALSE)</f>
        <v>#N/A</v>
      </c>
      <c r="S1027" s="77" t="e">
        <f>VLOOKUP($D1027,'Component List'!E$2:F$30,2,FALSE)</f>
        <v>#N/A</v>
      </c>
      <c r="T1027" s="77" t="e">
        <f>VLOOKUP($E1027,'Component List'!G$2:H$30,2,FALSE)</f>
        <v>#N/A</v>
      </c>
      <c r="U1027" s="77" t="e">
        <f>VLOOKUP($F1027,'Component List'!I$2:J$30,2,FALSE)</f>
        <v>#N/A</v>
      </c>
      <c r="V1027" s="77" t="e">
        <f>VLOOKUP(G1027,'Component List'!K$2:L$30,2,FALSE)</f>
        <v>#N/A</v>
      </c>
      <c r="W1027" s="77" t="e">
        <f>VLOOKUP(H1027,'Component List'!M$2:N$31,2,FALSE)</f>
        <v>#N/A</v>
      </c>
      <c r="X1027" s="77" t="e">
        <f>VLOOKUP(I1027,'Component List'!O$2:P$30,2,FALSE)</f>
        <v>#N/A</v>
      </c>
      <c r="Y1027" s="77" t="e">
        <f>VLOOKUP(J1027,'Component List'!Q$2:R$30,2,FALSE)</f>
        <v>#N/A</v>
      </c>
      <c r="Z1027" s="77" t="e">
        <f>VLOOKUP(K1027,'Component List'!S$2:T$30,2,FALSE)</f>
        <v>#N/A</v>
      </c>
      <c r="AA1027" s="77" t="e">
        <f>VLOOKUP(L1027,'Component List'!U$2:V$30,2,FALSE)</f>
        <v>#N/A</v>
      </c>
      <c r="AB1027" s="77" t="e">
        <f>VLOOKUP(M1027,'Component List'!AA$2:AB$30,2,FALSE)</f>
        <v>#N/A</v>
      </c>
      <c r="AC1027" s="77" t="e">
        <f>VLOOKUP(N1027,'Component List'!Y$2:Z$30,2,FALSE)</f>
        <v>#N/A</v>
      </c>
      <c r="AD1027" s="77" t="e">
        <f>VLOOKUP(O1027,'Component List'!W$3:X$30,2,FALSE)</f>
        <v>#N/A</v>
      </c>
    </row>
    <row r="1028" spans="16:30" ht="40.200000000000003" customHeight="1" x14ac:dyDescent="0.3">
      <c r="P1028" s="114" t="e">
        <f t="shared" si="14"/>
        <v>#N/A</v>
      </c>
      <c r="Q1028" s="77" t="e">
        <f>VLOOKUP($B1028,'Component List'!$A$2:$B$30,2,FALSE)</f>
        <v>#N/A</v>
      </c>
      <c r="R1028" s="77" t="e">
        <f>VLOOKUP($C1028,'Component List'!C$2:D$28,2,FALSE)</f>
        <v>#N/A</v>
      </c>
      <c r="S1028" s="77" t="e">
        <f>VLOOKUP($D1028,'Component List'!E$2:F$30,2,FALSE)</f>
        <v>#N/A</v>
      </c>
      <c r="T1028" s="77" t="e">
        <f>VLOOKUP($E1028,'Component List'!G$2:H$30,2,FALSE)</f>
        <v>#N/A</v>
      </c>
      <c r="U1028" s="77" t="e">
        <f>VLOOKUP($F1028,'Component List'!I$2:J$30,2,FALSE)</f>
        <v>#N/A</v>
      </c>
      <c r="V1028" s="77" t="e">
        <f>VLOOKUP(G1028,'Component List'!K$2:L$30,2,FALSE)</f>
        <v>#N/A</v>
      </c>
      <c r="W1028" s="77" t="e">
        <f>VLOOKUP(H1028,'Component List'!M$2:N$31,2,FALSE)</f>
        <v>#N/A</v>
      </c>
      <c r="X1028" s="77" t="e">
        <f>VLOOKUP(I1028,'Component List'!O$2:P$30,2,FALSE)</f>
        <v>#N/A</v>
      </c>
      <c r="Y1028" s="77" t="e">
        <f>VLOOKUP(J1028,'Component List'!Q$2:R$30,2,FALSE)</f>
        <v>#N/A</v>
      </c>
      <c r="Z1028" s="77" t="e">
        <f>VLOOKUP(K1028,'Component List'!S$2:T$30,2,FALSE)</f>
        <v>#N/A</v>
      </c>
      <c r="AA1028" s="77" t="e">
        <f>VLOOKUP(L1028,'Component List'!U$2:V$30,2,FALSE)</f>
        <v>#N/A</v>
      </c>
      <c r="AB1028" s="77" t="e">
        <f>VLOOKUP(M1028,'Component List'!AA$2:AB$30,2,FALSE)</f>
        <v>#N/A</v>
      </c>
      <c r="AC1028" s="77" t="e">
        <f>VLOOKUP(N1028,'Component List'!Y$2:Z$30,2,FALSE)</f>
        <v>#N/A</v>
      </c>
      <c r="AD1028" s="77" t="e">
        <f>VLOOKUP(O1028,'Component List'!W$3:X$30,2,FALSE)</f>
        <v>#N/A</v>
      </c>
    </row>
    <row r="1029" spans="16:30" ht="40.200000000000003" customHeight="1" x14ac:dyDescent="0.3">
      <c r="P1029" s="114" t="e">
        <f t="shared" si="14"/>
        <v>#N/A</v>
      </c>
      <c r="Q1029" s="77" t="e">
        <f>VLOOKUP($B1029,'Component List'!$A$2:$B$30,2,FALSE)</f>
        <v>#N/A</v>
      </c>
      <c r="R1029" s="77" t="e">
        <f>VLOOKUP($C1029,'Component List'!C$2:D$28,2,FALSE)</f>
        <v>#N/A</v>
      </c>
      <c r="S1029" s="77" t="e">
        <f>VLOOKUP($D1029,'Component List'!E$2:F$30,2,FALSE)</f>
        <v>#N/A</v>
      </c>
      <c r="T1029" s="77" t="e">
        <f>VLOOKUP($E1029,'Component List'!G$2:H$30,2,FALSE)</f>
        <v>#N/A</v>
      </c>
      <c r="U1029" s="77" t="e">
        <f>VLOOKUP($F1029,'Component List'!I$2:J$30,2,FALSE)</f>
        <v>#N/A</v>
      </c>
      <c r="V1029" s="77" t="e">
        <f>VLOOKUP(G1029,'Component List'!K$2:L$30,2,FALSE)</f>
        <v>#N/A</v>
      </c>
      <c r="W1029" s="77" t="e">
        <f>VLOOKUP(H1029,'Component List'!M$2:N$31,2,FALSE)</f>
        <v>#N/A</v>
      </c>
      <c r="X1029" s="77" t="e">
        <f>VLOOKUP(I1029,'Component List'!O$2:P$30,2,FALSE)</f>
        <v>#N/A</v>
      </c>
      <c r="Y1029" s="77" t="e">
        <f>VLOOKUP(J1029,'Component List'!Q$2:R$30,2,FALSE)</f>
        <v>#N/A</v>
      </c>
      <c r="Z1029" s="77" t="e">
        <f>VLOOKUP(K1029,'Component List'!S$2:T$30,2,FALSE)</f>
        <v>#N/A</v>
      </c>
      <c r="AA1029" s="77" t="e">
        <f>VLOOKUP(L1029,'Component List'!U$2:V$30,2,FALSE)</f>
        <v>#N/A</v>
      </c>
      <c r="AB1029" s="77" t="e">
        <f>VLOOKUP(M1029,'Component List'!AA$2:AB$30,2,FALSE)</f>
        <v>#N/A</v>
      </c>
      <c r="AC1029" s="77" t="e">
        <f>VLOOKUP(N1029,'Component List'!Y$2:Z$30,2,FALSE)</f>
        <v>#N/A</v>
      </c>
      <c r="AD1029" s="77" t="e">
        <f>VLOOKUP(O1029,'Component List'!W$3:X$30,2,FALSE)</f>
        <v>#N/A</v>
      </c>
    </row>
    <row r="1030" spans="16:30" ht="40.200000000000003" customHeight="1" x14ac:dyDescent="0.3">
      <c r="P1030" s="114" t="e">
        <f t="shared" si="14"/>
        <v>#N/A</v>
      </c>
      <c r="Q1030" s="77" t="e">
        <f>VLOOKUP($B1030,'Component List'!$A$2:$B$30,2,FALSE)</f>
        <v>#N/A</v>
      </c>
      <c r="R1030" s="77" t="e">
        <f>VLOOKUP($C1030,'Component List'!C$2:D$28,2,FALSE)</f>
        <v>#N/A</v>
      </c>
      <c r="S1030" s="77" t="e">
        <f>VLOOKUP($D1030,'Component List'!E$2:F$30,2,FALSE)</f>
        <v>#N/A</v>
      </c>
      <c r="T1030" s="77" t="e">
        <f>VLOOKUP($E1030,'Component List'!G$2:H$30,2,FALSE)</f>
        <v>#N/A</v>
      </c>
      <c r="U1030" s="77" t="e">
        <f>VLOOKUP($F1030,'Component List'!I$2:J$30,2,FALSE)</f>
        <v>#N/A</v>
      </c>
      <c r="V1030" s="77" t="e">
        <f>VLOOKUP(G1030,'Component List'!K$2:L$30,2,FALSE)</f>
        <v>#N/A</v>
      </c>
      <c r="W1030" s="77" t="e">
        <f>VLOOKUP(H1030,'Component List'!M$2:N$31,2,FALSE)</f>
        <v>#N/A</v>
      </c>
      <c r="X1030" s="77" t="e">
        <f>VLOOKUP(I1030,'Component List'!O$2:P$30,2,FALSE)</f>
        <v>#N/A</v>
      </c>
      <c r="Y1030" s="77" t="e">
        <f>VLOOKUP(J1030,'Component List'!Q$2:R$30,2,FALSE)</f>
        <v>#N/A</v>
      </c>
      <c r="Z1030" s="77" t="e">
        <f>VLOOKUP(K1030,'Component List'!S$2:T$30,2,FALSE)</f>
        <v>#N/A</v>
      </c>
      <c r="AA1030" s="77" t="e">
        <f>VLOOKUP(L1030,'Component List'!U$2:V$30,2,FALSE)</f>
        <v>#N/A</v>
      </c>
      <c r="AB1030" s="77" t="e">
        <f>VLOOKUP(M1030,'Component List'!AA$2:AB$30,2,FALSE)</f>
        <v>#N/A</v>
      </c>
      <c r="AC1030" s="77" t="e">
        <f>VLOOKUP(N1030,'Component List'!Y$2:Z$30,2,FALSE)</f>
        <v>#N/A</v>
      </c>
      <c r="AD1030" s="77" t="e">
        <f>VLOOKUP(O1030,'Component List'!W$3:X$30,2,FALSE)</f>
        <v>#N/A</v>
      </c>
    </row>
    <row r="1031" spans="16:30" ht="40.200000000000003" customHeight="1" x14ac:dyDescent="0.3">
      <c r="P1031" s="114" t="e">
        <f t="shared" si="14"/>
        <v>#N/A</v>
      </c>
      <c r="Q1031" s="77" t="e">
        <f>VLOOKUP($B1031,'Component List'!$A$2:$B$30,2,FALSE)</f>
        <v>#N/A</v>
      </c>
      <c r="R1031" s="77" t="e">
        <f>VLOOKUP($C1031,'Component List'!C$2:D$28,2,FALSE)</f>
        <v>#N/A</v>
      </c>
      <c r="S1031" s="77" t="e">
        <f>VLOOKUP($D1031,'Component List'!E$2:F$30,2,FALSE)</f>
        <v>#N/A</v>
      </c>
      <c r="T1031" s="77" t="e">
        <f>VLOOKUP($E1031,'Component List'!G$2:H$30,2,FALSE)</f>
        <v>#N/A</v>
      </c>
      <c r="U1031" s="77" t="e">
        <f>VLOOKUP($F1031,'Component List'!I$2:J$30,2,FALSE)</f>
        <v>#N/A</v>
      </c>
      <c r="V1031" s="77" t="e">
        <f>VLOOKUP(G1031,'Component List'!K$2:L$30,2,FALSE)</f>
        <v>#N/A</v>
      </c>
      <c r="W1031" s="77" t="e">
        <f>VLOOKUP(H1031,'Component List'!M$2:N$31,2,FALSE)</f>
        <v>#N/A</v>
      </c>
      <c r="X1031" s="77" t="e">
        <f>VLOOKUP(I1031,'Component List'!O$2:P$30,2,FALSE)</f>
        <v>#N/A</v>
      </c>
      <c r="Y1031" s="77" t="e">
        <f>VLOOKUP(J1031,'Component List'!Q$2:R$30,2,FALSE)</f>
        <v>#N/A</v>
      </c>
      <c r="Z1031" s="77" t="e">
        <f>VLOOKUP(K1031,'Component List'!S$2:T$30,2,FALSE)</f>
        <v>#N/A</v>
      </c>
      <c r="AA1031" s="77" t="e">
        <f>VLOOKUP(L1031,'Component List'!U$2:V$30,2,FALSE)</f>
        <v>#N/A</v>
      </c>
      <c r="AB1031" s="77" t="e">
        <f>VLOOKUP(M1031,'Component List'!AA$2:AB$30,2,FALSE)</f>
        <v>#N/A</v>
      </c>
      <c r="AC1031" s="77" t="e">
        <f>VLOOKUP(N1031,'Component List'!Y$2:Z$30,2,FALSE)</f>
        <v>#N/A</v>
      </c>
      <c r="AD1031" s="77" t="e">
        <f>VLOOKUP(O1031,'Component List'!W$3:X$30,2,FALSE)</f>
        <v>#N/A</v>
      </c>
    </row>
    <row r="1032" spans="16:30" ht="40.200000000000003" customHeight="1" x14ac:dyDescent="0.3">
      <c r="P1032" s="114" t="e">
        <f t="shared" si="14"/>
        <v>#N/A</v>
      </c>
      <c r="Q1032" s="77" t="e">
        <f>VLOOKUP($B1032,'Component List'!$A$2:$B$30,2,FALSE)</f>
        <v>#N/A</v>
      </c>
      <c r="R1032" s="77" t="e">
        <f>VLOOKUP($C1032,'Component List'!C$2:D$28,2,FALSE)</f>
        <v>#N/A</v>
      </c>
      <c r="S1032" s="77" t="e">
        <f>VLOOKUP($D1032,'Component List'!E$2:F$30,2,FALSE)</f>
        <v>#N/A</v>
      </c>
      <c r="T1032" s="77" t="e">
        <f>VLOOKUP($E1032,'Component List'!G$2:H$30,2,FALSE)</f>
        <v>#N/A</v>
      </c>
      <c r="U1032" s="77" t="e">
        <f>VLOOKUP($F1032,'Component List'!I$2:J$30,2,FALSE)</f>
        <v>#N/A</v>
      </c>
      <c r="V1032" s="77" t="e">
        <f>VLOOKUP(G1032,'Component List'!K$2:L$30,2,FALSE)</f>
        <v>#N/A</v>
      </c>
      <c r="W1032" s="77" t="e">
        <f>VLOOKUP(H1032,'Component List'!M$2:N$31,2,FALSE)</f>
        <v>#N/A</v>
      </c>
      <c r="X1032" s="77" t="e">
        <f>VLOOKUP(I1032,'Component List'!O$2:P$30,2,FALSE)</f>
        <v>#N/A</v>
      </c>
      <c r="Y1032" s="77" t="e">
        <f>VLOOKUP(J1032,'Component List'!Q$2:R$30,2,FALSE)</f>
        <v>#N/A</v>
      </c>
      <c r="Z1032" s="77" t="e">
        <f>VLOOKUP(K1032,'Component List'!S$2:T$30,2,FALSE)</f>
        <v>#N/A</v>
      </c>
      <c r="AA1032" s="77" t="e">
        <f>VLOOKUP(L1032,'Component List'!U$2:V$30,2,FALSE)</f>
        <v>#N/A</v>
      </c>
      <c r="AB1032" s="77" t="e">
        <f>VLOOKUP(M1032,'Component List'!AA$2:AB$30,2,FALSE)</f>
        <v>#N/A</v>
      </c>
      <c r="AC1032" s="77" t="e">
        <f>VLOOKUP(N1032,'Component List'!Y$2:Z$30,2,FALSE)</f>
        <v>#N/A</v>
      </c>
      <c r="AD1032" s="77" t="e">
        <f>VLOOKUP(O1032,'Component List'!W$3:X$30,2,FALSE)</f>
        <v>#N/A</v>
      </c>
    </row>
    <row r="1033" spans="16:30" ht="40.200000000000003" customHeight="1" x14ac:dyDescent="0.3">
      <c r="P1033" s="114" t="e">
        <f t="shared" si="14"/>
        <v>#N/A</v>
      </c>
      <c r="Q1033" s="77" t="e">
        <f>VLOOKUP($B1033,'Component List'!$A$2:$B$30,2,FALSE)</f>
        <v>#N/A</v>
      </c>
      <c r="R1033" s="77" t="e">
        <f>VLOOKUP($C1033,'Component List'!C$2:D$28,2,FALSE)</f>
        <v>#N/A</v>
      </c>
      <c r="S1033" s="77" t="e">
        <f>VLOOKUP($D1033,'Component List'!E$2:F$30,2,FALSE)</f>
        <v>#N/A</v>
      </c>
      <c r="T1033" s="77" t="e">
        <f>VLOOKUP($E1033,'Component List'!G$2:H$30,2,FALSE)</f>
        <v>#N/A</v>
      </c>
      <c r="U1033" s="77" t="e">
        <f>VLOOKUP($F1033,'Component List'!I$2:J$30,2,FALSE)</f>
        <v>#N/A</v>
      </c>
      <c r="V1033" s="77" t="e">
        <f>VLOOKUP(G1033,'Component List'!K$2:L$30,2,FALSE)</f>
        <v>#N/A</v>
      </c>
      <c r="W1033" s="77" t="e">
        <f>VLOOKUP(H1033,'Component List'!M$2:N$31,2,FALSE)</f>
        <v>#N/A</v>
      </c>
      <c r="X1033" s="77" t="e">
        <f>VLOOKUP(I1033,'Component List'!O$2:P$30,2,FALSE)</f>
        <v>#N/A</v>
      </c>
      <c r="Y1033" s="77" t="e">
        <f>VLOOKUP(J1033,'Component List'!Q$2:R$30,2,FALSE)</f>
        <v>#N/A</v>
      </c>
      <c r="Z1033" s="77" t="e">
        <f>VLOOKUP(K1033,'Component List'!S$2:T$30,2,FALSE)</f>
        <v>#N/A</v>
      </c>
      <c r="AA1033" s="77" t="e">
        <f>VLOOKUP(L1033,'Component List'!U$2:V$30,2,FALSE)</f>
        <v>#N/A</v>
      </c>
      <c r="AB1033" s="77" t="e">
        <f>VLOOKUP(M1033,'Component List'!AA$2:AB$30,2,FALSE)</f>
        <v>#N/A</v>
      </c>
      <c r="AC1033" s="77" t="e">
        <f>VLOOKUP(N1033,'Component List'!Y$2:Z$30,2,FALSE)</f>
        <v>#N/A</v>
      </c>
      <c r="AD1033" s="77" t="e">
        <f>VLOOKUP(O1033,'Component List'!W$3:X$30,2,FALSE)</f>
        <v>#N/A</v>
      </c>
    </row>
    <row r="1034" spans="16:30" ht="40.200000000000003" customHeight="1" x14ac:dyDescent="0.3">
      <c r="P1034" s="114" t="e">
        <f t="shared" si="14"/>
        <v>#N/A</v>
      </c>
      <c r="Q1034" s="77" t="e">
        <f>VLOOKUP($B1034,'Component List'!$A$2:$B$30,2,FALSE)</f>
        <v>#N/A</v>
      </c>
      <c r="R1034" s="77" t="e">
        <f>VLOOKUP($C1034,'Component List'!C$2:D$28,2,FALSE)</f>
        <v>#N/A</v>
      </c>
      <c r="S1034" s="77" t="e">
        <f>VLOOKUP($D1034,'Component List'!E$2:F$30,2,FALSE)</f>
        <v>#N/A</v>
      </c>
      <c r="T1034" s="77" t="e">
        <f>VLOOKUP($E1034,'Component List'!G$2:H$30,2,FALSE)</f>
        <v>#N/A</v>
      </c>
      <c r="U1034" s="77" t="e">
        <f>VLOOKUP($F1034,'Component List'!I$2:J$30,2,FALSE)</f>
        <v>#N/A</v>
      </c>
      <c r="V1034" s="77" t="e">
        <f>VLOOKUP(G1034,'Component List'!K$2:L$30,2,FALSE)</f>
        <v>#N/A</v>
      </c>
      <c r="W1034" s="77" t="e">
        <f>VLOOKUP(H1034,'Component List'!M$2:N$31,2,FALSE)</f>
        <v>#N/A</v>
      </c>
      <c r="X1034" s="77" t="e">
        <f>VLOOKUP(I1034,'Component List'!O$2:P$30,2,FALSE)</f>
        <v>#N/A</v>
      </c>
      <c r="Y1034" s="77" t="e">
        <f>VLOOKUP(J1034,'Component List'!Q$2:R$30,2,FALSE)</f>
        <v>#N/A</v>
      </c>
      <c r="Z1034" s="77" t="e">
        <f>VLOOKUP(K1034,'Component List'!S$2:T$30,2,FALSE)</f>
        <v>#N/A</v>
      </c>
      <c r="AA1034" s="77" t="e">
        <f>VLOOKUP(L1034,'Component List'!U$2:V$30,2,FALSE)</f>
        <v>#N/A</v>
      </c>
      <c r="AB1034" s="77" t="e">
        <f>VLOOKUP(M1034,'Component List'!AA$2:AB$30,2,FALSE)</f>
        <v>#N/A</v>
      </c>
      <c r="AC1034" s="77" t="e">
        <f>VLOOKUP(N1034,'Component List'!Y$2:Z$30,2,FALSE)</f>
        <v>#N/A</v>
      </c>
      <c r="AD1034" s="77" t="e">
        <f>VLOOKUP(O1034,'Component List'!W$3:X$30,2,FALSE)</f>
        <v>#N/A</v>
      </c>
    </row>
    <row r="1035" spans="16:30" ht="40.200000000000003" customHeight="1" x14ac:dyDescent="0.3">
      <c r="P1035" s="114" t="e">
        <f t="shared" si="14"/>
        <v>#N/A</v>
      </c>
      <c r="Q1035" s="77" t="e">
        <f>VLOOKUP($B1035,'Component List'!$A$2:$B$30,2,FALSE)</f>
        <v>#N/A</v>
      </c>
      <c r="R1035" s="77" t="e">
        <f>VLOOKUP($C1035,'Component List'!C$2:D$28,2,FALSE)</f>
        <v>#N/A</v>
      </c>
      <c r="S1035" s="77" t="e">
        <f>VLOOKUP($D1035,'Component List'!E$2:F$30,2,FALSE)</f>
        <v>#N/A</v>
      </c>
      <c r="T1035" s="77" t="e">
        <f>VLOOKUP($E1035,'Component List'!G$2:H$30,2,FALSE)</f>
        <v>#N/A</v>
      </c>
      <c r="U1035" s="77" t="e">
        <f>VLOOKUP($F1035,'Component List'!I$2:J$30,2,FALSE)</f>
        <v>#N/A</v>
      </c>
      <c r="V1035" s="77" t="e">
        <f>VLOOKUP(G1035,'Component List'!K$2:L$30,2,FALSE)</f>
        <v>#N/A</v>
      </c>
      <c r="W1035" s="77" t="e">
        <f>VLOOKUP(H1035,'Component List'!M$2:N$31,2,FALSE)</f>
        <v>#N/A</v>
      </c>
      <c r="X1035" s="77" t="e">
        <f>VLOOKUP(I1035,'Component List'!O$2:P$30,2,FALSE)</f>
        <v>#N/A</v>
      </c>
      <c r="Y1035" s="77" t="e">
        <f>VLOOKUP(J1035,'Component List'!Q$2:R$30,2,FALSE)</f>
        <v>#N/A</v>
      </c>
      <c r="Z1035" s="77" t="e">
        <f>VLOOKUP(K1035,'Component List'!S$2:T$30,2,FALSE)</f>
        <v>#N/A</v>
      </c>
      <c r="AA1035" s="77" t="e">
        <f>VLOOKUP(L1035,'Component List'!U$2:V$30,2,FALSE)</f>
        <v>#N/A</v>
      </c>
      <c r="AB1035" s="77" t="e">
        <f>VLOOKUP(M1035,'Component List'!AA$2:AB$30,2,FALSE)</f>
        <v>#N/A</v>
      </c>
      <c r="AC1035" s="77" t="e">
        <f>VLOOKUP(N1035,'Component List'!Y$2:Z$30,2,FALSE)</f>
        <v>#N/A</v>
      </c>
      <c r="AD1035" s="77" t="e">
        <f>VLOOKUP(O1035,'Component List'!W$3:X$30,2,FALSE)</f>
        <v>#N/A</v>
      </c>
    </row>
    <row r="1036" spans="16:30" ht="40.200000000000003" customHeight="1" x14ac:dyDescent="0.3">
      <c r="P1036" s="114" t="e">
        <f t="shared" si="14"/>
        <v>#N/A</v>
      </c>
      <c r="Q1036" s="77" t="e">
        <f>VLOOKUP($B1036,'Component List'!$A$2:$B$30,2,FALSE)</f>
        <v>#N/A</v>
      </c>
      <c r="R1036" s="77" t="e">
        <f>VLOOKUP($C1036,'Component List'!C$2:D$28,2,FALSE)</f>
        <v>#N/A</v>
      </c>
      <c r="S1036" s="77" t="e">
        <f>VLOOKUP($D1036,'Component List'!E$2:F$30,2,FALSE)</f>
        <v>#N/A</v>
      </c>
      <c r="T1036" s="77" t="e">
        <f>VLOOKUP($E1036,'Component List'!G$2:H$30,2,FALSE)</f>
        <v>#N/A</v>
      </c>
      <c r="U1036" s="77" t="e">
        <f>VLOOKUP($F1036,'Component List'!I$2:J$30,2,FALSE)</f>
        <v>#N/A</v>
      </c>
      <c r="V1036" s="77" t="e">
        <f>VLOOKUP(G1036,'Component List'!K$2:L$30,2,FALSE)</f>
        <v>#N/A</v>
      </c>
      <c r="W1036" s="77" t="e">
        <f>VLOOKUP(H1036,'Component List'!M$2:N$31,2,FALSE)</f>
        <v>#N/A</v>
      </c>
      <c r="X1036" s="77" t="e">
        <f>VLOOKUP(I1036,'Component List'!O$2:P$30,2,FALSE)</f>
        <v>#N/A</v>
      </c>
      <c r="Y1036" s="77" t="e">
        <f>VLOOKUP(J1036,'Component List'!Q$2:R$30,2,FALSE)</f>
        <v>#N/A</v>
      </c>
      <c r="Z1036" s="77" t="e">
        <f>VLOOKUP(K1036,'Component List'!S$2:T$30,2,FALSE)</f>
        <v>#N/A</v>
      </c>
      <c r="AA1036" s="77" t="e">
        <f>VLOOKUP(L1036,'Component List'!U$2:V$30,2,FALSE)</f>
        <v>#N/A</v>
      </c>
      <c r="AB1036" s="77" t="e">
        <f>VLOOKUP(M1036,'Component List'!AA$2:AB$30,2,FALSE)</f>
        <v>#N/A</v>
      </c>
      <c r="AC1036" s="77" t="e">
        <f>VLOOKUP(N1036,'Component List'!Y$2:Z$30,2,FALSE)</f>
        <v>#N/A</v>
      </c>
      <c r="AD1036" s="77" t="e">
        <f>VLOOKUP(O1036,'Component List'!W$3:X$30,2,FALSE)</f>
        <v>#N/A</v>
      </c>
    </row>
    <row r="1037" spans="16:30" ht="40.200000000000003" customHeight="1" x14ac:dyDescent="0.3">
      <c r="P1037" s="114" t="e">
        <f t="shared" ref="P1037:P1040" si="15">Q1037&amp;R1037&amp;S1037&amp;T1037&amp;U1037&amp;V1037&amp;W1037&amp;X1037&amp;Y1037&amp;Z1037&amp;AA1037&amp;AD1037&amp;AC1037&amp;AB1037</f>
        <v>#N/A</v>
      </c>
      <c r="Q1037" s="77" t="e">
        <f>VLOOKUP($B1037,'Component List'!$A$2:$B$30,2,FALSE)</f>
        <v>#N/A</v>
      </c>
      <c r="R1037" s="77" t="e">
        <f>VLOOKUP($C1037,'Component List'!C$2:D$28,2,FALSE)</f>
        <v>#N/A</v>
      </c>
      <c r="S1037" s="77" t="e">
        <f>VLOOKUP($D1037,'Component List'!E$2:F$30,2,FALSE)</f>
        <v>#N/A</v>
      </c>
      <c r="T1037" s="77" t="e">
        <f>VLOOKUP($E1037,'Component List'!G$2:H$30,2,FALSE)</f>
        <v>#N/A</v>
      </c>
      <c r="U1037" s="77" t="e">
        <f>VLOOKUP($F1037,'Component List'!I$2:J$30,2,FALSE)</f>
        <v>#N/A</v>
      </c>
      <c r="V1037" s="77" t="e">
        <f>VLOOKUP(G1037,'Component List'!K$2:L$30,2,FALSE)</f>
        <v>#N/A</v>
      </c>
      <c r="W1037" s="77" t="e">
        <f>VLOOKUP(H1037,'Component List'!M$2:N$31,2,FALSE)</f>
        <v>#N/A</v>
      </c>
      <c r="X1037" s="77" t="e">
        <f>VLOOKUP(I1037,'Component List'!O$2:P$30,2,FALSE)</f>
        <v>#N/A</v>
      </c>
      <c r="Y1037" s="77" t="e">
        <f>VLOOKUP(J1037,'Component List'!Q$2:R$30,2,FALSE)</f>
        <v>#N/A</v>
      </c>
      <c r="Z1037" s="77" t="e">
        <f>VLOOKUP(K1037,'Component List'!S$2:T$30,2,FALSE)</f>
        <v>#N/A</v>
      </c>
      <c r="AA1037" s="77" t="e">
        <f>VLOOKUP(L1037,'Component List'!U$2:V$30,2,FALSE)</f>
        <v>#N/A</v>
      </c>
      <c r="AB1037" s="77" t="e">
        <f>VLOOKUP(M1037,'Component List'!AA$2:AB$30,2,FALSE)</f>
        <v>#N/A</v>
      </c>
      <c r="AC1037" s="77" t="e">
        <f>VLOOKUP(N1037,'Component List'!Y$2:Z$30,2,FALSE)</f>
        <v>#N/A</v>
      </c>
      <c r="AD1037" s="77" t="e">
        <f>VLOOKUP(O1037,'Component List'!W$3:X$30,2,FALSE)</f>
        <v>#N/A</v>
      </c>
    </row>
    <row r="1038" spans="16:30" ht="40.200000000000003" customHeight="1" x14ac:dyDescent="0.3">
      <c r="P1038" s="114" t="e">
        <f t="shared" si="15"/>
        <v>#N/A</v>
      </c>
      <c r="Q1038" s="77" t="e">
        <f>VLOOKUP($B1038,'Component List'!$A$2:$B$30,2,FALSE)</f>
        <v>#N/A</v>
      </c>
      <c r="R1038" s="77" t="e">
        <f>VLOOKUP($C1038,'Component List'!C$2:D$28,2,FALSE)</f>
        <v>#N/A</v>
      </c>
      <c r="S1038" s="77" t="e">
        <f>VLOOKUP($D1038,'Component List'!E$2:F$30,2,FALSE)</f>
        <v>#N/A</v>
      </c>
      <c r="T1038" s="77" t="e">
        <f>VLOOKUP($E1038,'Component List'!G$2:H$30,2,FALSE)</f>
        <v>#N/A</v>
      </c>
      <c r="U1038" s="77" t="e">
        <f>VLOOKUP($F1038,'Component List'!I$2:J$30,2,FALSE)</f>
        <v>#N/A</v>
      </c>
      <c r="V1038" s="77" t="e">
        <f>VLOOKUP(G1038,'Component List'!K$2:L$30,2,FALSE)</f>
        <v>#N/A</v>
      </c>
      <c r="W1038" s="77" t="e">
        <f>VLOOKUP(H1038,'Component List'!M$2:N$31,2,FALSE)</f>
        <v>#N/A</v>
      </c>
      <c r="X1038" s="77" t="e">
        <f>VLOOKUP(I1038,'Component List'!O$2:P$30,2,FALSE)</f>
        <v>#N/A</v>
      </c>
      <c r="Y1038" s="77" t="e">
        <f>VLOOKUP(J1038,'Component List'!Q$2:R$30,2,FALSE)</f>
        <v>#N/A</v>
      </c>
      <c r="Z1038" s="77" t="e">
        <f>VLOOKUP(K1038,'Component List'!S$2:T$30,2,FALSE)</f>
        <v>#N/A</v>
      </c>
      <c r="AA1038" s="77" t="e">
        <f>VLOOKUP(L1038,'Component List'!U$2:V$30,2,FALSE)</f>
        <v>#N/A</v>
      </c>
      <c r="AB1038" s="77" t="e">
        <f>VLOOKUP(M1038,'Component List'!AA$2:AB$30,2,FALSE)</f>
        <v>#N/A</v>
      </c>
      <c r="AC1038" s="77" t="e">
        <f>VLOOKUP(N1038,'Component List'!Y$2:Z$30,2,FALSE)</f>
        <v>#N/A</v>
      </c>
      <c r="AD1038" s="77" t="e">
        <f>VLOOKUP(O1038,'Component List'!W$3:X$30,2,FALSE)</f>
        <v>#N/A</v>
      </c>
    </row>
    <row r="1039" spans="16:30" ht="40.200000000000003" customHeight="1" x14ac:dyDescent="0.3">
      <c r="P1039" s="114" t="e">
        <f t="shared" si="15"/>
        <v>#N/A</v>
      </c>
      <c r="Q1039" s="77" t="e">
        <f>VLOOKUP($B1039,'Component List'!$A$2:$B$30,2,FALSE)</f>
        <v>#N/A</v>
      </c>
      <c r="R1039" s="77" t="e">
        <f>VLOOKUP($C1039,'Component List'!C$2:D$28,2,FALSE)</f>
        <v>#N/A</v>
      </c>
      <c r="S1039" s="77" t="e">
        <f>VLOOKUP($D1039,'Component List'!E$2:F$30,2,FALSE)</f>
        <v>#N/A</v>
      </c>
      <c r="T1039" s="77" t="e">
        <f>VLOOKUP($E1039,'Component List'!G$2:H$30,2,FALSE)</f>
        <v>#N/A</v>
      </c>
      <c r="U1039" s="77" t="e">
        <f>VLOOKUP($F1039,'Component List'!I$2:J$30,2,FALSE)</f>
        <v>#N/A</v>
      </c>
      <c r="V1039" s="77" t="e">
        <f>VLOOKUP(G1039,'Component List'!K$2:L$30,2,FALSE)</f>
        <v>#N/A</v>
      </c>
      <c r="W1039" s="77" t="e">
        <f>VLOOKUP(H1039,'Component List'!M$2:N$31,2,FALSE)</f>
        <v>#N/A</v>
      </c>
      <c r="X1039" s="77" t="e">
        <f>VLOOKUP(I1039,'Component List'!O$2:P$30,2,FALSE)</f>
        <v>#N/A</v>
      </c>
      <c r="Y1039" s="77" t="e">
        <f>VLOOKUP(J1039,'Component List'!Q$2:R$30,2,FALSE)</f>
        <v>#N/A</v>
      </c>
      <c r="Z1039" s="77" t="e">
        <f>VLOOKUP(K1039,'Component List'!S$2:T$30,2,FALSE)</f>
        <v>#N/A</v>
      </c>
      <c r="AA1039" s="77" t="e">
        <f>VLOOKUP(L1039,'Component List'!U$2:V$30,2,FALSE)</f>
        <v>#N/A</v>
      </c>
      <c r="AB1039" s="77" t="e">
        <f>VLOOKUP(M1039,'Component List'!AA$2:AB$30,2,FALSE)</f>
        <v>#N/A</v>
      </c>
      <c r="AC1039" s="77" t="e">
        <f>VLOOKUP(N1039,'Component List'!Y$2:Z$30,2,FALSE)</f>
        <v>#N/A</v>
      </c>
      <c r="AD1039" s="77" t="e">
        <f>VLOOKUP(O1039,'Component List'!W$3:X$30,2,FALSE)</f>
        <v>#N/A</v>
      </c>
    </row>
    <row r="1040" spans="16:30" ht="40.200000000000003" customHeight="1" x14ac:dyDescent="0.3">
      <c r="P1040" s="114" t="e">
        <f t="shared" si="15"/>
        <v>#N/A</v>
      </c>
      <c r="Q1040" s="77" t="e">
        <f>VLOOKUP($B1040,'Component List'!$A$2:$B$30,2,FALSE)</f>
        <v>#N/A</v>
      </c>
      <c r="R1040" s="77" t="e">
        <f>VLOOKUP($C1040,'Component List'!C$2:D$28,2,FALSE)</f>
        <v>#N/A</v>
      </c>
      <c r="S1040" s="77" t="e">
        <f>VLOOKUP($D1040,'Component List'!E$2:F$30,2,FALSE)</f>
        <v>#N/A</v>
      </c>
      <c r="T1040" s="77" t="e">
        <f>VLOOKUP($E1040,'Component List'!G$2:H$30,2,FALSE)</f>
        <v>#N/A</v>
      </c>
      <c r="U1040" s="77" t="e">
        <f>VLOOKUP($F1040,'Component List'!I$2:J$30,2,FALSE)</f>
        <v>#N/A</v>
      </c>
      <c r="V1040" s="77" t="e">
        <f>VLOOKUP(G1040,'Component List'!K$2:L$30,2,FALSE)</f>
        <v>#N/A</v>
      </c>
      <c r="W1040" s="77" t="e">
        <f>VLOOKUP(H1040,'Component List'!M$2:N$31,2,FALSE)</f>
        <v>#N/A</v>
      </c>
      <c r="X1040" s="77" t="e">
        <f>VLOOKUP(I1040,'Component List'!O$2:P$30,2,FALSE)</f>
        <v>#N/A</v>
      </c>
      <c r="Y1040" s="77" t="e">
        <f>VLOOKUP(J1040,'Component List'!Q$2:R$30,2,FALSE)</f>
        <v>#N/A</v>
      </c>
      <c r="Z1040" s="77" t="e">
        <f>VLOOKUP(K1040,'Component List'!S$2:T$30,2,FALSE)</f>
        <v>#N/A</v>
      </c>
      <c r="AA1040" s="77" t="e">
        <f>VLOOKUP(L1040,'Component List'!U$2:V$30,2,FALSE)</f>
        <v>#N/A</v>
      </c>
      <c r="AB1040" s="77" t="e">
        <f>VLOOKUP(M1040,'Component List'!AA$2:AB$30,2,FALSE)</f>
        <v>#N/A</v>
      </c>
      <c r="AC1040" s="77" t="e">
        <f>VLOOKUP(N1040,'Component List'!Y$2:Z$30,2,FALSE)</f>
        <v>#N/A</v>
      </c>
      <c r="AD1040" s="77" t="e">
        <f>VLOOKUP(O1040,'Component List'!W$3:X$30,2,FALSE)</f>
        <v>#N/A</v>
      </c>
    </row>
    <row r="1041" spans="17:30" ht="40.200000000000003" customHeight="1" x14ac:dyDescent="0.3">
      <c r="Q1041" s="77" t="e">
        <f>VLOOKUP($B1041,'Component List'!$A$2:$B$30,2,FALSE)</f>
        <v>#N/A</v>
      </c>
      <c r="R1041" s="77" t="e">
        <f>VLOOKUP($C1041,'Component List'!C$2:D$28,2,FALSE)</f>
        <v>#N/A</v>
      </c>
      <c r="S1041" s="77" t="e">
        <f>VLOOKUP($D1041,'Component List'!E$2:F$30,2,FALSE)</f>
        <v>#N/A</v>
      </c>
      <c r="T1041" s="77" t="e">
        <f>VLOOKUP($E1041,'Component List'!G$2:H$30,2,FALSE)</f>
        <v>#N/A</v>
      </c>
      <c r="U1041" s="77" t="e">
        <f>VLOOKUP($F1041,'Component List'!I$2:J$30,2,FALSE)</f>
        <v>#N/A</v>
      </c>
      <c r="V1041" s="77" t="e">
        <f>VLOOKUP(G1041,'Component List'!K$2:L$30,2,FALSE)</f>
        <v>#N/A</v>
      </c>
      <c r="W1041" s="77" t="e">
        <f>VLOOKUP(H1041,'Component List'!M$2:N$31,2,FALSE)</f>
        <v>#N/A</v>
      </c>
      <c r="X1041" s="77" t="e">
        <f>VLOOKUP(I1041,'Component List'!O$2:P$30,2,FALSE)</f>
        <v>#N/A</v>
      </c>
      <c r="Y1041" s="77" t="e">
        <f>VLOOKUP(J1041,'Component List'!Q$2:R$30,2,FALSE)</f>
        <v>#N/A</v>
      </c>
      <c r="Z1041" s="77" t="e">
        <f>VLOOKUP(K1041,'Component List'!S$2:T$30,2,FALSE)</f>
        <v>#N/A</v>
      </c>
      <c r="AA1041" s="77" t="e">
        <f>VLOOKUP(L1041,'Component List'!U$2:V$30,2,FALSE)</f>
        <v>#N/A</v>
      </c>
      <c r="AB1041" s="77" t="e">
        <f>VLOOKUP(M1041,'Component List'!AA$2:AB$30,2,FALSE)</f>
        <v>#N/A</v>
      </c>
      <c r="AC1041" s="77" t="e">
        <f>VLOOKUP(N1041,'Component List'!Y$2:Z$30,2,FALSE)</f>
        <v>#N/A</v>
      </c>
      <c r="AD1041" s="77" t="e">
        <f>VLOOKUP(O1041,'Component List'!W$3:X$30,2,FALSE)</f>
        <v>#N/A</v>
      </c>
    </row>
    <row r="1042" spans="17:30" ht="40.200000000000003" customHeight="1" x14ac:dyDescent="0.3"/>
    <row r="1043" spans="17:30" ht="40.200000000000003" customHeight="1" x14ac:dyDescent="0.3"/>
    <row r="1044" spans="17:30" ht="40.200000000000003" customHeight="1" x14ac:dyDescent="0.3"/>
    <row r="1045" spans="17:30" ht="40.200000000000003" customHeight="1" x14ac:dyDescent="0.3"/>
    <row r="1046" spans="17:30" ht="40.200000000000003" customHeight="1" x14ac:dyDescent="0.3"/>
    <row r="1047" spans="17:30" ht="40.200000000000003" customHeight="1" x14ac:dyDescent="0.3"/>
    <row r="1048" spans="17:30" ht="40.200000000000003" customHeight="1" x14ac:dyDescent="0.3"/>
    <row r="1049" spans="17:30" ht="40.200000000000003" customHeight="1" x14ac:dyDescent="0.3"/>
    <row r="1050" spans="17:30" ht="40.200000000000003" customHeight="1" x14ac:dyDescent="0.3"/>
    <row r="1051" spans="17:30" ht="40.200000000000003" customHeight="1" x14ac:dyDescent="0.3"/>
    <row r="1052" spans="17:30" ht="40.200000000000003" customHeight="1" x14ac:dyDescent="0.3"/>
    <row r="1053" spans="17:30" ht="40.200000000000003" customHeight="1" x14ac:dyDescent="0.3"/>
    <row r="1054" spans="17:30" ht="40.200000000000003" customHeight="1" x14ac:dyDescent="0.3"/>
    <row r="1055" spans="17:30" ht="40.200000000000003" customHeight="1" x14ac:dyDescent="0.3"/>
    <row r="1056" spans="17:30" ht="40.200000000000003" customHeight="1" x14ac:dyDescent="0.3"/>
    <row r="1057" ht="40.200000000000003" customHeight="1" x14ac:dyDescent="0.3"/>
    <row r="1058" ht="40.200000000000003" customHeight="1" x14ac:dyDescent="0.3"/>
    <row r="1059" ht="40.200000000000003" customHeight="1" x14ac:dyDescent="0.3"/>
    <row r="1060" ht="40.200000000000003" customHeight="1" x14ac:dyDescent="0.3"/>
    <row r="1061" ht="40.200000000000003" customHeight="1" x14ac:dyDescent="0.3"/>
    <row r="1062" ht="40.200000000000003" customHeight="1" x14ac:dyDescent="0.3"/>
    <row r="1063" ht="40.200000000000003" customHeight="1" x14ac:dyDescent="0.3"/>
    <row r="1064" ht="40.200000000000003" customHeight="1" x14ac:dyDescent="0.3"/>
    <row r="1065" ht="40.200000000000003" customHeight="1" x14ac:dyDescent="0.3"/>
    <row r="1066" ht="40.200000000000003" customHeight="1" x14ac:dyDescent="0.3"/>
    <row r="1067" ht="40.200000000000003" customHeight="1" x14ac:dyDescent="0.3"/>
    <row r="1068" ht="40.200000000000003" customHeight="1" x14ac:dyDescent="0.3"/>
    <row r="1069" ht="40.200000000000003" customHeight="1" x14ac:dyDescent="0.3"/>
    <row r="1070" ht="40.200000000000003" customHeight="1" x14ac:dyDescent="0.3"/>
    <row r="1071" ht="40.200000000000003" customHeight="1" x14ac:dyDescent="0.3"/>
    <row r="1072" ht="40.200000000000003" customHeight="1" x14ac:dyDescent="0.3"/>
    <row r="1073" ht="40.200000000000003" customHeight="1" x14ac:dyDescent="0.3"/>
    <row r="1074" ht="40.200000000000003" customHeight="1" x14ac:dyDescent="0.3"/>
    <row r="1075" ht="40.200000000000003" customHeight="1" x14ac:dyDescent="0.3"/>
    <row r="1076" ht="40.200000000000003" customHeight="1" x14ac:dyDescent="0.3"/>
    <row r="1077" ht="40.200000000000003" customHeight="1" x14ac:dyDescent="0.3"/>
    <row r="1078" ht="40.200000000000003" customHeight="1" x14ac:dyDescent="0.3"/>
    <row r="1079" ht="40.200000000000003" customHeight="1" x14ac:dyDescent="0.3"/>
    <row r="1080" ht="40.200000000000003" customHeight="1" x14ac:dyDescent="0.3"/>
    <row r="1081" ht="40.200000000000003" customHeight="1" x14ac:dyDescent="0.3"/>
    <row r="1082" ht="40.200000000000003" customHeight="1" x14ac:dyDescent="0.3"/>
    <row r="1083" ht="40.200000000000003" customHeight="1" x14ac:dyDescent="0.3"/>
    <row r="1084" ht="40.200000000000003" customHeight="1" x14ac:dyDescent="0.3"/>
    <row r="1085" ht="40.200000000000003" customHeight="1" x14ac:dyDescent="0.3"/>
    <row r="1086" ht="40.200000000000003" customHeight="1" x14ac:dyDescent="0.3"/>
    <row r="1087" ht="40.200000000000003" customHeight="1" x14ac:dyDescent="0.3"/>
    <row r="1088" ht="40.200000000000003" customHeight="1" x14ac:dyDescent="0.3"/>
    <row r="1089" ht="40.200000000000003" customHeight="1" x14ac:dyDescent="0.3"/>
    <row r="1090" ht="40.200000000000003" customHeight="1" x14ac:dyDescent="0.3"/>
    <row r="1091" ht="40.200000000000003" customHeight="1" x14ac:dyDescent="0.3"/>
    <row r="1092" ht="40.200000000000003" customHeight="1" x14ac:dyDescent="0.3"/>
    <row r="1093" ht="40.200000000000003" customHeight="1" x14ac:dyDescent="0.3"/>
    <row r="1094" ht="40.200000000000003" customHeight="1" x14ac:dyDescent="0.3"/>
    <row r="1095" ht="40.200000000000003" customHeight="1" x14ac:dyDescent="0.3"/>
    <row r="1096" ht="40.200000000000003" customHeight="1" x14ac:dyDescent="0.3"/>
    <row r="1097" ht="40.200000000000003" customHeight="1" x14ac:dyDescent="0.3"/>
    <row r="1098" ht="40.200000000000003" customHeight="1" x14ac:dyDescent="0.3"/>
    <row r="1099" ht="40.200000000000003" customHeight="1" x14ac:dyDescent="0.3"/>
    <row r="1100" ht="40.200000000000003" customHeight="1" x14ac:dyDescent="0.3"/>
    <row r="1101" ht="40.200000000000003" customHeight="1" x14ac:dyDescent="0.3"/>
    <row r="1102" ht="40.200000000000003" customHeight="1" x14ac:dyDescent="0.3"/>
    <row r="1103" ht="40.200000000000003" customHeight="1" x14ac:dyDescent="0.3"/>
    <row r="1104" ht="40.200000000000003" customHeight="1" x14ac:dyDescent="0.3"/>
    <row r="1105" ht="40.200000000000003" customHeight="1" x14ac:dyDescent="0.3"/>
    <row r="1106" ht="40.200000000000003" customHeight="1" x14ac:dyDescent="0.3"/>
    <row r="1107" ht="40.200000000000003" customHeight="1" x14ac:dyDescent="0.3"/>
    <row r="1108" ht="40.200000000000003" customHeight="1" x14ac:dyDescent="0.3"/>
    <row r="1109" ht="40.200000000000003" customHeight="1" x14ac:dyDescent="0.3"/>
    <row r="1110" ht="40.200000000000003" customHeight="1" x14ac:dyDescent="0.3"/>
    <row r="1111" ht="40.200000000000003" customHeight="1" x14ac:dyDescent="0.3"/>
    <row r="1112" ht="40.200000000000003" customHeight="1" x14ac:dyDescent="0.3"/>
    <row r="1113" ht="40.200000000000003" customHeight="1" x14ac:dyDescent="0.3"/>
    <row r="1114" ht="40.200000000000003" customHeight="1" x14ac:dyDescent="0.3"/>
    <row r="1115" ht="40.200000000000003" customHeight="1" x14ac:dyDescent="0.3"/>
    <row r="1116" ht="40.200000000000003" customHeight="1" x14ac:dyDescent="0.3"/>
    <row r="1117" ht="40.200000000000003" customHeight="1" x14ac:dyDescent="0.3"/>
    <row r="1118" ht="40.200000000000003" customHeight="1" x14ac:dyDescent="0.3"/>
    <row r="1119" ht="40.200000000000003" customHeight="1" x14ac:dyDescent="0.3"/>
    <row r="1120" ht="40.200000000000003" customHeight="1" x14ac:dyDescent="0.3"/>
    <row r="1121" ht="40.200000000000003" customHeight="1" x14ac:dyDescent="0.3"/>
    <row r="1122" ht="40.200000000000003" customHeight="1" x14ac:dyDescent="0.3"/>
    <row r="1123" ht="40.200000000000003" customHeight="1" x14ac:dyDescent="0.3"/>
    <row r="1124" ht="40.200000000000003" customHeight="1" x14ac:dyDescent="0.3"/>
    <row r="1125" ht="40.200000000000003" customHeight="1" x14ac:dyDescent="0.3"/>
    <row r="1126" ht="40.200000000000003" customHeight="1" x14ac:dyDescent="0.3"/>
    <row r="1127" ht="40.200000000000003" customHeight="1" x14ac:dyDescent="0.3"/>
    <row r="1128" ht="40.200000000000003" customHeight="1" x14ac:dyDescent="0.3"/>
    <row r="1129" ht="40.200000000000003" customHeight="1" x14ac:dyDescent="0.3"/>
    <row r="1130" ht="40.200000000000003" customHeight="1" x14ac:dyDescent="0.3"/>
    <row r="1131" ht="40.200000000000003" customHeight="1" x14ac:dyDescent="0.3"/>
    <row r="1132" ht="40.200000000000003" customHeight="1" x14ac:dyDescent="0.3"/>
    <row r="1133" ht="40.200000000000003" customHeight="1" x14ac:dyDescent="0.3"/>
    <row r="1134" ht="40.200000000000003" customHeight="1" x14ac:dyDescent="0.3"/>
    <row r="1135" ht="40.200000000000003" customHeight="1" x14ac:dyDescent="0.3"/>
    <row r="1136" ht="40.200000000000003" customHeight="1" x14ac:dyDescent="0.3"/>
    <row r="1137" ht="40.200000000000003" customHeight="1" x14ac:dyDescent="0.3"/>
    <row r="1138" ht="40.200000000000003" customHeight="1" x14ac:dyDescent="0.3"/>
    <row r="1139" ht="40.200000000000003" customHeight="1" x14ac:dyDescent="0.3"/>
    <row r="1140" ht="40.200000000000003" customHeight="1" x14ac:dyDescent="0.3"/>
    <row r="1141" ht="40.200000000000003" customHeight="1" x14ac:dyDescent="0.3"/>
    <row r="1142" ht="40.200000000000003" customHeight="1" x14ac:dyDescent="0.3"/>
    <row r="1143" ht="40.200000000000003" customHeight="1" x14ac:dyDescent="0.3"/>
    <row r="1144" ht="40.200000000000003" customHeight="1" x14ac:dyDescent="0.3"/>
    <row r="1145" ht="40.200000000000003" customHeight="1" x14ac:dyDescent="0.3"/>
    <row r="1146" ht="40.200000000000003" customHeight="1" x14ac:dyDescent="0.3"/>
    <row r="1147" ht="40.200000000000003" customHeight="1" x14ac:dyDescent="0.3"/>
    <row r="1148" ht="40.200000000000003" customHeight="1" x14ac:dyDescent="0.3"/>
    <row r="1149" ht="40.200000000000003" customHeight="1" x14ac:dyDescent="0.3"/>
    <row r="1150" ht="40.200000000000003" customHeight="1" x14ac:dyDescent="0.3"/>
    <row r="1151" ht="40.200000000000003" customHeight="1" x14ac:dyDescent="0.3"/>
    <row r="1152" ht="40.200000000000003" customHeight="1" x14ac:dyDescent="0.3"/>
    <row r="1153" ht="40.200000000000003" customHeight="1" x14ac:dyDescent="0.3"/>
    <row r="1154" ht="40.200000000000003" customHeight="1" x14ac:dyDescent="0.3"/>
    <row r="1155" ht="40.200000000000003" customHeight="1" x14ac:dyDescent="0.3"/>
    <row r="1156" ht="40.200000000000003" customHeight="1" x14ac:dyDescent="0.3"/>
    <row r="1157" ht="40.200000000000003" customHeight="1" x14ac:dyDescent="0.3"/>
    <row r="1158" ht="40.200000000000003" customHeight="1" x14ac:dyDescent="0.3"/>
    <row r="1159" ht="40.200000000000003" customHeight="1" x14ac:dyDescent="0.3"/>
    <row r="1160" ht="40.200000000000003" customHeight="1" x14ac:dyDescent="0.3"/>
    <row r="1161" ht="40.200000000000003" customHeight="1" x14ac:dyDescent="0.3"/>
    <row r="1162" ht="40.200000000000003" customHeight="1" x14ac:dyDescent="0.3"/>
    <row r="1163" ht="40.200000000000003" customHeight="1" x14ac:dyDescent="0.3"/>
    <row r="1164" ht="40.200000000000003" customHeight="1" x14ac:dyDescent="0.3"/>
    <row r="1165" ht="40.200000000000003" customHeight="1" x14ac:dyDescent="0.3"/>
    <row r="1166" ht="40.200000000000003" customHeight="1" x14ac:dyDescent="0.3"/>
    <row r="1167" ht="40.200000000000003" customHeight="1" x14ac:dyDescent="0.3"/>
    <row r="1168" ht="40.200000000000003" customHeight="1" x14ac:dyDescent="0.3"/>
    <row r="1169" ht="40.200000000000003" customHeight="1" x14ac:dyDescent="0.3"/>
    <row r="1170" ht="40.200000000000003" customHeight="1" x14ac:dyDescent="0.3"/>
    <row r="1171" ht="40.200000000000003" customHeight="1" x14ac:dyDescent="0.3"/>
    <row r="1172" ht="40.200000000000003" customHeight="1" x14ac:dyDescent="0.3"/>
    <row r="1173" ht="40.200000000000003" customHeight="1" x14ac:dyDescent="0.3"/>
    <row r="1174" ht="40.200000000000003" customHeight="1" x14ac:dyDescent="0.3"/>
    <row r="1175" ht="40.200000000000003" customHeight="1" x14ac:dyDescent="0.3"/>
    <row r="1176" ht="40.200000000000003" customHeight="1" x14ac:dyDescent="0.3"/>
    <row r="1177" ht="40.200000000000003" customHeight="1" x14ac:dyDescent="0.3"/>
    <row r="1178" ht="40.200000000000003" customHeight="1" x14ac:dyDescent="0.3"/>
    <row r="1179" ht="40.200000000000003" customHeight="1" x14ac:dyDescent="0.3"/>
    <row r="1180" ht="40.200000000000003" customHeight="1" x14ac:dyDescent="0.3"/>
    <row r="1181" ht="40.200000000000003" customHeight="1" x14ac:dyDescent="0.3"/>
    <row r="1182" ht="40.200000000000003" customHeight="1" x14ac:dyDescent="0.3"/>
    <row r="1183" ht="40.200000000000003" customHeight="1" x14ac:dyDescent="0.3"/>
    <row r="1184" ht="40.200000000000003" customHeight="1" x14ac:dyDescent="0.3"/>
    <row r="1185" ht="40.200000000000003" customHeight="1" x14ac:dyDescent="0.3"/>
    <row r="1186" ht="40.200000000000003" customHeight="1" x14ac:dyDescent="0.3"/>
    <row r="1187" ht="40.200000000000003" customHeight="1" x14ac:dyDescent="0.3"/>
    <row r="1188" ht="40.200000000000003" customHeight="1" x14ac:dyDescent="0.3"/>
    <row r="1189" ht="40.200000000000003" customHeight="1" x14ac:dyDescent="0.3"/>
    <row r="1190" ht="40.200000000000003" customHeight="1" x14ac:dyDescent="0.3"/>
    <row r="1191" ht="40.200000000000003" customHeight="1" x14ac:dyDescent="0.3"/>
    <row r="1192" ht="40.200000000000003" customHeight="1" x14ac:dyDescent="0.3"/>
    <row r="1193" ht="40.200000000000003" customHeight="1" x14ac:dyDescent="0.3"/>
    <row r="1194" ht="40.200000000000003" customHeight="1" x14ac:dyDescent="0.3"/>
  </sheetData>
  <mergeCells count="22">
    <mergeCell ref="A2:A107"/>
    <mergeCell ref="A216:A251"/>
    <mergeCell ref="A252:A305"/>
    <mergeCell ref="A306:A335"/>
    <mergeCell ref="A372:A383"/>
    <mergeCell ref="A336:A371"/>
    <mergeCell ref="A732:A761"/>
    <mergeCell ref="A762:A791"/>
    <mergeCell ref="A792:A821"/>
    <mergeCell ref="A822:A851"/>
    <mergeCell ref="A108:A215"/>
    <mergeCell ref="A552:A581"/>
    <mergeCell ref="A582:A611"/>
    <mergeCell ref="A612:A641"/>
    <mergeCell ref="A642:A671"/>
    <mergeCell ref="A672:A701"/>
    <mergeCell ref="A702:A731"/>
    <mergeCell ref="A432:A461"/>
    <mergeCell ref="A462:A491"/>
    <mergeCell ref="A492:A521"/>
    <mergeCell ref="A522:A551"/>
    <mergeCell ref="A384:A431"/>
  </mergeCells>
  <phoneticPr fontId="8" type="noConversion"/>
  <pageMargins left="0.7" right="0.7" top="0.75" bottom="0.75" header="0.3" footer="0.3"/>
  <pageSetup orientation="portrait" horizontalDpi="4294967293" verticalDpi="4294967293" r:id="rId1"/>
  <ignoredErrors>
    <ignoredError sqref="P2" evalError="1"/>
  </ignoredError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CE3F3C0-4541-4150-BCEB-71E350D2B099}">
  <ds:schemaRefs>
    <ds:schemaRef ds:uri="http://gemini/pivotcustomization/PowerPivotVersion"/>
  </ds:schemaRefs>
</ds:datastoreItem>
</file>

<file path=customXml/itemProps2.xml><?xml version="1.0" encoding="utf-8"?>
<ds:datastoreItem xmlns:ds="http://schemas.openxmlformats.org/officeDocument/2006/customXml" ds:itemID="{81AD610F-4C92-4B41-9671-4F49FB383C72}">
  <ds:schemaRefs>
    <ds:schemaRef ds:uri="http://gemini/pivotcustomization/MeasureGridState"/>
  </ds:schemaRefs>
</ds:datastoreItem>
</file>

<file path=customXml/itemProps3.xml><?xml version="1.0" encoding="utf-8"?>
<ds:datastoreItem xmlns:ds="http://schemas.openxmlformats.org/officeDocument/2006/customXml" ds:itemID="{22A88078-B6E4-496D-BFAC-52CA75509F9F}">
  <ds:schemaRefs>
    <ds:schemaRef ds:uri="http://gemini/pivotcustomization/TableOrder"/>
  </ds:schemaRefs>
</ds:datastoreItem>
</file>

<file path=customXml/itemProps4.xml><?xml version="1.0" encoding="utf-8"?>
<ds:datastoreItem xmlns:ds="http://schemas.openxmlformats.org/officeDocument/2006/customXml" ds:itemID="{907FA2F1-A725-466F-A761-7A02CDD045FA}">
  <ds:schemaRefs>
    <ds:schemaRef ds:uri="http://gemini/pivotcustomization/ManualCalcMode"/>
  </ds:schemaRefs>
</ds:datastoreItem>
</file>

<file path=customXml/itemProps5.xml><?xml version="1.0" encoding="utf-8"?>
<ds:datastoreItem xmlns:ds="http://schemas.openxmlformats.org/officeDocument/2006/customXml" ds:itemID="{0573F12B-4AF8-4605-B75A-941E1BE0DBBB}">
  <ds:schemaRefs>
    <ds:schemaRef ds:uri="http://gemini/pivotcustomization/ClientWindowXML"/>
  </ds:schemaRefs>
</ds:datastoreItem>
</file>

<file path=customXml/itemProps6.xml><?xml version="1.0" encoding="utf-8"?>
<ds:datastoreItem xmlns:ds="http://schemas.openxmlformats.org/officeDocument/2006/customXml" ds:itemID="{6899DA15-F453-4185-96A8-A10D9B0AD73D}">
  <ds:schemaRefs>
    <ds:schemaRef ds:uri="http://gemini/pivotcustomization/RelationshipAutoDetectionEnabled"/>
  </ds:schemaRefs>
</ds:datastoreItem>
</file>

<file path=customXml/itemProps7.xml><?xml version="1.0" encoding="utf-8"?>
<ds:datastoreItem xmlns:ds="http://schemas.openxmlformats.org/officeDocument/2006/customXml" ds:itemID="{89937C22-52E6-4C3E-A114-B45CE96BABA7}">
  <ds:schemaRefs>
    <ds:schemaRef ds:uri="http://gemini/pivotcustomization/ShowImplicitMeasures"/>
  </ds:schemaRefs>
</ds:datastoreItem>
</file>

<file path=customXml/itemProps8.xml><?xml version="1.0" encoding="utf-8"?>
<ds:datastoreItem xmlns:ds="http://schemas.openxmlformats.org/officeDocument/2006/customXml" ds:itemID="{44D23A02-8B20-4829-86CC-038DB215EE6B}">
  <ds:schemaRefs>
    <ds:schemaRef ds:uri="http://gemini/pivotcustomization/Diagrams"/>
  </ds:schemaRefs>
</ds:datastoreItem>
</file>

<file path=customXml/itemProps9.xml><?xml version="1.0" encoding="utf-8"?>
<ds:datastoreItem xmlns:ds="http://schemas.openxmlformats.org/officeDocument/2006/customXml" ds:itemID="{4FD09391-8AE8-4A1B-9C6B-6228818AF255}">
  <ds:schemaRefs>
    <ds:schemaRef ds:uri="http://gemini/pivotcustomization/FormulaBarState"/>
  </ds:schemaRefs>
</ds:datastoreItem>
</file>

<file path=customXml/itemProps10.xml><?xml version="1.0" encoding="utf-8"?>
<ds:datastoreItem xmlns:ds="http://schemas.openxmlformats.org/officeDocument/2006/customXml" ds:itemID="{EE0A8DD0-B5C3-4584-8D45-56EF3D7E3DA8}">
  <ds:schemaRefs>
    <ds:schemaRef ds:uri="http://gemini/pivotcustomization/ErrorCache"/>
  </ds:schemaRefs>
</ds:datastoreItem>
</file>

<file path=customXml/itemProps11.xml><?xml version="1.0" encoding="utf-8"?>
<ds:datastoreItem xmlns:ds="http://schemas.openxmlformats.org/officeDocument/2006/customXml" ds:itemID="{64A66754-C505-41F5-B126-DFD2183F84B0}">
  <ds:schemaRefs>
    <ds:schemaRef ds:uri="http://gemini/pivotcustomization/TableXML_Vehicle Model"/>
  </ds:schemaRefs>
</ds:datastoreItem>
</file>

<file path=customXml/itemProps12.xml><?xml version="1.0" encoding="utf-8"?>
<ds:datastoreItem xmlns:ds="http://schemas.openxmlformats.org/officeDocument/2006/customXml" ds:itemID="{89E26CAE-50E2-4164-BD37-437246F91237}">
  <ds:schemaRefs>
    <ds:schemaRef ds:uri="http://gemini/pivotcustomization/ShowHidden"/>
  </ds:schemaRefs>
</ds:datastoreItem>
</file>

<file path=customXml/itemProps13.xml><?xml version="1.0" encoding="utf-8"?>
<ds:datastoreItem xmlns:ds="http://schemas.openxmlformats.org/officeDocument/2006/customXml" ds:itemID="{52E65CA5-21C1-4AC0-8A80-02A56FB58B75}">
  <ds:schemaRefs>
    <ds:schemaRef ds:uri="http://gemini/pivotcustomization/LinkedTableUpdateMode"/>
  </ds:schemaRefs>
</ds:datastoreItem>
</file>

<file path=customXml/itemProps14.xml><?xml version="1.0" encoding="utf-8"?>
<ds:datastoreItem xmlns:ds="http://schemas.openxmlformats.org/officeDocument/2006/customXml" ds:itemID="{25D81A4D-2116-40F5-B9A2-497B306FC59E}">
  <ds:schemaRefs>
    <ds:schemaRef ds:uri="http://gemini/pivotcustomization/TableWidget"/>
  </ds:schemaRefs>
</ds:datastoreItem>
</file>

<file path=customXml/itemProps15.xml><?xml version="1.0" encoding="utf-8"?>
<ds:datastoreItem xmlns:ds="http://schemas.openxmlformats.org/officeDocument/2006/customXml" ds:itemID="{B4826253-5AEC-431B-8E6E-208C2F1A2A63}">
  <ds:schemaRefs>
    <ds:schemaRef ds:uri="http://gemini/pivotcustomization/SandboxNonEmpty"/>
  </ds:schemaRefs>
</ds:datastoreItem>
</file>

<file path=customXml/itemProps16.xml><?xml version="1.0" encoding="utf-8"?>
<ds:datastoreItem xmlns:ds="http://schemas.openxmlformats.org/officeDocument/2006/customXml" ds:itemID="{EB6516D0-5A59-44FD-A8A9-060CD1282D4B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2B4820E4-CA7C-48FE-BB95-9079CF624119}">
  <ds:schemaRefs>
    <ds:schemaRef ds:uri="http://gemini/pivotcustomization/IsSandboxEmbedd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Configuration List</vt:lpstr>
      <vt:lpstr>VECTO Code Generator</vt:lpstr>
      <vt:lpstr>Component List</vt:lpstr>
      <vt:lpstr>Code Corroboration</vt:lpstr>
      <vt:lpstr>Reversed C. List</vt:lpstr>
      <vt:lpstr>Variant List</vt:lpstr>
    </vt:vector>
  </TitlesOfParts>
  <Manager/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Duygu YAYCIOGLU</dc:creator>
  <cp:keywords/>
  <dc:description/>
  <cp:lastModifiedBy>Ebubekir Dolanbay</cp:lastModifiedBy>
  <cp:revision>44</cp:revision>
  <dcterms:created xsi:type="dcterms:W3CDTF">2020-06-01T08:48:51Z</dcterms:created>
  <dcterms:modified xsi:type="dcterms:W3CDTF">2025-08-28T08:26:23Z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Hewlett-Packard Company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